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https://api.box.com/wopi/files/2136834710105/WOPIServiceId_TP_BOX_2/WOPIUserId_-/"/>
    </mc:Choice>
  </mc:AlternateContent>
  <xr:revisionPtr revIDLastSave="8" documentId="11_23DF7FAFAB8A990EF18094CF1B63A6DB792DD6D0" xr6:coauthVersionLast="47" xr6:coauthVersionMax="47" xr10:uidLastSave="{9D7958D8-6F49-EB40-AFF0-A0AB44B2CFA9}"/>
  <bookViews>
    <workbookView xWindow="15240" yWindow="-28120" windowWidth="28040" windowHeight="17180" xr2:uid="{00000000-000D-0000-FFFF-FFFF00000000}"/>
  </bookViews>
  <sheets>
    <sheet name="AllProtiens" sheetId="3" r:id="rId1"/>
    <sheet name="Genomes" sheetId="4" r:id="rId2"/>
    <sheet name="CoreProteinGroups" sheetId="5" r:id="rId3"/>
    <sheet name="QC Privot" sheetId="2" r:id="rId4"/>
  </sheets>
  <definedNames>
    <definedName name="_xlnm._FilterDatabase" localSheetId="0" hidden="1">AllProtiens!$A$1:$I$1476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0" i="4" l="1"/>
  <c r="B60" i="4"/>
  <c r="D59" i="4"/>
  <c r="B59" i="4"/>
  <c r="D58" i="4"/>
  <c r="B58" i="4"/>
  <c r="D57" i="4"/>
  <c r="B57" i="4"/>
  <c r="D56" i="4"/>
  <c r="B56" i="4"/>
  <c r="D55" i="4"/>
  <c r="B55" i="4"/>
  <c r="D54" i="4"/>
  <c r="B54" i="4"/>
  <c r="D53" i="4"/>
  <c r="B53" i="4"/>
  <c r="D52" i="4"/>
  <c r="B52" i="4"/>
  <c r="D51" i="4"/>
  <c r="B51" i="4"/>
  <c r="D50" i="4"/>
  <c r="B50" i="4"/>
  <c r="D49" i="4"/>
  <c r="B49" i="4"/>
  <c r="D48" i="4"/>
  <c r="B48" i="4"/>
  <c r="D47" i="4"/>
  <c r="B47" i="4"/>
  <c r="D46" i="4"/>
  <c r="B46" i="4"/>
  <c r="D45" i="4"/>
  <c r="B45" i="4"/>
  <c r="D44" i="4"/>
  <c r="B44" i="4"/>
  <c r="D43" i="4"/>
  <c r="B43" i="4"/>
  <c r="D42" i="4"/>
  <c r="B42" i="4"/>
  <c r="D41" i="4"/>
  <c r="B41" i="4"/>
  <c r="D40" i="4"/>
  <c r="B40" i="4"/>
  <c r="D39" i="4"/>
  <c r="B39" i="4"/>
  <c r="D38" i="4"/>
  <c r="B38" i="4"/>
  <c r="D37" i="4"/>
  <c r="B37" i="4"/>
  <c r="D36" i="4"/>
  <c r="B36" i="4"/>
  <c r="D35" i="4"/>
  <c r="B35" i="4"/>
  <c r="D34" i="4"/>
  <c r="D33" i="4"/>
  <c r="B33" i="4"/>
  <c r="D32" i="4"/>
  <c r="B32" i="4"/>
  <c r="D31" i="4"/>
  <c r="B31" i="4"/>
  <c r="D30" i="4"/>
  <c r="B30" i="4"/>
  <c r="D29" i="4"/>
  <c r="B29" i="4"/>
  <c r="D28" i="4"/>
  <c r="B28" i="4"/>
  <c r="D27" i="4"/>
  <c r="B27" i="4"/>
  <c r="D26" i="4"/>
  <c r="B26" i="4"/>
  <c r="D25" i="4"/>
  <c r="B25" i="4"/>
  <c r="D24" i="4"/>
  <c r="B24" i="4"/>
  <c r="D23" i="4"/>
  <c r="B23" i="4"/>
  <c r="D22" i="4"/>
  <c r="B22" i="4"/>
  <c r="D21" i="4"/>
  <c r="B21" i="4"/>
  <c r="D20" i="4"/>
  <c r="B20" i="4"/>
  <c r="D19" i="4"/>
  <c r="B19" i="4"/>
  <c r="D18" i="4"/>
  <c r="B18" i="4"/>
  <c r="D17" i="4"/>
  <c r="B17" i="4"/>
  <c r="D16" i="4"/>
  <c r="B16" i="4"/>
  <c r="D15" i="4"/>
  <c r="B15" i="4"/>
  <c r="D14" i="4"/>
  <c r="B14" i="4"/>
  <c r="D13" i="4"/>
  <c r="B13" i="4"/>
  <c r="D12" i="4"/>
  <c r="B12" i="4"/>
  <c r="D11" i="4"/>
  <c r="B11" i="4"/>
  <c r="D10" i="4"/>
  <c r="B10" i="4"/>
  <c r="D9" i="4"/>
  <c r="B9" i="4"/>
  <c r="D8" i="4"/>
  <c r="B8" i="4"/>
  <c r="D7" i="4"/>
  <c r="B7" i="4"/>
  <c r="D6" i="4"/>
  <c r="B6" i="4"/>
  <c r="D5" i="4"/>
  <c r="B5" i="4"/>
  <c r="D4" i="4"/>
  <c r="B4" i="4"/>
  <c r="D3" i="4"/>
  <c r="B3" i="4"/>
  <c r="D2" i="4"/>
  <c r="B2" i="4"/>
  <c r="H1476" i="3"/>
  <c r="G1476" i="3"/>
  <c r="D1476" i="3"/>
  <c r="H1475" i="3"/>
  <c r="G1475" i="3"/>
  <c r="D1475" i="3"/>
  <c r="H1474" i="3"/>
  <c r="G1474" i="3"/>
  <c r="D1474" i="3"/>
  <c r="H1473" i="3"/>
  <c r="G1473" i="3"/>
  <c r="D1473" i="3"/>
  <c r="H1472" i="3"/>
  <c r="G1472" i="3"/>
  <c r="D1472" i="3"/>
  <c r="H1471" i="3"/>
  <c r="G1471" i="3"/>
  <c r="D1471" i="3"/>
  <c r="H1470" i="3"/>
  <c r="G1470" i="3"/>
  <c r="D1470" i="3"/>
  <c r="H1469" i="3"/>
  <c r="G1469" i="3"/>
  <c r="D1469" i="3"/>
  <c r="H1468" i="3"/>
  <c r="G1468" i="3"/>
  <c r="D1468" i="3"/>
  <c r="H1467" i="3"/>
  <c r="G1467" i="3"/>
  <c r="D1467" i="3"/>
  <c r="H1466" i="3"/>
  <c r="G1466" i="3"/>
  <c r="D1466" i="3"/>
  <c r="H1465" i="3"/>
  <c r="G1465" i="3"/>
  <c r="D1465" i="3"/>
  <c r="H1464" i="3"/>
  <c r="G1464" i="3"/>
  <c r="D1464" i="3"/>
  <c r="H1463" i="3"/>
  <c r="G1463" i="3"/>
  <c r="D1463" i="3"/>
  <c r="H1462" i="3"/>
  <c r="G1462" i="3"/>
  <c r="D1462" i="3"/>
  <c r="H1461" i="3"/>
  <c r="G1461" i="3"/>
  <c r="D1461" i="3"/>
  <c r="H1460" i="3"/>
  <c r="G1460" i="3"/>
  <c r="D1460" i="3"/>
  <c r="H1459" i="3"/>
  <c r="G1459" i="3"/>
  <c r="D1459" i="3"/>
  <c r="H1458" i="3"/>
  <c r="G1458" i="3"/>
  <c r="D1458" i="3"/>
  <c r="H1457" i="3"/>
  <c r="G1457" i="3"/>
  <c r="D1457" i="3"/>
  <c r="H1456" i="3"/>
  <c r="G1456" i="3"/>
  <c r="D1456" i="3"/>
  <c r="H1455" i="3"/>
  <c r="G1455" i="3"/>
  <c r="D1455" i="3"/>
  <c r="H1454" i="3"/>
  <c r="G1454" i="3"/>
  <c r="D1454" i="3"/>
  <c r="H1453" i="3"/>
  <c r="G1453" i="3"/>
  <c r="D1453" i="3"/>
  <c r="H1452" i="3"/>
  <c r="G1452" i="3"/>
  <c r="D1452" i="3"/>
  <c r="H1451" i="3"/>
  <c r="G1451" i="3"/>
  <c r="D1451" i="3"/>
  <c r="H1450" i="3"/>
  <c r="G1450" i="3"/>
  <c r="D1450" i="3"/>
  <c r="H1449" i="3"/>
  <c r="G1449" i="3"/>
  <c r="D1449" i="3"/>
  <c r="H1448" i="3"/>
  <c r="G1448" i="3"/>
  <c r="D1448" i="3"/>
  <c r="H1447" i="3"/>
  <c r="G1447" i="3"/>
  <c r="D1447" i="3"/>
  <c r="H1446" i="3"/>
  <c r="G1446" i="3"/>
  <c r="D1446" i="3"/>
  <c r="H1445" i="3"/>
  <c r="G1445" i="3"/>
  <c r="D1445" i="3"/>
  <c r="H1444" i="3"/>
  <c r="G1444" i="3"/>
  <c r="D1444" i="3"/>
  <c r="H1443" i="3"/>
  <c r="G1443" i="3"/>
  <c r="D1443" i="3"/>
  <c r="H1442" i="3"/>
  <c r="G1442" i="3"/>
  <c r="D1442" i="3"/>
  <c r="H1441" i="3"/>
  <c r="G1441" i="3"/>
  <c r="D1441" i="3"/>
  <c r="H1440" i="3"/>
  <c r="G1440" i="3"/>
  <c r="D1440" i="3"/>
  <c r="H1439" i="3"/>
  <c r="G1439" i="3"/>
  <c r="D1439" i="3"/>
  <c r="H1438" i="3"/>
  <c r="G1438" i="3"/>
  <c r="D1438" i="3"/>
  <c r="H1437" i="3"/>
  <c r="G1437" i="3"/>
  <c r="D1437" i="3"/>
  <c r="H1436" i="3"/>
  <c r="G1436" i="3"/>
  <c r="D1436" i="3"/>
  <c r="H1435" i="3"/>
  <c r="G1435" i="3"/>
  <c r="D1435" i="3"/>
  <c r="H1434" i="3"/>
  <c r="G1434" i="3"/>
  <c r="D1434" i="3"/>
  <c r="H1433" i="3"/>
  <c r="G1433" i="3"/>
  <c r="D1433" i="3"/>
  <c r="H1432" i="3"/>
  <c r="G1432" i="3"/>
  <c r="D1432" i="3"/>
  <c r="H1431" i="3"/>
  <c r="G1431" i="3"/>
  <c r="D1431" i="3"/>
  <c r="H1430" i="3"/>
  <c r="G1430" i="3"/>
  <c r="D1430" i="3"/>
  <c r="H1429" i="3"/>
  <c r="G1429" i="3"/>
  <c r="D1429" i="3"/>
  <c r="H1428" i="3"/>
  <c r="G1428" i="3"/>
  <c r="D1428" i="3"/>
  <c r="H1427" i="3"/>
  <c r="G1427" i="3"/>
  <c r="D1427" i="3"/>
  <c r="H1426" i="3"/>
  <c r="G1426" i="3"/>
  <c r="D1426" i="3"/>
  <c r="H1425" i="3"/>
  <c r="G1425" i="3"/>
  <c r="D1425" i="3"/>
  <c r="H1424" i="3"/>
  <c r="G1424" i="3"/>
  <c r="D1424" i="3"/>
  <c r="H1423" i="3"/>
  <c r="G1423" i="3"/>
  <c r="D1423" i="3"/>
  <c r="H1422" i="3"/>
  <c r="G1422" i="3"/>
  <c r="D1422" i="3"/>
  <c r="H1421" i="3"/>
  <c r="G1421" i="3"/>
  <c r="D1421" i="3"/>
  <c r="H1420" i="3"/>
  <c r="G1420" i="3"/>
  <c r="D1420" i="3"/>
  <c r="H1419" i="3"/>
  <c r="G1419" i="3"/>
  <c r="D1419" i="3"/>
  <c r="H1418" i="3"/>
  <c r="G1418" i="3"/>
  <c r="D1418" i="3"/>
  <c r="H1417" i="3"/>
  <c r="G1417" i="3"/>
  <c r="D1417" i="3"/>
  <c r="H1416" i="3"/>
  <c r="G1416" i="3"/>
  <c r="D1416" i="3"/>
  <c r="H1415" i="3"/>
  <c r="G1415" i="3"/>
  <c r="D1415" i="3"/>
  <c r="H1414" i="3"/>
  <c r="G1414" i="3"/>
  <c r="D1414" i="3"/>
  <c r="H1413" i="3"/>
  <c r="G1413" i="3"/>
  <c r="D1413" i="3"/>
  <c r="H1412" i="3"/>
  <c r="G1412" i="3"/>
  <c r="D1412" i="3"/>
  <c r="H1411" i="3"/>
  <c r="G1411" i="3"/>
  <c r="D1411" i="3"/>
  <c r="H1410" i="3"/>
  <c r="G1410" i="3"/>
  <c r="D1410" i="3"/>
  <c r="H1409" i="3"/>
  <c r="G1409" i="3"/>
  <c r="D1409" i="3"/>
  <c r="H1408" i="3"/>
  <c r="G1408" i="3"/>
  <c r="D1408" i="3"/>
  <c r="H1407" i="3"/>
  <c r="G1407" i="3"/>
  <c r="D1407" i="3"/>
  <c r="H1406" i="3"/>
  <c r="G1406" i="3"/>
  <c r="D1406" i="3"/>
  <c r="H1405" i="3"/>
  <c r="G1405" i="3"/>
  <c r="D1405" i="3"/>
  <c r="H1404" i="3"/>
  <c r="G1404" i="3"/>
  <c r="D1404" i="3"/>
  <c r="H1403" i="3"/>
  <c r="G1403" i="3"/>
  <c r="D1403" i="3"/>
  <c r="H1402" i="3"/>
  <c r="G1402" i="3"/>
  <c r="D1402" i="3"/>
  <c r="H1401" i="3"/>
  <c r="G1401" i="3"/>
  <c r="D1401" i="3"/>
  <c r="H1400" i="3"/>
  <c r="G1400" i="3"/>
  <c r="D1400" i="3"/>
  <c r="H1399" i="3"/>
  <c r="G1399" i="3"/>
  <c r="D1399" i="3"/>
  <c r="H1398" i="3"/>
  <c r="G1398" i="3"/>
  <c r="D1398" i="3"/>
  <c r="H1397" i="3"/>
  <c r="G1397" i="3"/>
  <c r="D1397" i="3"/>
  <c r="H1396" i="3"/>
  <c r="G1396" i="3"/>
  <c r="D1396" i="3"/>
  <c r="H1395" i="3"/>
  <c r="G1395" i="3"/>
  <c r="D1395" i="3"/>
  <c r="H1394" i="3"/>
  <c r="G1394" i="3"/>
  <c r="D1394" i="3"/>
  <c r="H1393" i="3"/>
  <c r="G1393" i="3"/>
  <c r="D1393" i="3"/>
  <c r="H1392" i="3"/>
  <c r="G1392" i="3"/>
  <c r="D1392" i="3"/>
  <c r="H1391" i="3"/>
  <c r="G1391" i="3"/>
  <c r="D1391" i="3"/>
  <c r="H1390" i="3"/>
  <c r="G1390" i="3"/>
  <c r="D1390" i="3"/>
  <c r="H1389" i="3"/>
  <c r="G1389" i="3"/>
  <c r="D1389" i="3"/>
  <c r="H1388" i="3"/>
  <c r="G1388" i="3"/>
  <c r="D1388" i="3"/>
  <c r="H1387" i="3"/>
  <c r="G1387" i="3"/>
  <c r="D1387" i="3"/>
  <c r="H1386" i="3"/>
  <c r="G1386" i="3"/>
  <c r="D1386" i="3"/>
  <c r="H1385" i="3"/>
  <c r="G1385" i="3"/>
  <c r="D1385" i="3"/>
  <c r="H1384" i="3"/>
  <c r="G1384" i="3"/>
  <c r="D1384" i="3"/>
  <c r="H1383" i="3"/>
  <c r="G1383" i="3"/>
  <c r="D1383" i="3"/>
  <c r="H1382" i="3"/>
  <c r="G1382" i="3"/>
  <c r="D1382" i="3"/>
  <c r="H1381" i="3"/>
  <c r="G1381" i="3"/>
  <c r="D1381" i="3"/>
  <c r="H1380" i="3"/>
  <c r="G1380" i="3"/>
  <c r="D1380" i="3"/>
  <c r="H1379" i="3"/>
  <c r="G1379" i="3"/>
  <c r="D1379" i="3"/>
  <c r="H1378" i="3"/>
  <c r="G1378" i="3"/>
  <c r="D1378" i="3"/>
  <c r="H1377" i="3"/>
  <c r="G1377" i="3"/>
  <c r="D1377" i="3"/>
  <c r="H1376" i="3"/>
  <c r="G1376" i="3"/>
  <c r="D1376" i="3"/>
  <c r="H1375" i="3"/>
  <c r="G1375" i="3"/>
  <c r="D1375" i="3"/>
  <c r="H1374" i="3"/>
  <c r="G1374" i="3"/>
  <c r="D1374" i="3"/>
  <c r="H1373" i="3"/>
  <c r="G1373" i="3"/>
  <c r="D1373" i="3"/>
  <c r="H1372" i="3"/>
  <c r="G1372" i="3"/>
  <c r="D1372" i="3"/>
  <c r="H1371" i="3"/>
  <c r="G1371" i="3"/>
  <c r="D1371" i="3"/>
  <c r="H1370" i="3"/>
  <c r="G1370" i="3"/>
  <c r="D1370" i="3"/>
  <c r="H1369" i="3"/>
  <c r="G1369" i="3"/>
  <c r="D1369" i="3"/>
  <c r="H1368" i="3"/>
  <c r="G1368" i="3"/>
  <c r="D1368" i="3"/>
  <c r="H1367" i="3"/>
  <c r="G1367" i="3"/>
  <c r="D1367" i="3"/>
  <c r="H1366" i="3"/>
  <c r="G1366" i="3"/>
  <c r="D1366" i="3"/>
  <c r="H1365" i="3"/>
  <c r="G1365" i="3"/>
  <c r="D1365" i="3"/>
  <c r="H1364" i="3"/>
  <c r="G1364" i="3"/>
  <c r="D1364" i="3"/>
  <c r="H1363" i="3"/>
  <c r="G1363" i="3"/>
  <c r="D1363" i="3"/>
  <c r="H1362" i="3"/>
  <c r="G1362" i="3"/>
  <c r="D1362" i="3"/>
  <c r="H1361" i="3"/>
  <c r="G1361" i="3"/>
  <c r="D1361" i="3"/>
  <c r="H1360" i="3"/>
  <c r="G1360" i="3"/>
  <c r="D1360" i="3"/>
  <c r="H1359" i="3"/>
  <c r="G1359" i="3"/>
  <c r="D1359" i="3"/>
  <c r="H1358" i="3"/>
  <c r="G1358" i="3"/>
  <c r="D1358" i="3"/>
  <c r="H1357" i="3"/>
  <c r="G1357" i="3"/>
  <c r="D1357" i="3"/>
  <c r="H1356" i="3"/>
  <c r="G1356" i="3"/>
  <c r="D1356" i="3"/>
  <c r="H1355" i="3"/>
  <c r="G1355" i="3"/>
  <c r="D1355" i="3"/>
  <c r="H1354" i="3"/>
  <c r="G1354" i="3"/>
  <c r="D1354" i="3"/>
  <c r="H1353" i="3"/>
  <c r="G1353" i="3"/>
  <c r="D1353" i="3"/>
  <c r="H1352" i="3"/>
  <c r="G1352" i="3"/>
  <c r="D1352" i="3"/>
  <c r="H1351" i="3"/>
  <c r="G1351" i="3"/>
  <c r="D1351" i="3"/>
  <c r="H1350" i="3"/>
  <c r="G1350" i="3"/>
  <c r="D1350" i="3"/>
  <c r="H1349" i="3"/>
  <c r="G1349" i="3"/>
  <c r="D1349" i="3"/>
  <c r="H1348" i="3"/>
  <c r="G1348" i="3"/>
  <c r="D1348" i="3"/>
  <c r="H1347" i="3"/>
  <c r="G1347" i="3"/>
  <c r="D1347" i="3"/>
  <c r="H1346" i="3"/>
  <c r="G1346" i="3"/>
  <c r="D1346" i="3"/>
  <c r="H1345" i="3"/>
  <c r="G1345" i="3"/>
  <c r="D1345" i="3"/>
  <c r="H1344" i="3"/>
  <c r="G1344" i="3"/>
  <c r="D1344" i="3"/>
  <c r="H1343" i="3"/>
  <c r="G1343" i="3"/>
  <c r="D1343" i="3"/>
  <c r="H1342" i="3"/>
  <c r="G1342" i="3"/>
  <c r="D1342" i="3"/>
  <c r="H1341" i="3"/>
  <c r="G1341" i="3"/>
  <c r="D1341" i="3"/>
  <c r="H1340" i="3"/>
  <c r="G1340" i="3"/>
  <c r="D1340" i="3"/>
  <c r="H1339" i="3"/>
  <c r="G1339" i="3"/>
  <c r="D1339" i="3"/>
  <c r="H1338" i="3"/>
  <c r="G1338" i="3"/>
  <c r="D1338" i="3"/>
  <c r="H1337" i="3"/>
  <c r="G1337" i="3"/>
  <c r="D1337" i="3"/>
  <c r="H1336" i="3"/>
  <c r="G1336" i="3"/>
  <c r="D1336" i="3"/>
  <c r="H1335" i="3"/>
  <c r="G1335" i="3"/>
  <c r="D1335" i="3"/>
  <c r="H1334" i="3"/>
  <c r="G1334" i="3"/>
  <c r="D1334" i="3"/>
  <c r="H1333" i="3"/>
  <c r="G1333" i="3"/>
  <c r="D1333" i="3"/>
  <c r="H1332" i="3"/>
  <c r="G1332" i="3"/>
  <c r="D1332" i="3"/>
  <c r="H1331" i="3"/>
  <c r="G1331" i="3"/>
  <c r="D1331" i="3"/>
  <c r="H1330" i="3"/>
  <c r="G1330" i="3"/>
  <c r="D1330" i="3"/>
  <c r="H1329" i="3"/>
  <c r="G1329" i="3"/>
  <c r="D1329" i="3"/>
  <c r="H1328" i="3"/>
  <c r="G1328" i="3"/>
  <c r="D1328" i="3"/>
  <c r="H1327" i="3"/>
  <c r="G1327" i="3"/>
  <c r="D1327" i="3"/>
  <c r="H1326" i="3"/>
  <c r="G1326" i="3"/>
  <c r="D1326" i="3"/>
  <c r="H1325" i="3"/>
  <c r="G1325" i="3"/>
  <c r="D1325" i="3"/>
  <c r="H1324" i="3"/>
  <c r="G1324" i="3"/>
  <c r="D1324" i="3"/>
  <c r="H1323" i="3"/>
  <c r="G1323" i="3"/>
  <c r="D1323" i="3"/>
  <c r="H1322" i="3"/>
  <c r="G1322" i="3"/>
  <c r="D1322" i="3"/>
  <c r="H1321" i="3"/>
  <c r="G1321" i="3"/>
  <c r="D1321" i="3"/>
  <c r="H1320" i="3"/>
  <c r="G1320" i="3"/>
  <c r="D1320" i="3"/>
  <c r="H1319" i="3"/>
  <c r="G1319" i="3"/>
  <c r="D1319" i="3"/>
  <c r="H1318" i="3"/>
  <c r="G1318" i="3"/>
  <c r="D1318" i="3"/>
  <c r="H1317" i="3"/>
  <c r="G1317" i="3"/>
  <c r="D1317" i="3"/>
  <c r="H1316" i="3"/>
  <c r="G1316" i="3"/>
  <c r="D1316" i="3"/>
  <c r="H1315" i="3"/>
  <c r="G1315" i="3"/>
  <c r="D1315" i="3"/>
  <c r="H1314" i="3"/>
  <c r="G1314" i="3"/>
  <c r="D1314" i="3"/>
  <c r="H1313" i="3"/>
  <c r="G1313" i="3"/>
  <c r="D1313" i="3"/>
  <c r="H1312" i="3"/>
  <c r="G1312" i="3"/>
  <c r="D1312" i="3"/>
  <c r="H1311" i="3"/>
  <c r="G1311" i="3"/>
  <c r="D1311" i="3"/>
  <c r="H1310" i="3"/>
  <c r="G1310" i="3"/>
  <c r="D1310" i="3"/>
  <c r="H1309" i="3"/>
  <c r="G1309" i="3"/>
  <c r="D1309" i="3"/>
  <c r="H1308" i="3"/>
  <c r="G1308" i="3"/>
  <c r="D1308" i="3"/>
  <c r="H1307" i="3"/>
  <c r="G1307" i="3"/>
  <c r="D1307" i="3"/>
  <c r="H1306" i="3"/>
  <c r="G1306" i="3"/>
  <c r="D1306" i="3"/>
  <c r="H1305" i="3"/>
  <c r="G1305" i="3"/>
  <c r="D1305" i="3"/>
  <c r="H1304" i="3"/>
  <c r="G1304" i="3"/>
  <c r="D1304" i="3"/>
  <c r="H1303" i="3"/>
  <c r="G1303" i="3"/>
  <c r="D1303" i="3"/>
  <c r="H1302" i="3"/>
  <c r="G1302" i="3"/>
  <c r="D1302" i="3"/>
  <c r="H1301" i="3"/>
  <c r="G1301" i="3"/>
  <c r="D1301" i="3"/>
  <c r="H1300" i="3"/>
  <c r="G1300" i="3"/>
  <c r="D1300" i="3"/>
  <c r="H1299" i="3"/>
  <c r="G1299" i="3"/>
  <c r="D1299" i="3"/>
  <c r="H1298" i="3"/>
  <c r="G1298" i="3"/>
  <c r="D1298" i="3"/>
  <c r="H1297" i="3"/>
  <c r="G1297" i="3"/>
  <c r="D1297" i="3"/>
  <c r="H1296" i="3"/>
  <c r="G1296" i="3"/>
  <c r="D1296" i="3"/>
  <c r="H1295" i="3"/>
  <c r="G1295" i="3"/>
  <c r="D1295" i="3"/>
  <c r="H1294" i="3"/>
  <c r="G1294" i="3"/>
  <c r="D1294" i="3"/>
  <c r="H1293" i="3"/>
  <c r="G1293" i="3"/>
  <c r="D1293" i="3"/>
  <c r="H1292" i="3"/>
  <c r="G1292" i="3"/>
  <c r="D1292" i="3"/>
  <c r="H1291" i="3"/>
  <c r="G1291" i="3"/>
  <c r="D1291" i="3"/>
  <c r="H1290" i="3"/>
  <c r="G1290" i="3"/>
  <c r="D1290" i="3"/>
  <c r="H1289" i="3"/>
  <c r="G1289" i="3"/>
  <c r="D1289" i="3"/>
  <c r="H1288" i="3"/>
  <c r="G1288" i="3"/>
  <c r="D1288" i="3"/>
  <c r="H1287" i="3"/>
  <c r="G1287" i="3"/>
  <c r="D1287" i="3"/>
  <c r="H1286" i="3"/>
  <c r="G1286" i="3"/>
  <c r="D1286" i="3"/>
  <c r="H1285" i="3"/>
  <c r="G1285" i="3"/>
  <c r="D1285" i="3"/>
  <c r="H1284" i="3"/>
  <c r="G1284" i="3"/>
  <c r="D1284" i="3"/>
  <c r="H1283" i="3"/>
  <c r="G1283" i="3"/>
  <c r="D1283" i="3"/>
  <c r="H1282" i="3"/>
  <c r="G1282" i="3"/>
  <c r="D1282" i="3"/>
  <c r="H1281" i="3"/>
  <c r="G1281" i="3"/>
  <c r="D1281" i="3"/>
  <c r="H1280" i="3"/>
  <c r="G1280" i="3"/>
  <c r="D1280" i="3"/>
  <c r="H1279" i="3"/>
  <c r="G1279" i="3"/>
  <c r="D1279" i="3"/>
  <c r="H1278" i="3"/>
  <c r="G1278" i="3"/>
  <c r="D1278" i="3"/>
  <c r="H1277" i="3"/>
  <c r="G1277" i="3"/>
  <c r="D1277" i="3"/>
  <c r="H1276" i="3"/>
  <c r="G1276" i="3"/>
  <c r="D1276" i="3"/>
  <c r="H1275" i="3"/>
  <c r="G1275" i="3"/>
  <c r="D1275" i="3"/>
  <c r="H1274" i="3"/>
  <c r="G1274" i="3"/>
  <c r="D1274" i="3"/>
  <c r="H1273" i="3"/>
  <c r="G1273" i="3"/>
  <c r="D1273" i="3"/>
  <c r="H1272" i="3"/>
  <c r="G1272" i="3"/>
  <c r="D1272" i="3"/>
  <c r="H1271" i="3"/>
  <c r="G1271" i="3"/>
  <c r="D1271" i="3"/>
  <c r="H1270" i="3"/>
  <c r="G1270" i="3"/>
  <c r="D1270" i="3"/>
  <c r="H1269" i="3"/>
  <c r="G1269" i="3"/>
  <c r="D1269" i="3"/>
  <c r="H1268" i="3"/>
  <c r="G1268" i="3"/>
  <c r="D1268" i="3"/>
  <c r="H1267" i="3"/>
  <c r="G1267" i="3"/>
  <c r="D1267" i="3"/>
  <c r="H1266" i="3"/>
  <c r="G1266" i="3"/>
  <c r="D1266" i="3"/>
  <c r="H1265" i="3"/>
  <c r="G1265" i="3"/>
  <c r="D1265" i="3"/>
  <c r="H1264" i="3"/>
  <c r="G1264" i="3"/>
  <c r="D1264" i="3"/>
  <c r="H1263" i="3"/>
  <c r="G1263" i="3"/>
  <c r="D1263" i="3"/>
  <c r="H1262" i="3"/>
  <c r="G1262" i="3"/>
  <c r="D1262" i="3"/>
  <c r="H1261" i="3"/>
  <c r="G1261" i="3"/>
  <c r="D1261" i="3"/>
  <c r="H1260" i="3"/>
  <c r="G1260" i="3"/>
  <c r="D1260" i="3"/>
  <c r="H1259" i="3"/>
  <c r="G1259" i="3"/>
  <c r="D1259" i="3"/>
  <c r="H1258" i="3"/>
  <c r="G1258" i="3"/>
  <c r="D1258" i="3"/>
  <c r="H1257" i="3"/>
  <c r="G1257" i="3"/>
  <c r="D1257" i="3"/>
  <c r="H1256" i="3"/>
  <c r="G1256" i="3"/>
  <c r="D1256" i="3"/>
  <c r="H1255" i="3"/>
  <c r="G1255" i="3"/>
  <c r="D1255" i="3"/>
  <c r="H1254" i="3"/>
  <c r="G1254" i="3"/>
  <c r="D1254" i="3"/>
  <c r="H1253" i="3"/>
  <c r="G1253" i="3"/>
  <c r="D1253" i="3"/>
  <c r="H1252" i="3"/>
  <c r="G1252" i="3"/>
  <c r="D1252" i="3"/>
  <c r="H1251" i="3"/>
  <c r="G1251" i="3"/>
  <c r="D1251" i="3"/>
  <c r="H1250" i="3"/>
  <c r="G1250" i="3"/>
  <c r="D1250" i="3"/>
  <c r="H1249" i="3"/>
  <c r="G1249" i="3"/>
  <c r="D1249" i="3"/>
  <c r="H1248" i="3"/>
  <c r="G1248" i="3"/>
  <c r="D1248" i="3"/>
  <c r="H1247" i="3"/>
  <c r="G1247" i="3"/>
  <c r="D1247" i="3"/>
  <c r="H1246" i="3"/>
  <c r="G1246" i="3"/>
  <c r="D1246" i="3"/>
  <c r="H1245" i="3"/>
  <c r="G1245" i="3"/>
  <c r="D1245" i="3"/>
  <c r="H1244" i="3"/>
  <c r="G1244" i="3"/>
  <c r="D1244" i="3"/>
  <c r="H1243" i="3"/>
  <c r="G1243" i="3"/>
  <c r="D1243" i="3"/>
  <c r="H1242" i="3"/>
  <c r="G1242" i="3"/>
  <c r="D1242" i="3"/>
  <c r="H1241" i="3"/>
  <c r="G1241" i="3"/>
  <c r="D1241" i="3"/>
  <c r="H1240" i="3"/>
  <c r="G1240" i="3"/>
  <c r="D1240" i="3"/>
  <c r="H1239" i="3"/>
  <c r="G1239" i="3"/>
  <c r="D1239" i="3"/>
  <c r="H1238" i="3"/>
  <c r="G1238" i="3"/>
  <c r="D1238" i="3"/>
  <c r="H1237" i="3"/>
  <c r="G1237" i="3"/>
  <c r="D1237" i="3"/>
  <c r="H1236" i="3"/>
  <c r="G1236" i="3"/>
  <c r="D1236" i="3"/>
  <c r="H1235" i="3"/>
  <c r="G1235" i="3"/>
  <c r="D1235" i="3"/>
  <c r="H1234" i="3"/>
  <c r="G1234" i="3"/>
  <c r="D1234" i="3"/>
  <c r="H1233" i="3"/>
  <c r="G1233" i="3"/>
  <c r="D1233" i="3"/>
  <c r="H1232" i="3"/>
  <c r="G1232" i="3"/>
  <c r="D1232" i="3"/>
  <c r="H1231" i="3"/>
  <c r="G1231" i="3"/>
  <c r="D1231" i="3"/>
  <c r="H1230" i="3"/>
  <c r="G1230" i="3"/>
  <c r="D1230" i="3"/>
  <c r="H1229" i="3"/>
  <c r="G1229" i="3"/>
  <c r="D1229" i="3"/>
  <c r="H1228" i="3"/>
  <c r="G1228" i="3"/>
  <c r="D1228" i="3"/>
  <c r="H1227" i="3"/>
  <c r="G1227" i="3"/>
  <c r="D1227" i="3"/>
  <c r="H1226" i="3"/>
  <c r="G1226" i="3"/>
  <c r="D1226" i="3"/>
  <c r="H1225" i="3"/>
  <c r="G1225" i="3"/>
  <c r="D1225" i="3"/>
  <c r="H1224" i="3"/>
  <c r="G1224" i="3"/>
  <c r="D1224" i="3"/>
  <c r="H1223" i="3"/>
  <c r="G1223" i="3"/>
  <c r="D1223" i="3"/>
  <c r="H1222" i="3"/>
  <c r="G1222" i="3"/>
  <c r="D1222" i="3"/>
  <c r="H1221" i="3"/>
  <c r="G1221" i="3"/>
  <c r="D1221" i="3"/>
  <c r="H1220" i="3"/>
  <c r="G1220" i="3"/>
  <c r="D1220" i="3"/>
  <c r="H1219" i="3"/>
  <c r="G1219" i="3"/>
  <c r="D1219" i="3"/>
  <c r="H1218" i="3"/>
  <c r="G1218" i="3"/>
  <c r="D1218" i="3"/>
  <c r="H1217" i="3"/>
  <c r="G1217" i="3"/>
  <c r="D1217" i="3"/>
  <c r="H1216" i="3"/>
  <c r="G1216" i="3"/>
  <c r="D1216" i="3"/>
  <c r="H1215" i="3"/>
  <c r="G1215" i="3"/>
  <c r="D1215" i="3"/>
  <c r="H1214" i="3"/>
  <c r="G1214" i="3"/>
  <c r="D1214" i="3"/>
  <c r="H1213" i="3"/>
  <c r="G1213" i="3"/>
  <c r="D1213" i="3"/>
  <c r="H1212" i="3"/>
  <c r="G1212" i="3"/>
  <c r="D1212" i="3"/>
  <c r="H1211" i="3"/>
  <c r="G1211" i="3"/>
  <c r="D1211" i="3"/>
  <c r="H1210" i="3"/>
  <c r="G1210" i="3"/>
  <c r="D1210" i="3"/>
  <c r="H1209" i="3"/>
  <c r="G1209" i="3"/>
  <c r="D1209" i="3"/>
  <c r="H1208" i="3"/>
  <c r="G1208" i="3"/>
  <c r="D1208" i="3"/>
  <c r="H1207" i="3"/>
  <c r="G1207" i="3"/>
  <c r="D1207" i="3"/>
  <c r="H1206" i="3"/>
  <c r="G1206" i="3"/>
  <c r="D1206" i="3"/>
  <c r="H1205" i="3"/>
  <c r="G1205" i="3"/>
  <c r="D1205" i="3"/>
  <c r="H1204" i="3"/>
  <c r="G1204" i="3"/>
  <c r="D1204" i="3"/>
  <c r="H1203" i="3"/>
  <c r="G1203" i="3"/>
  <c r="D1203" i="3"/>
  <c r="H1202" i="3"/>
  <c r="G1202" i="3"/>
  <c r="D1202" i="3"/>
  <c r="H1201" i="3"/>
  <c r="G1201" i="3"/>
  <c r="D1201" i="3"/>
  <c r="H1200" i="3"/>
  <c r="G1200" i="3"/>
  <c r="D1200" i="3"/>
  <c r="H1199" i="3"/>
  <c r="G1199" i="3"/>
  <c r="D1199" i="3"/>
  <c r="H1198" i="3"/>
  <c r="G1198" i="3"/>
  <c r="D1198" i="3"/>
  <c r="H1197" i="3"/>
  <c r="G1197" i="3"/>
  <c r="D1197" i="3"/>
  <c r="H1196" i="3"/>
  <c r="G1196" i="3"/>
  <c r="D1196" i="3"/>
  <c r="H1195" i="3"/>
  <c r="G1195" i="3"/>
  <c r="D1195" i="3"/>
  <c r="H1194" i="3"/>
  <c r="G1194" i="3"/>
  <c r="D1194" i="3"/>
  <c r="H1193" i="3"/>
  <c r="G1193" i="3"/>
  <c r="D1193" i="3"/>
  <c r="H1192" i="3"/>
  <c r="G1192" i="3"/>
  <c r="D1192" i="3"/>
  <c r="H1191" i="3"/>
  <c r="G1191" i="3"/>
  <c r="D1191" i="3"/>
  <c r="H1190" i="3"/>
  <c r="G1190" i="3"/>
  <c r="D1190" i="3"/>
  <c r="H1189" i="3"/>
  <c r="G1189" i="3"/>
  <c r="D1189" i="3"/>
  <c r="H1188" i="3"/>
  <c r="G1188" i="3"/>
  <c r="D1188" i="3"/>
  <c r="H1187" i="3"/>
  <c r="G1187" i="3"/>
  <c r="D1187" i="3"/>
  <c r="H1186" i="3"/>
  <c r="G1186" i="3"/>
  <c r="D1186" i="3"/>
  <c r="H1185" i="3"/>
  <c r="G1185" i="3"/>
  <c r="D1185" i="3"/>
  <c r="H1184" i="3"/>
  <c r="G1184" i="3"/>
  <c r="D1184" i="3"/>
  <c r="H1183" i="3"/>
  <c r="G1183" i="3"/>
  <c r="D1183" i="3"/>
  <c r="H1182" i="3"/>
  <c r="G1182" i="3"/>
  <c r="D1182" i="3"/>
  <c r="H1181" i="3"/>
  <c r="G1181" i="3"/>
  <c r="D1181" i="3"/>
  <c r="H1180" i="3"/>
  <c r="G1180" i="3"/>
  <c r="D1180" i="3"/>
  <c r="H1179" i="3"/>
  <c r="G1179" i="3"/>
  <c r="D1179" i="3"/>
  <c r="H1178" i="3"/>
  <c r="G1178" i="3"/>
  <c r="D1178" i="3"/>
  <c r="H1177" i="3"/>
  <c r="G1177" i="3"/>
  <c r="D1177" i="3"/>
  <c r="H1176" i="3"/>
  <c r="G1176" i="3"/>
  <c r="D1176" i="3"/>
  <c r="H1175" i="3"/>
  <c r="G1175" i="3"/>
  <c r="D1175" i="3"/>
  <c r="H1174" i="3"/>
  <c r="G1174" i="3"/>
  <c r="D1174" i="3"/>
  <c r="H1173" i="3"/>
  <c r="G1173" i="3"/>
  <c r="D1173" i="3"/>
  <c r="H1172" i="3"/>
  <c r="G1172" i="3"/>
  <c r="D1172" i="3"/>
  <c r="H1171" i="3"/>
  <c r="G1171" i="3"/>
  <c r="D1171" i="3"/>
  <c r="H1170" i="3"/>
  <c r="G1170" i="3"/>
  <c r="D1170" i="3"/>
  <c r="H1169" i="3"/>
  <c r="G1169" i="3"/>
  <c r="D1169" i="3"/>
  <c r="H1168" i="3"/>
  <c r="G1168" i="3"/>
  <c r="D1168" i="3"/>
  <c r="H1167" i="3"/>
  <c r="G1167" i="3"/>
  <c r="D1167" i="3"/>
  <c r="H1166" i="3"/>
  <c r="G1166" i="3"/>
  <c r="D1166" i="3"/>
  <c r="H1165" i="3"/>
  <c r="G1165" i="3"/>
  <c r="D1165" i="3"/>
  <c r="H1164" i="3"/>
  <c r="G1164" i="3"/>
  <c r="D1164" i="3"/>
  <c r="H1163" i="3"/>
  <c r="G1163" i="3"/>
  <c r="D1163" i="3"/>
  <c r="H1162" i="3"/>
  <c r="G1162" i="3"/>
  <c r="D1162" i="3"/>
  <c r="H1161" i="3"/>
  <c r="G1161" i="3"/>
  <c r="D1161" i="3"/>
  <c r="H1160" i="3"/>
  <c r="G1160" i="3"/>
  <c r="D1160" i="3"/>
  <c r="H1159" i="3"/>
  <c r="G1159" i="3"/>
  <c r="D1159" i="3"/>
  <c r="H1158" i="3"/>
  <c r="G1158" i="3"/>
  <c r="D1158" i="3"/>
  <c r="H1157" i="3"/>
  <c r="G1157" i="3"/>
  <c r="D1157" i="3"/>
  <c r="H1156" i="3"/>
  <c r="G1156" i="3"/>
  <c r="D1156" i="3"/>
  <c r="H1155" i="3"/>
  <c r="G1155" i="3"/>
  <c r="D1155" i="3"/>
  <c r="H1154" i="3"/>
  <c r="G1154" i="3"/>
  <c r="D1154" i="3"/>
  <c r="H1153" i="3"/>
  <c r="G1153" i="3"/>
  <c r="D1153" i="3"/>
  <c r="H1152" i="3"/>
  <c r="G1152" i="3"/>
  <c r="D1152" i="3"/>
  <c r="H1151" i="3"/>
  <c r="G1151" i="3"/>
  <c r="D1151" i="3"/>
  <c r="H1150" i="3"/>
  <c r="G1150" i="3"/>
  <c r="D1150" i="3"/>
  <c r="H1149" i="3"/>
  <c r="G1149" i="3"/>
  <c r="D1149" i="3"/>
  <c r="H1148" i="3"/>
  <c r="G1148" i="3"/>
  <c r="D1148" i="3"/>
  <c r="H1147" i="3"/>
  <c r="G1147" i="3"/>
  <c r="D1147" i="3"/>
  <c r="H1146" i="3"/>
  <c r="G1146" i="3"/>
  <c r="D1146" i="3"/>
  <c r="H1145" i="3"/>
  <c r="G1145" i="3"/>
  <c r="D1145" i="3"/>
  <c r="H1144" i="3"/>
  <c r="G1144" i="3"/>
  <c r="D1144" i="3"/>
  <c r="H1143" i="3"/>
  <c r="G1143" i="3"/>
  <c r="D1143" i="3"/>
  <c r="H1142" i="3"/>
  <c r="G1142" i="3"/>
  <c r="D1142" i="3"/>
  <c r="H1141" i="3"/>
  <c r="G1141" i="3"/>
  <c r="D1141" i="3"/>
  <c r="H1140" i="3"/>
  <c r="G1140" i="3"/>
  <c r="D1140" i="3"/>
  <c r="H1139" i="3"/>
  <c r="G1139" i="3"/>
  <c r="D1139" i="3"/>
  <c r="H1138" i="3"/>
  <c r="G1138" i="3"/>
  <c r="D1138" i="3"/>
  <c r="H1137" i="3"/>
  <c r="G1137" i="3"/>
  <c r="D1137" i="3"/>
  <c r="H1136" i="3"/>
  <c r="G1136" i="3"/>
  <c r="D1136" i="3"/>
  <c r="H1135" i="3"/>
  <c r="G1135" i="3"/>
  <c r="D1135" i="3"/>
  <c r="H1134" i="3"/>
  <c r="G1134" i="3"/>
  <c r="D1134" i="3"/>
  <c r="H1133" i="3"/>
  <c r="G1133" i="3"/>
  <c r="D1133" i="3"/>
  <c r="H1132" i="3"/>
  <c r="G1132" i="3"/>
  <c r="D1132" i="3"/>
  <c r="H1131" i="3"/>
  <c r="G1131" i="3"/>
  <c r="D1131" i="3"/>
  <c r="H1130" i="3"/>
  <c r="G1130" i="3"/>
  <c r="D1130" i="3"/>
  <c r="H1129" i="3"/>
  <c r="G1129" i="3"/>
  <c r="D1129" i="3"/>
  <c r="H1128" i="3"/>
  <c r="G1128" i="3"/>
  <c r="D1128" i="3"/>
  <c r="H1127" i="3"/>
  <c r="G1127" i="3"/>
  <c r="D1127" i="3"/>
  <c r="H1126" i="3"/>
  <c r="G1126" i="3"/>
  <c r="D1126" i="3"/>
  <c r="H1125" i="3"/>
  <c r="G1125" i="3"/>
  <c r="D1125" i="3"/>
  <c r="H1124" i="3"/>
  <c r="G1124" i="3"/>
  <c r="D1124" i="3"/>
  <c r="H1123" i="3"/>
  <c r="G1123" i="3"/>
  <c r="D1123" i="3"/>
  <c r="H1122" i="3"/>
  <c r="G1122" i="3"/>
  <c r="D1122" i="3"/>
  <c r="H1121" i="3"/>
  <c r="G1121" i="3"/>
  <c r="D1121" i="3"/>
  <c r="H1120" i="3"/>
  <c r="G1120" i="3"/>
  <c r="D1120" i="3"/>
  <c r="H1119" i="3"/>
  <c r="G1119" i="3"/>
  <c r="D1119" i="3"/>
  <c r="H1118" i="3"/>
  <c r="G1118" i="3"/>
  <c r="D1118" i="3"/>
  <c r="H1117" i="3"/>
  <c r="G1117" i="3"/>
  <c r="D1117" i="3"/>
  <c r="H1116" i="3"/>
  <c r="G1116" i="3"/>
  <c r="D1116" i="3"/>
  <c r="H1115" i="3"/>
  <c r="G1115" i="3"/>
  <c r="D1115" i="3"/>
  <c r="H1114" i="3"/>
  <c r="G1114" i="3"/>
  <c r="D1114" i="3"/>
  <c r="H1113" i="3"/>
  <c r="G1113" i="3"/>
  <c r="D1113" i="3"/>
  <c r="H1112" i="3"/>
  <c r="G1112" i="3"/>
  <c r="D1112" i="3"/>
  <c r="H1111" i="3"/>
  <c r="G1111" i="3"/>
  <c r="D1111" i="3"/>
  <c r="H1110" i="3"/>
  <c r="G1110" i="3"/>
  <c r="D1110" i="3"/>
  <c r="H1109" i="3"/>
  <c r="G1109" i="3"/>
  <c r="D1109" i="3"/>
  <c r="H1108" i="3"/>
  <c r="G1108" i="3"/>
  <c r="D1108" i="3"/>
  <c r="H1107" i="3"/>
  <c r="G1107" i="3"/>
  <c r="D1107" i="3"/>
  <c r="H1106" i="3"/>
  <c r="G1106" i="3"/>
  <c r="D1106" i="3"/>
  <c r="H1105" i="3"/>
  <c r="G1105" i="3"/>
  <c r="D1105" i="3"/>
  <c r="H1104" i="3"/>
  <c r="G1104" i="3"/>
  <c r="D1104" i="3"/>
  <c r="H1103" i="3"/>
  <c r="G1103" i="3"/>
  <c r="D1103" i="3"/>
  <c r="H1102" i="3"/>
  <c r="G1102" i="3"/>
  <c r="D1102" i="3"/>
  <c r="H1101" i="3"/>
  <c r="G1101" i="3"/>
  <c r="D1101" i="3"/>
  <c r="H1100" i="3"/>
  <c r="G1100" i="3"/>
  <c r="D1100" i="3"/>
  <c r="H1099" i="3"/>
  <c r="G1099" i="3"/>
  <c r="D1099" i="3"/>
  <c r="H1098" i="3"/>
  <c r="G1098" i="3"/>
  <c r="D1098" i="3"/>
  <c r="H1097" i="3"/>
  <c r="G1097" i="3"/>
  <c r="D1097" i="3"/>
  <c r="H1096" i="3"/>
  <c r="G1096" i="3"/>
  <c r="D1096" i="3"/>
  <c r="H1095" i="3"/>
  <c r="G1095" i="3"/>
  <c r="D1095" i="3"/>
  <c r="H1094" i="3"/>
  <c r="G1094" i="3"/>
  <c r="D1094" i="3"/>
  <c r="H1093" i="3"/>
  <c r="G1093" i="3"/>
  <c r="D1093" i="3"/>
  <c r="H1092" i="3"/>
  <c r="G1092" i="3"/>
  <c r="D1092" i="3"/>
  <c r="H1091" i="3"/>
  <c r="G1091" i="3"/>
  <c r="D1091" i="3"/>
  <c r="H1090" i="3"/>
  <c r="G1090" i="3"/>
  <c r="D1090" i="3"/>
  <c r="H1089" i="3"/>
  <c r="G1089" i="3"/>
  <c r="D1089" i="3"/>
  <c r="H1088" i="3"/>
  <c r="G1088" i="3"/>
  <c r="D1088" i="3"/>
  <c r="H1087" i="3"/>
  <c r="G1087" i="3"/>
  <c r="D1087" i="3"/>
  <c r="H1086" i="3"/>
  <c r="G1086" i="3"/>
  <c r="D1086" i="3"/>
  <c r="H1085" i="3"/>
  <c r="G1085" i="3"/>
  <c r="D1085" i="3"/>
  <c r="H1084" i="3"/>
  <c r="G1084" i="3"/>
  <c r="D1084" i="3"/>
  <c r="H1083" i="3"/>
  <c r="G1083" i="3"/>
  <c r="D1083" i="3"/>
  <c r="H1082" i="3"/>
  <c r="G1082" i="3"/>
  <c r="D1082" i="3"/>
  <c r="H1081" i="3"/>
  <c r="G1081" i="3"/>
  <c r="D1081" i="3"/>
  <c r="H1080" i="3"/>
  <c r="G1080" i="3"/>
  <c r="D1080" i="3"/>
  <c r="H1079" i="3"/>
  <c r="G1079" i="3"/>
  <c r="D1079" i="3"/>
  <c r="H1078" i="3"/>
  <c r="G1078" i="3"/>
  <c r="D1078" i="3"/>
  <c r="H1077" i="3"/>
  <c r="G1077" i="3"/>
  <c r="D1077" i="3"/>
  <c r="H1076" i="3"/>
  <c r="G1076" i="3"/>
  <c r="D1076" i="3"/>
  <c r="H1075" i="3"/>
  <c r="G1075" i="3"/>
  <c r="D1075" i="3"/>
  <c r="H1074" i="3"/>
  <c r="G1074" i="3"/>
  <c r="D1074" i="3"/>
  <c r="H1073" i="3"/>
  <c r="G1073" i="3"/>
  <c r="D1073" i="3"/>
  <c r="H1072" i="3"/>
  <c r="G1072" i="3"/>
  <c r="D1072" i="3"/>
  <c r="H1071" i="3"/>
  <c r="G1071" i="3"/>
  <c r="D1071" i="3"/>
  <c r="H1070" i="3"/>
  <c r="G1070" i="3"/>
  <c r="D1070" i="3"/>
  <c r="H1069" i="3"/>
  <c r="G1069" i="3"/>
  <c r="D1069" i="3"/>
  <c r="H1068" i="3"/>
  <c r="G1068" i="3"/>
  <c r="D1068" i="3"/>
  <c r="H1067" i="3"/>
  <c r="G1067" i="3"/>
  <c r="D1067" i="3"/>
  <c r="H1066" i="3"/>
  <c r="G1066" i="3"/>
  <c r="D1066" i="3"/>
  <c r="H1065" i="3"/>
  <c r="G1065" i="3"/>
  <c r="D1065" i="3"/>
  <c r="H1064" i="3"/>
  <c r="G1064" i="3"/>
  <c r="D1064" i="3"/>
  <c r="H1063" i="3"/>
  <c r="G1063" i="3"/>
  <c r="D1063" i="3"/>
  <c r="H1062" i="3"/>
  <c r="G1062" i="3"/>
  <c r="D1062" i="3"/>
  <c r="H1061" i="3"/>
  <c r="G1061" i="3"/>
  <c r="D1061" i="3"/>
  <c r="H1060" i="3"/>
  <c r="G1060" i="3"/>
  <c r="D1060" i="3"/>
  <c r="H1059" i="3"/>
  <c r="G1059" i="3"/>
  <c r="D1059" i="3"/>
  <c r="H1058" i="3"/>
  <c r="G1058" i="3"/>
  <c r="D1058" i="3"/>
  <c r="H1057" i="3"/>
  <c r="G1057" i="3"/>
  <c r="D1057" i="3"/>
  <c r="H1056" i="3"/>
  <c r="G1056" i="3"/>
  <c r="D1056" i="3"/>
  <c r="H1055" i="3"/>
  <c r="G1055" i="3"/>
  <c r="D1055" i="3"/>
  <c r="H1054" i="3"/>
  <c r="G1054" i="3"/>
  <c r="D1054" i="3"/>
  <c r="H1053" i="3"/>
  <c r="G1053" i="3"/>
  <c r="D1053" i="3"/>
  <c r="H1052" i="3"/>
  <c r="G1052" i="3"/>
  <c r="D1052" i="3"/>
  <c r="H1051" i="3"/>
  <c r="G1051" i="3"/>
  <c r="D1051" i="3"/>
  <c r="H1050" i="3"/>
  <c r="G1050" i="3"/>
  <c r="D1050" i="3"/>
  <c r="H1049" i="3"/>
  <c r="G1049" i="3"/>
  <c r="D1049" i="3"/>
  <c r="H1048" i="3"/>
  <c r="G1048" i="3"/>
  <c r="D1048" i="3"/>
  <c r="H1047" i="3"/>
  <c r="G1047" i="3"/>
  <c r="D1047" i="3"/>
  <c r="H1046" i="3"/>
  <c r="G1046" i="3"/>
  <c r="D1046" i="3"/>
  <c r="H1045" i="3"/>
  <c r="G1045" i="3"/>
  <c r="D1045" i="3"/>
  <c r="H1044" i="3"/>
  <c r="G1044" i="3"/>
  <c r="D1044" i="3"/>
  <c r="H1043" i="3"/>
  <c r="G1043" i="3"/>
  <c r="D1043" i="3"/>
  <c r="H1042" i="3"/>
  <c r="G1042" i="3"/>
  <c r="D1042" i="3"/>
  <c r="H1041" i="3"/>
  <c r="G1041" i="3"/>
  <c r="D1041" i="3"/>
  <c r="H1040" i="3"/>
  <c r="G1040" i="3"/>
  <c r="D1040" i="3"/>
  <c r="H1039" i="3"/>
  <c r="G1039" i="3"/>
  <c r="D1039" i="3"/>
  <c r="H1038" i="3"/>
  <c r="G1038" i="3"/>
  <c r="D1038" i="3"/>
  <c r="H1037" i="3"/>
  <c r="G1037" i="3"/>
  <c r="D1037" i="3"/>
  <c r="H1036" i="3"/>
  <c r="G1036" i="3"/>
  <c r="D1036" i="3"/>
  <c r="H1035" i="3"/>
  <c r="G1035" i="3"/>
  <c r="D1035" i="3"/>
  <c r="H1034" i="3"/>
  <c r="G1034" i="3"/>
  <c r="D1034" i="3"/>
  <c r="H1033" i="3"/>
  <c r="G1033" i="3"/>
  <c r="D1033" i="3"/>
  <c r="H1032" i="3"/>
  <c r="G1032" i="3"/>
  <c r="D1032" i="3"/>
  <c r="H1031" i="3"/>
  <c r="G1031" i="3"/>
  <c r="D1031" i="3"/>
  <c r="H1030" i="3"/>
  <c r="G1030" i="3"/>
  <c r="D1030" i="3"/>
  <c r="H1029" i="3"/>
  <c r="G1029" i="3"/>
  <c r="D1029" i="3"/>
  <c r="H1028" i="3"/>
  <c r="G1028" i="3"/>
  <c r="D1028" i="3"/>
  <c r="H1027" i="3"/>
  <c r="G1027" i="3"/>
  <c r="D1027" i="3"/>
  <c r="H1026" i="3"/>
  <c r="G1026" i="3"/>
  <c r="D1026" i="3"/>
  <c r="H1025" i="3"/>
  <c r="G1025" i="3"/>
  <c r="D1025" i="3"/>
  <c r="H1024" i="3"/>
  <c r="G1024" i="3"/>
  <c r="D1024" i="3"/>
  <c r="H1023" i="3"/>
  <c r="G1023" i="3"/>
  <c r="D1023" i="3"/>
  <c r="H1022" i="3"/>
  <c r="G1022" i="3"/>
  <c r="D1022" i="3"/>
  <c r="H1021" i="3"/>
  <c r="G1021" i="3"/>
  <c r="D1021" i="3"/>
  <c r="H1020" i="3"/>
  <c r="G1020" i="3"/>
  <c r="D1020" i="3"/>
  <c r="H1019" i="3"/>
  <c r="G1019" i="3"/>
  <c r="D1019" i="3"/>
  <c r="H1018" i="3"/>
  <c r="G1018" i="3"/>
  <c r="D1018" i="3"/>
  <c r="H1017" i="3"/>
  <c r="G1017" i="3"/>
  <c r="D1017" i="3"/>
  <c r="H1016" i="3"/>
  <c r="G1016" i="3"/>
  <c r="D1016" i="3"/>
  <c r="H1015" i="3"/>
  <c r="G1015" i="3"/>
  <c r="D1015" i="3"/>
  <c r="H1014" i="3"/>
  <c r="G1014" i="3"/>
  <c r="D1014" i="3"/>
  <c r="H1013" i="3"/>
  <c r="G1013" i="3"/>
  <c r="D1013" i="3"/>
  <c r="H1012" i="3"/>
  <c r="G1012" i="3"/>
  <c r="D1012" i="3"/>
  <c r="H1011" i="3"/>
  <c r="G1011" i="3"/>
  <c r="D1011" i="3"/>
  <c r="H1010" i="3"/>
  <c r="G1010" i="3"/>
  <c r="D1010" i="3"/>
  <c r="H1009" i="3"/>
  <c r="G1009" i="3"/>
  <c r="D1009" i="3"/>
  <c r="H1008" i="3"/>
  <c r="G1008" i="3"/>
  <c r="D1008" i="3"/>
  <c r="H1007" i="3"/>
  <c r="G1007" i="3"/>
  <c r="D1007" i="3"/>
  <c r="H1006" i="3"/>
  <c r="G1006" i="3"/>
  <c r="D1006" i="3"/>
  <c r="H1005" i="3"/>
  <c r="G1005" i="3"/>
  <c r="D1005" i="3"/>
  <c r="H1004" i="3"/>
  <c r="G1004" i="3"/>
  <c r="D1004" i="3"/>
  <c r="H1003" i="3"/>
  <c r="G1003" i="3"/>
  <c r="D1003" i="3"/>
  <c r="H1002" i="3"/>
  <c r="G1002" i="3"/>
  <c r="D1002" i="3"/>
  <c r="H1001" i="3"/>
  <c r="G1001" i="3"/>
  <c r="D1001" i="3"/>
  <c r="H1000" i="3"/>
  <c r="G1000" i="3"/>
  <c r="D1000" i="3"/>
  <c r="H999" i="3"/>
  <c r="G999" i="3"/>
  <c r="D999" i="3"/>
  <c r="H998" i="3"/>
  <c r="G998" i="3"/>
  <c r="D998" i="3"/>
  <c r="H997" i="3"/>
  <c r="G997" i="3"/>
  <c r="D997" i="3"/>
  <c r="H996" i="3"/>
  <c r="G996" i="3"/>
  <c r="D996" i="3"/>
  <c r="H995" i="3"/>
  <c r="G995" i="3"/>
  <c r="D995" i="3"/>
  <c r="H994" i="3"/>
  <c r="G994" i="3"/>
  <c r="D994" i="3"/>
  <c r="H993" i="3"/>
  <c r="G993" i="3"/>
  <c r="D993" i="3"/>
  <c r="H992" i="3"/>
  <c r="G992" i="3"/>
  <c r="D992" i="3"/>
  <c r="H991" i="3"/>
  <c r="G991" i="3"/>
  <c r="D991" i="3"/>
  <c r="H990" i="3"/>
  <c r="G990" i="3"/>
  <c r="D990" i="3"/>
  <c r="H989" i="3"/>
  <c r="G989" i="3"/>
  <c r="D989" i="3"/>
  <c r="H988" i="3"/>
  <c r="G988" i="3"/>
  <c r="D988" i="3"/>
  <c r="H987" i="3"/>
  <c r="G987" i="3"/>
  <c r="D987" i="3"/>
  <c r="H986" i="3"/>
  <c r="G986" i="3"/>
  <c r="D986" i="3"/>
  <c r="H985" i="3"/>
  <c r="G985" i="3"/>
  <c r="D985" i="3"/>
  <c r="H984" i="3"/>
  <c r="G984" i="3"/>
  <c r="D984" i="3"/>
  <c r="H983" i="3"/>
  <c r="G983" i="3"/>
  <c r="D983" i="3"/>
  <c r="H982" i="3"/>
  <c r="G982" i="3"/>
  <c r="D982" i="3"/>
  <c r="H981" i="3"/>
  <c r="G981" i="3"/>
  <c r="D981" i="3"/>
  <c r="H980" i="3"/>
  <c r="G980" i="3"/>
  <c r="D980" i="3"/>
  <c r="H979" i="3"/>
  <c r="G979" i="3"/>
  <c r="D979" i="3"/>
  <c r="H978" i="3"/>
  <c r="G978" i="3"/>
  <c r="D978" i="3"/>
  <c r="H977" i="3"/>
  <c r="G977" i="3"/>
  <c r="D977" i="3"/>
  <c r="H976" i="3"/>
  <c r="G976" i="3"/>
  <c r="D976" i="3"/>
  <c r="H975" i="3"/>
  <c r="G975" i="3"/>
  <c r="D975" i="3"/>
  <c r="H974" i="3"/>
  <c r="G974" i="3"/>
  <c r="D974" i="3"/>
  <c r="H973" i="3"/>
  <c r="G973" i="3"/>
  <c r="D973" i="3"/>
  <c r="H972" i="3"/>
  <c r="G972" i="3"/>
  <c r="D972" i="3"/>
  <c r="H971" i="3"/>
  <c r="G971" i="3"/>
  <c r="D971" i="3"/>
  <c r="H970" i="3"/>
  <c r="G970" i="3"/>
  <c r="D970" i="3"/>
  <c r="H969" i="3"/>
  <c r="G969" i="3"/>
  <c r="D969" i="3"/>
  <c r="H968" i="3"/>
  <c r="G968" i="3"/>
  <c r="D968" i="3"/>
  <c r="H967" i="3"/>
  <c r="G967" i="3"/>
  <c r="D967" i="3"/>
  <c r="H966" i="3"/>
  <c r="G966" i="3"/>
  <c r="D966" i="3"/>
  <c r="H965" i="3"/>
  <c r="G965" i="3"/>
  <c r="D965" i="3"/>
  <c r="H964" i="3"/>
  <c r="G964" i="3"/>
  <c r="D964" i="3"/>
  <c r="H963" i="3"/>
  <c r="G963" i="3"/>
  <c r="D963" i="3"/>
  <c r="H962" i="3"/>
  <c r="G962" i="3"/>
  <c r="D962" i="3"/>
  <c r="H961" i="3"/>
  <c r="G961" i="3"/>
  <c r="D961" i="3"/>
  <c r="H960" i="3"/>
  <c r="G960" i="3"/>
  <c r="D960" i="3"/>
  <c r="H959" i="3"/>
  <c r="G959" i="3"/>
  <c r="D959" i="3"/>
  <c r="H958" i="3"/>
  <c r="G958" i="3"/>
  <c r="D958" i="3"/>
  <c r="H957" i="3"/>
  <c r="G957" i="3"/>
  <c r="D957" i="3"/>
  <c r="H956" i="3"/>
  <c r="G956" i="3"/>
  <c r="D956" i="3"/>
  <c r="H955" i="3"/>
  <c r="G955" i="3"/>
  <c r="D955" i="3"/>
  <c r="H954" i="3"/>
  <c r="G954" i="3"/>
  <c r="D954" i="3"/>
  <c r="H953" i="3"/>
  <c r="G953" i="3"/>
  <c r="D953" i="3"/>
  <c r="H952" i="3"/>
  <c r="G952" i="3"/>
  <c r="D952" i="3"/>
  <c r="H951" i="3"/>
  <c r="G951" i="3"/>
  <c r="D951" i="3"/>
  <c r="H950" i="3"/>
  <c r="G950" i="3"/>
  <c r="D950" i="3"/>
  <c r="H949" i="3"/>
  <c r="G949" i="3"/>
  <c r="D949" i="3"/>
  <c r="H948" i="3"/>
  <c r="G948" i="3"/>
  <c r="D948" i="3"/>
  <c r="H947" i="3"/>
  <c r="G947" i="3"/>
  <c r="D947" i="3"/>
  <c r="H946" i="3"/>
  <c r="G946" i="3"/>
  <c r="D946" i="3"/>
  <c r="H945" i="3"/>
  <c r="G945" i="3"/>
  <c r="D945" i="3"/>
  <c r="H944" i="3"/>
  <c r="G944" i="3"/>
  <c r="D944" i="3"/>
  <c r="H943" i="3"/>
  <c r="G943" i="3"/>
  <c r="D943" i="3"/>
  <c r="H942" i="3"/>
  <c r="G942" i="3"/>
  <c r="D942" i="3"/>
  <c r="H941" i="3"/>
  <c r="G941" i="3"/>
  <c r="D941" i="3"/>
  <c r="H940" i="3"/>
  <c r="G940" i="3"/>
  <c r="D940" i="3"/>
  <c r="H939" i="3"/>
  <c r="G939" i="3"/>
  <c r="D939" i="3"/>
  <c r="H938" i="3"/>
  <c r="G938" i="3"/>
  <c r="D938" i="3"/>
  <c r="H937" i="3"/>
  <c r="G937" i="3"/>
  <c r="D937" i="3"/>
  <c r="H936" i="3"/>
  <c r="G936" i="3"/>
  <c r="D936" i="3"/>
  <c r="H935" i="3"/>
  <c r="G935" i="3"/>
  <c r="D935" i="3"/>
  <c r="H934" i="3"/>
  <c r="G934" i="3"/>
  <c r="D934" i="3"/>
  <c r="H933" i="3"/>
  <c r="G933" i="3"/>
  <c r="D933" i="3"/>
  <c r="H932" i="3"/>
  <c r="G932" i="3"/>
  <c r="D932" i="3"/>
  <c r="H931" i="3"/>
  <c r="G931" i="3"/>
  <c r="D931" i="3"/>
  <c r="H930" i="3"/>
  <c r="G930" i="3"/>
  <c r="D930" i="3"/>
  <c r="H929" i="3"/>
  <c r="G929" i="3"/>
  <c r="D929" i="3"/>
  <c r="H928" i="3"/>
  <c r="G928" i="3"/>
  <c r="D928" i="3"/>
  <c r="H927" i="3"/>
  <c r="G927" i="3"/>
  <c r="D927" i="3"/>
  <c r="H926" i="3"/>
  <c r="G926" i="3"/>
  <c r="D926" i="3"/>
  <c r="H925" i="3"/>
  <c r="G925" i="3"/>
  <c r="D925" i="3"/>
  <c r="H924" i="3"/>
  <c r="G924" i="3"/>
  <c r="D924" i="3"/>
  <c r="H923" i="3"/>
  <c r="G923" i="3"/>
  <c r="D923" i="3"/>
  <c r="H922" i="3"/>
  <c r="G922" i="3"/>
  <c r="D922" i="3"/>
  <c r="H921" i="3"/>
  <c r="G921" i="3"/>
  <c r="D921" i="3"/>
  <c r="H920" i="3"/>
  <c r="G920" i="3"/>
  <c r="D920" i="3"/>
  <c r="H919" i="3"/>
  <c r="G919" i="3"/>
  <c r="D919" i="3"/>
  <c r="H918" i="3"/>
  <c r="G918" i="3"/>
  <c r="D918" i="3"/>
  <c r="H917" i="3"/>
  <c r="G917" i="3"/>
  <c r="D917" i="3"/>
  <c r="H916" i="3"/>
  <c r="G916" i="3"/>
  <c r="D916" i="3"/>
  <c r="H915" i="3"/>
  <c r="G915" i="3"/>
  <c r="D915" i="3"/>
  <c r="H914" i="3"/>
  <c r="G914" i="3"/>
  <c r="D914" i="3"/>
  <c r="H913" i="3"/>
  <c r="G913" i="3"/>
  <c r="D913" i="3"/>
  <c r="H912" i="3"/>
  <c r="G912" i="3"/>
  <c r="D912" i="3"/>
  <c r="H911" i="3"/>
  <c r="G911" i="3"/>
  <c r="D911" i="3"/>
  <c r="H910" i="3"/>
  <c r="G910" i="3"/>
  <c r="D910" i="3"/>
  <c r="H909" i="3"/>
  <c r="G909" i="3"/>
  <c r="D909" i="3"/>
  <c r="H908" i="3"/>
  <c r="G908" i="3"/>
  <c r="D908" i="3"/>
  <c r="H907" i="3"/>
  <c r="G907" i="3"/>
  <c r="D907" i="3"/>
  <c r="H906" i="3"/>
  <c r="G906" i="3"/>
  <c r="D906" i="3"/>
  <c r="H905" i="3"/>
  <c r="G905" i="3"/>
  <c r="D905" i="3"/>
  <c r="H904" i="3"/>
  <c r="G904" i="3"/>
  <c r="D904" i="3"/>
  <c r="H903" i="3"/>
  <c r="G903" i="3"/>
  <c r="D903" i="3"/>
  <c r="H902" i="3"/>
  <c r="G902" i="3"/>
  <c r="D902" i="3"/>
  <c r="H901" i="3"/>
  <c r="G901" i="3"/>
  <c r="D901" i="3"/>
  <c r="H900" i="3"/>
  <c r="G900" i="3"/>
  <c r="D900" i="3"/>
  <c r="H899" i="3"/>
  <c r="G899" i="3"/>
  <c r="D899" i="3"/>
  <c r="H898" i="3"/>
  <c r="G898" i="3"/>
  <c r="D898" i="3"/>
  <c r="H897" i="3"/>
  <c r="G897" i="3"/>
  <c r="D897" i="3"/>
  <c r="H896" i="3"/>
  <c r="G896" i="3"/>
  <c r="D896" i="3"/>
  <c r="H895" i="3"/>
  <c r="G895" i="3"/>
  <c r="D895" i="3"/>
  <c r="H894" i="3"/>
  <c r="G894" i="3"/>
  <c r="D894" i="3"/>
  <c r="H893" i="3"/>
  <c r="G893" i="3"/>
  <c r="D893" i="3"/>
  <c r="H892" i="3"/>
  <c r="G892" i="3"/>
  <c r="D892" i="3"/>
  <c r="H891" i="3"/>
  <c r="G891" i="3"/>
  <c r="D891" i="3"/>
  <c r="H890" i="3"/>
  <c r="G890" i="3"/>
  <c r="D890" i="3"/>
  <c r="H889" i="3"/>
  <c r="G889" i="3"/>
  <c r="D889" i="3"/>
  <c r="H888" i="3"/>
  <c r="G888" i="3"/>
  <c r="D888" i="3"/>
  <c r="H887" i="3"/>
  <c r="G887" i="3"/>
  <c r="D887" i="3"/>
  <c r="H886" i="3"/>
  <c r="G886" i="3"/>
  <c r="D886" i="3"/>
  <c r="H885" i="3"/>
  <c r="G885" i="3"/>
  <c r="D885" i="3"/>
  <c r="H884" i="3"/>
  <c r="G884" i="3"/>
  <c r="D884" i="3"/>
  <c r="H883" i="3"/>
  <c r="G883" i="3"/>
  <c r="D883" i="3"/>
  <c r="H882" i="3"/>
  <c r="G882" i="3"/>
  <c r="D882" i="3"/>
  <c r="H881" i="3"/>
  <c r="G881" i="3"/>
  <c r="D881" i="3"/>
  <c r="H880" i="3"/>
  <c r="G880" i="3"/>
  <c r="D880" i="3"/>
  <c r="H879" i="3"/>
  <c r="G879" i="3"/>
  <c r="D879" i="3"/>
  <c r="H878" i="3"/>
  <c r="G878" i="3"/>
  <c r="D878" i="3"/>
  <c r="H877" i="3"/>
  <c r="G877" i="3"/>
  <c r="D877" i="3"/>
  <c r="H876" i="3"/>
  <c r="G876" i="3"/>
  <c r="D876" i="3"/>
  <c r="H875" i="3"/>
  <c r="G875" i="3"/>
  <c r="D875" i="3"/>
  <c r="H874" i="3"/>
  <c r="G874" i="3"/>
  <c r="D874" i="3"/>
  <c r="H873" i="3"/>
  <c r="G873" i="3"/>
  <c r="D873" i="3"/>
  <c r="H872" i="3"/>
  <c r="G872" i="3"/>
  <c r="D872" i="3"/>
  <c r="H871" i="3"/>
  <c r="G871" i="3"/>
  <c r="D871" i="3"/>
  <c r="H870" i="3"/>
  <c r="G870" i="3"/>
  <c r="D870" i="3"/>
  <c r="H869" i="3"/>
  <c r="G869" i="3"/>
  <c r="D869" i="3"/>
  <c r="H868" i="3"/>
  <c r="G868" i="3"/>
  <c r="D868" i="3"/>
  <c r="H867" i="3"/>
  <c r="G867" i="3"/>
  <c r="D867" i="3"/>
  <c r="H866" i="3"/>
  <c r="G866" i="3"/>
  <c r="D866" i="3"/>
  <c r="H865" i="3"/>
  <c r="G865" i="3"/>
  <c r="D865" i="3"/>
  <c r="H864" i="3"/>
  <c r="G864" i="3"/>
  <c r="D864" i="3"/>
  <c r="H863" i="3"/>
  <c r="G863" i="3"/>
  <c r="D863" i="3"/>
  <c r="H862" i="3"/>
  <c r="G862" i="3"/>
  <c r="D862" i="3"/>
  <c r="H861" i="3"/>
  <c r="G861" i="3"/>
  <c r="D861" i="3"/>
  <c r="H860" i="3"/>
  <c r="G860" i="3"/>
  <c r="D860" i="3"/>
  <c r="H859" i="3"/>
  <c r="G859" i="3"/>
  <c r="D859" i="3"/>
  <c r="H858" i="3"/>
  <c r="G858" i="3"/>
  <c r="D858" i="3"/>
  <c r="H857" i="3"/>
  <c r="G857" i="3"/>
  <c r="D857" i="3"/>
  <c r="H856" i="3"/>
  <c r="G856" i="3"/>
  <c r="D856" i="3"/>
  <c r="H855" i="3"/>
  <c r="G855" i="3"/>
  <c r="D855" i="3"/>
  <c r="H854" i="3"/>
  <c r="G854" i="3"/>
  <c r="D854" i="3"/>
  <c r="H853" i="3"/>
  <c r="G853" i="3"/>
  <c r="D853" i="3"/>
  <c r="H852" i="3"/>
  <c r="G852" i="3"/>
  <c r="D852" i="3"/>
  <c r="H851" i="3"/>
  <c r="G851" i="3"/>
  <c r="D851" i="3"/>
  <c r="H850" i="3"/>
  <c r="G850" i="3"/>
  <c r="D850" i="3"/>
  <c r="H849" i="3"/>
  <c r="G849" i="3"/>
  <c r="D849" i="3"/>
  <c r="H848" i="3"/>
  <c r="G848" i="3"/>
  <c r="D848" i="3"/>
  <c r="H847" i="3"/>
  <c r="G847" i="3"/>
  <c r="D847" i="3"/>
  <c r="H846" i="3"/>
  <c r="G846" i="3"/>
  <c r="D846" i="3"/>
  <c r="H845" i="3"/>
  <c r="G845" i="3"/>
  <c r="D845" i="3"/>
  <c r="H844" i="3"/>
  <c r="G844" i="3"/>
  <c r="D844" i="3"/>
  <c r="H843" i="3"/>
  <c r="G843" i="3"/>
  <c r="D843" i="3"/>
  <c r="H842" i="3"/>
  <c r="G842" i="3"/>
  <c r="D842" i="3"/>
  <c r="H841" i="3"/>
  <c r="G841" i="3"/>
  <c r="D841" i="3"/>
  <c r="H840" i="3"/>
  <c r="G840" i="3"/>
  <c r="D840" i="3"/>
  <c r="H839" i="3"/>
  <c r="G839" i="3"/>
  <c r="D839" i="3"/>
  <c r="H838" i="3"/>
  <c r="G838" i="3"/>
  <c r="D838" i="3"/>
  <c r="H837" i="3"/>
  <c r="G837" i="3"/>
  <c r="D837" i="3"/>
  <c r="H836" i="3"/>
  <c r="G836" i="3"/>
  <c r="D836" i="3"/>
  <c r="H835" i="3"/>
  <c r="G835" i="3"/>
  <c r="D835" i="3"/>
  <c r="H834" i="3"/>
  <c r="G834" i="3"/>
  <c r="D834" i="3"/>
  <c r="H833" i="3"/>
  <c r="G833" i="3"/>
  <c r="D833" i="3"/>
  <c r="H832" i="3"/>
  <c r="G832" i="3"/>
  <c r="D832" i="3"/>
  <c r="H831" i="3"/>
  <c r="G831" i="3"/>
  <c r="D831" i="3"/>
  <c r="H830" i="3"/>
  <c r="G830" i="3"/>
  <c r="D830" i="3"/>
  <c r="H829" i="3"/>
  <c r="G829" i="3"/>
  <c r="D829" i="3"/>
  <c r="H828" i="3"/>
  <c r="G828" i="3"/>
  <c r="D828" i="3"/>
  <c r="H827" i="3"/>
  <c r="G827" i="3"/>
  <c r="D827" i="3"/>
  <c r="H826" i="3"/>
  <c r="G826" i="3"/>
  <c r="D826" i="3"/>
  <c r="H825" i="3"/>
  <c r="G825" i="3"/>
  <c r="D825" i="3"/>
  <c r="H824" i="3"/>
  <c r="G824" i="3"/>
  <c r="D824" i="3"/>
  <c r="H823" i="3"/>
  <c r="G823" i="3"/>
  <c r="D823" i="3"/>
  <c r="H822" i="3"/>
  <c r="G822" i="3"/>
  <c r="D822" i="3"/>
  <c r="H821" i="3"/>
  <c r="G821" i="3"/>
  <c r="D821" i="3"/>
  <c r="H820" i="3"/>
  <c r="G820" i="3"/>
  <c r="D820" i="3"/>
  <c r="H819" i="3"/>
  <c r="G819" i="3"/>
  <c r="D819" i="3"/>
  <c r="H818" i="3"/>
  <c r="G818" i="3"/>
  <c r="D818" i="3"/>
  <c r="H817" i="3"/>
  <c r="G817" i="3"/>
  <c r="D817" i="3"/>
  <c r="H816" i="3"/>
  <c r="G816" i="3"/>
  <c r="D816" i="3"/>
  <c r="H815" i="3"/>
  <c r="G815" i="3"/>
  <c r="D815" i="3"/>
  <c r="H814" i="3"/>
  <c r="G814" i="3"/>
  <c r="D814" i="3"/>
  <c r="H813" i="3"/>
  <c r="G813" i="3"/>
  <c r="D813" i="3"/>
  <c r="H812" i="3"/>
  <c r="G812" i="3"/>
  <c r="D812" i="3"/>
  <c r="H811" i="3"/>
  <c r="G811" i="3"/>
  <c r="D811" i="3"/>
  <c r="H810" i="3"/>
  <c r="G810" i="3"/>
  <c r="D810" i="3"/>
  <c r="H809" i="3"/>
  <c r="G809" i="3"/>
  <c r="D809" i="3"/>
  <c r="H808" i="3"/>
  <c r="G808" i="3"/>
  <c r="D808" i="3"/>
  <c r="H807" i="3"/>
  <c r="G807" i="3"/>
  <c r="D807" i="3"/>
  <c r="H806" i="3"/>
  <c r="G806" i="3"/>
  <c r="D806" i="3"/>
  <c r="H805" i="3"/>
  <c r="G805" i="3"/>
  <c r="D805" i="3"/>
  <c r="H804" i="3"/>
  <c r="G804" i="3"/>
  <c r="D804" i="3"/>
  <c r="H803" i="3"/>
  <c r="G803" i="3"/>
  <c r="D803" i="3"/>
  <c r="H802" i="3"/>
  <c r="G802" i="3"/>
  <c r="D802" i="3"/>
  <c r="H801" i="3"/>
  <c r="G801" i="3"/>
  <c r="D801" i="3"/>
  <c r="H800" i="3"/>
  <c r="G800" i="3"/>
  <c r="D800" i="3"/>
  <c r="H799" i="3"/>
  <c r="G799" i="3"/>
  <c r="D799" i="3"/>
  <c r="H798" i="3"/>
  <c r="G798" i="3"/>
  <c r="D798" i="3"/>
  <c r="H797" i="3"/>
  <c r="G797" i="3"/>
  <c r="D797" i="3"/>
  <c r="H796" i="3"/>
  <c r="G796" i="3"/>
  <c r="D796" i="3"/>
  <c r="H795" i="3"/>
  <c r="G795" i="3"/>
  <c r="D795" i="3"/>
  <c r="H794" i="3"/>
  <c r="G794" i="3"/>
  <c r="D794" i="3"/>
  <c r="H793" i="3"/>
  <c r="G793" i="3"/>
  <c r="D793" i="3"/>
  <c r="H792" i="3"/>
  <c r="G792" i="3"/>
  <c r="D792" i="3"/>
  <c r="H791" i="3"/>
  <c r="G791" i="3"/>
  <c r="D791" i="3"/>
  <c r="H790" i="3"/>
  <c r="G790" i="3"/>
  <c r="D790" i="3"/>
  <c r="H789" i="3"/>
  <c r="G789" i="3"/>
  <c r="D789" i="3"/>
  <c r="H788" i="3"/>
  <c r="G788" i="3"/>
  <c r="D788" i="3"/>
  <c r="H787" i="3"/>
  <c r="G787" i="3"/>
  <c r="D787" i="3"/>
  <c r="H786" i="3"/>
  <c r="G786" i="3"/>
  <c r="D786" i="3"/>
  <c r="H785" i="3"/>
  <c r="G785" i="3"/>
  <c r="D785" i="3"/>
  <c r="H784" i="3"/>
  <c r="G784" i="3"/>
  <c r="D784" i="3"/>
  <c r="H783" i="3"/>
  <c r="G783" i="3"/>
  <c r="D783" i="3"/>
  <c r="H782" i="3"/>
  <c r="G782" i="3"/>
  <c r="D782" i="3"/>
  <c r="H781" i="3"/>
  <c r="G781" i="3"/>
  <c r="D781" i="3"/>
  <c r="H780" i="3"/>
  <c r="G780" i="3"/>
  <c r="D780" i="3"/>
  <c r="H779" i="3"/>
  <c r="G779" i="3"/>
  <c r="D779" i="3"/>
  <c r="H778" i="3"/>
  <c r="G778" i="3"/>
  <c r="D778" i="3"/>
  <c r="H777" i="3"/>
  <c r="G777" i="3"/>
  <c r="D777" i="3"/>
  <c r="H776" i="3"/>
  <c r="G776" i="3"/>
  <c r="D776" i="3"/>
  <c r="H775" i="3"/>
  <c r="G775" i="3"/>
  <c r="D775" i="3"/>
  <c r="H774" i="3"/>
  <c r="G774" i="3"/>
  <c r="D774" i="3"/>
  <c r="H773" i="3"/>
  <c r="G773" i="3"/>
  <c r="D773" i="3"/>
  <c r="H772" i="3"/>
  <c r="G772" i="3"/>
  <c r="D772" i="3"/>
  <c r="H771" i="3"/>
  <c r="G771" i="3"/>
  <c r="D771" i="3"/>
  <c r="H770" i="3"/>
  <c r="G770" i="3"/>
  <c r="D770" i="3"/>
  <c r="H769" i="3"/>
  <c r="G769" i="3"/>
  <c r="D769" i="3"/>
  <c r="H768" i="3"/>
  <c r="G768" i="3"/>
  <c r="D768" i="3"/>
  <c r="H767" i="3"/>
  <c r="G767" i="3"/>
  <c r="D767" i="3"/>
  <c r="H766" i="3"/>
  <c r="G766" i="3"/>
  <c r="D766" i="3"/>
  <c r="H765" i="3"/>
  <c r="G765" i="3"/>
  <c r="D765" i="3"/>
  <c r="H764" i="3"/>
  <c r="G764" i="3"/>
  <c r="D764" i="3"/>
  <c r="H763" i="3"/>
  <c r="G763" i="3"/>
  <c r="D763" i="3"/>
  <c r="H762" i="3"/>
  <c r="G762" i="3"/>
  <c r="D762" i="3"/>
  <c r="H761" i="3"/>
  <c r="G761" i="3"/>
  <c r="D761" i="3"/>
  <c r="H760" i="3"/>
  <c r="G760" i="3"/>
  <c r="D760" i="3"/>
  <c r="H759" i="3"/>
  <c r="G759" i="3"/>
  <c r="D759" i="3"/>
  <c r="H758" i="3"/>
  <c r="G758" i="3"/>
  <c r="D758" i="3"/>
  <c r="H757" i="3"/>
  <c r="G757" i="3"/>
  <c r="D757" i="3"/>
  <c r="H756" i="3"/>
  <c r="G756" i="3"/>
  <c r="D756" i="3"/>
  <c r="H755" i="3"/>
  <c r="G755" i="3"/>
  <c r="D755" i="3"/>
  <c r="H754" i="3"/>
  <c r="G754" i="3"/>
  <c r="D754" i="3"/>
  <c r="H753" i="3"/>
  <c r="G753" i="3"/>
  <c r="D753" i="3"/>
  <c r="H752" i="3"/>
  <c r="G752" i="3"/>
  <c r="D752" i="3"/>
  <c r="H751" i="3"/>
  <c r="G751" i="3"/>
  <c r="D751" i="3"/>
  <c r="H750" i="3"/>
  <c r="G750" i="3"/>
  <c r="D750" i="3"/>
  <c r="H749" i="3"/>
  <c r="G749" i="3"/>
  <c r="D749" i="3"/>
  <c r="H748" i="3"/>
  <c r="G748" i="3"/>
  <c r="D748" i="3"/>
  <c r="H747" i="3"/>
  <c r="G747" i="3"/>
  <c r="D747" i="3"/>
  <c r="H746" i="3"/>
  <c r="G746" i="3"/>
  <c r="D746" i="3"/>
  <c r="H745" i="3"/>
  <c r="G745" i="3"/>
  <c r="D745" i="3"/>
  <c r="H744" i="3"/>
  <c r="G744" i="3"/>
  <c r="D744" i="3"/>
  <c r="H743" i="3"/>
  <c r="G743" i="3"/>
  <c r="D743" i="3"/>
  <c r="H742" i="3"/>
  <c r="G742" i="3"/>
  <c r="D742" i="3"/>
  <c r="H741" i="3"/>
  <c r="G741" i="3"/>
  <c r="D741" i="3"/>
  <c r="H740" i="3"/>
  <c r="G740" i="3"/>
  <c r="D740" i="3"/>
  <c r="H739" i="3"/>
  <c r="G739" i="3"/>
  <c r="D739" i="3"/>
  <c r="H738" i="3"/>
  <c r="G738" i="3"/>
  <c r="D738" i="3"/>
  <c r="H737" i="3"/>
  <c r="G737" i="3"/>
  <c r="D737" i="3"/>
  <c r="H736" i="3"/>
  <c r="G736" i="3"/>
  <c r="D736" i="3"/>
  <c r="H735" i="3"/>
  <c r="G735" i="3"/>
  <c r="D735" i="3"/>
  <c r="H734" i="3"/>
  <c r="G734" i="3"/>
  <c r="D734" i="3"/>
  <c r="H733" i="3"/>
  <c r="G733" i="3"/>
  <c r="D733" i="3"/>
  <c r="H732" i="3"/>
  <c r="G732" i="3"/>
  <c r="D732" i="3"/>
  <c r="H731" i="3"/>
  <c r="G731" i="3"/>
  <c r="D731" i="3"/>
  <c r="H730" i="3"/>
  <c r="G730" i="3"/>
  <c r="D730" i="3"/>
  <c r="H729" i="3"/>
  <c r="G729" i="3"/>
  <c r="D729" i="3"/>
  <c r="H728" i="3"/>
  <c r="G728" i="3"/>
  <c r="D728" i="3"/>
  <c r="H727" i="3"/>
  <c r="G727" i="3"/>
  <c r="D727" i="3"/>
  <c r="H726" i="3"/>
  <c r="G726" i="3"/>
  <c r="D726" i="3"/>
  <c r="H725" i="3"/>
  <c r="G725" i="3"/>
  <c r="D725" i="3"/>
  <c r="H724" i="3"/>
  <c r="G724" i="3"/>
  <c r="D724" i="3"/>
  <c r="H723" i="3"/>
  <c r="G723" i="3"/>
  <c r="D723" i="3"/>
  <c r="H722" i="3"/>
  <c r="G722" i="3"/>
  <c r="D722" i="3"/>
  <c r="H721" i="3"/>
  <c r="G721" i="3"/>
  <c r="D721" i="3"/>
  <c r="H720" i="3"/>
  <c r="G720" i="3"/>
  <c r="D720" i="3"/>
  <c r="H719" i="3"/>
  <c r="G719" i="3"/>
  <c r="D719" i="3"/>
  <c r="H718" i="3"/>
  <c r="G718" i="3"/>
  <c r="D718" i="3"/>
  <c r="H717" i="3"/>
  <c r="G717" i="3"/>
  <c r="D717" i="3"/>
  <c r="H716" i="3"/>
  <c r="G716" i="3"/>
  <c r="D716" i="3"/>
  <c r="H715" i="3"/>
  <c r="G715" i="3"/>
  <c r="D715" i="3"/>
  <c r="H714" i="3"/>
  <c r="G714" i="3"/>
  <c r="D714" i="3"/>
  <c r="H713" i="3"/>
  <c r="G713" i="3"/>
  <c r="D713" i="3"/>
  <c r="H712" i="3"/>
  <c r="G712" i="3"/>
  <c r="D712" i="3"/>
  <c r="H711" i="3"/>
  <c r="G711" i="3"/>
  <c r="D711" i="3"/>
  <c r="H710" i="3"/>
  <c r="G710" i="3"/>
  <c r="D710" i="3"/>
  <c r="H709" i="3"/>
  <c r="G709" i="3"/>
  <c r="D709" i="3"/>
  <c r="H708" i="3"/>
  <c r="G708" i="3"/>
  <c r="D708" i="3"/>
  <c r="H707" i="3"/>
  <c r="G707" i="3"/>
  <c r="D707" i="3"/>
  <c r="H706" i="3"/>
  <c r="G706" i="3"/>
  <c r="D706" i="3"/>
  <c r="H705" i="3"/>
  <c r="G705" i="3"/>
  <c r="D705" i="3"/>
  <c r="H704" i="3"/>
  <c r="G704" i="3"/>
  <c r="D704" i="3"/>
  <c r="H703" i="3"/>
  <c r="G703" i="3"/>
  <c r="D703" i="3"/>
  <c r="H702" i="3"/>
  <c r="G702" i="3"/>
  <c r="D702" i="3"/>
  <c r="H701" i="3"/>
  <c r="G701" i="3"/>
  <c r="D701" i="3"/>
  <c r="H700" i="3"/>
  <c r="G700" i="3"/>
  <c r="D700" i="3"/>
  <c r="H699" i="3"/>
  <c r="G699" i="3"/>
  <c r="D699" i="3"/>
  <c r="H698" i="3"/>
  <c r="G698" i="3"/>
  <c r="D698" i="3"/>
  <c r="H697" i="3"/>
  <c r="G697" i="3"/>
  <c r="D697" i="3"/>
  <c r="H696" i="3"/>
  <c r="G696" i="3"/>
  <c r="D696" i="3"/>
  <c r="H695" i="3"/>
  <c r="G695" i="3"/>
  <c r="D695" i="3"/>
  <c r="H694" i="3"/>
  <c r="G694" i="3"/>
  <c r="D694" i="3"/>
  <c r="H693" i="3"/>
  <c r="G693" i="3"/>
  <c r="D693" i="3"/>
  <c r="H692" i="3"/>
  <c r="G692" i="3"/>
  <c r="D692" i="3"/>
  <c r="H691" i="3"/>
  <c r="G691" i="3"/>
  <c r="D691" i="3"/>
  <c r="H690" i="3"/>
  <c r="G690" i="3"/>
  <c r="D690" i="3"/>
  <c r="H689" i="3"/>
  <c r="G689" i="3"/>
  <c r="D689" i="3"/>
  <c r="H688" i="3"/>
  <c r="G688" i="3"/>
  <c r="D688" i="3"/>
  <c r="H687" i="3"/>
  <c r="G687" i="3"/>
  <c r="D687" i="3"/>
  <c r="H686" i="3"/>
  <c r="G686" i="3"/>
  <c r="D686" i="3"/>
  <c r="H685" i="3"/>
  <c r="G685" i="3"/>
  <c r="D685" i="3"/>
  <c r="H684" i="3"/>
  <c r="G684" i="3"/>
  <c r="D684" i="3"/>
  <c r="H683" i="3"/>
  <c r="G683" i="3"/>
  <c r="D683" i="3"/>
  <c r="H682" i="3"/>
  <c r="G682" i="3"/>
  <c r="D682" i="3"/>
  <c r="H681" i="3"/>
  <c r="G681" i="3"/>
  <c r="D681" i="3"/>
  <c r="H680" i="3"/>
  <c r="G680" i="3"/>
  <c r="D680" i="3"/>
  <c r="H679" i="3"/>
  <c r="G679" i="3"/>
  <c r="D679" i="3"/>
  <c r="H678" i="3"/>
  <c r="G678" i="3"/>
  <c r="D678" i="3"/>
  <c r="H677" i="3"/>
  <c r="G677" i="3"/>
  <c r="D677" i="3"/>
  <c r="H676" i="3"/>
  <c r="G676" i="3"/>
  <c r="D676" i="3"/>
  <c r="H675" i="3"/>
  <c r="G675" i="3"/>
  <c r="D675" i="3"/>
  <c r="H674" i="3"/>
  <c r="G674" i="3"/>
  <c r="D674" i="3"/>
  <c r="H673" i="3"/>
  <c r="G673" i="3"/>
  <c r="D673" i="3"/>
  <c r="H672" i="3"/>
  <c r="G672" i="3"/>
  <c r="D672" i="3"/>
  <c r="H671" i="3"/>
  <c r="G671" i="3"/>
  <c r="D671" i="3"/>
  <c r="H670" i="3"/>
  <c r="G670" i="3"/>
  <c r="D670" i="3"/>
  <c r="H669" i="3"/>
  <c r="G669" i="3"/>
  <c r="D669" i="3"/>
  <c r="H668" i="3"/>
  <c r="G668" i="3"/>
  <c r="D668" i="3"/>
  <c r="H667" i="3"/>
  <c r="G667" i="3"/>
  <c r="D667" i="3"/>
  <c r="H666" i="3"/>
  <c r="G666" i="3"/>
  <c r="D666" i="3"/>
  <c r="H665" i="3"/>
  <c r="G665" i="3"/>
  <c r="D665" i="3"/>
  <c r="H664" i="3"/>
  <c r="G664" i="3"/>
  <c r="D664" i="3"/>
  <c r="H663" i="3"/>
  <c r="G663" i="3"/>
  <c r="D663" i="3"/>
  <c r="H662" i="3"/>
  <c r="G662" i="3"/>
  <c r="D662" i="3"/>
  <c r="H661" i="3"/>
  <c r="G661" i="3"/>
  <c r="D661" i="3"/>
  <c r="H660" i="3"/>
  <c r="G660" i="3"/>
  <c r="D660" i="3"/>
  <c r="H659" i="3"/>
  <c r="G659" i="3"/>
  <c r="D659" i="3"/>
  <c r="H658" i="3"/>
  <c r="G658" i="3"/>
  <c r="D658" i="3"/>
  <c r="H657" i="3"/>
  <c r="G657" i="3"/>
  <c r="D657" i="3"/>
  <c r="H656" i="3"/>
  <c r="G656" i="3"/>
  <c r="D656" i="3"/>
  <c r="H655" i="3"/>
  <c r="G655" i="3"/>
  <c r="D655" i="3"/>
  <c r="H654" i="3"/>
  <c r="G654" i="3"/>
  <c r="D654" i="3"/>
  <c r="H653" i="3"/>
  <c r="G653" i="3"/>
  <c r="D653" i="3"/>
  <c r="H652" i="3"/>
  <c r="G652" i="3"/>
  <c r="D652" i="3"/>
  <c r="H651" i="3"/>
  <c r="G651" i="3"/>
  <c r="D651" i="3"/>
  <c r="H650" i="3"/>
  <c r="G650" i="3"/>
  <c r="D650" i="3"/>
  <c r="H649" i="3"/>
  <c r="G649" i="3"/>
  <c r="D649" i="3"/>
  <c r="H648" i="3"/>
  <c r="G648" i="3"/>
  <c r="D648" i="3"/>
  <c r="H647" i="3"/>
  <c r="G647" i="3"/>
  <c r="D647" i="3"/>
  <c r="H646" i="3"/>
  <c r="G646" i="3"/>
  <c r="D646" i="3"/>
  <c r="H645" i="3"/>
  <c r="G645" i="3"/>
  <c r="D645" i="3"/>
  <c r="H644" i="3"/>
  <c r="G644" i="3"/>
  <c r="D644" i="3"/>
  <c r="H643" i="3"/>
  <c r="G643" i="3"/>
  <c r="D643" i="3"/>
  <c r="H642" i="3"/>
  <c r="G642" i="3"/>
  <c r="D642" i="3"/>
  <c r="H641" i="3"/>
  <c r="G641" i="3"/>
  <c r="D641" i="3"/>
  <c r="H640" i="3"/>
  <c r="G640" i="3"/>
  <c r="D640" i="3"/>
  <c r="H639" i="3"/>
  <c r="G639" i="3"/>
  <c r="D639" i="3"/>
  <c r="H638" i="3"/>
  <c r="G638" i="3"/>
  <c r="D638" i="3"/>
  <c r="H637" i="3"/>
  <c r="G637" i="3"/>
  <c r="D637" i="3"/>
  <c r="H636" i="3"/>
  <c r="G636" i="3"/>
  <c r="D636" i="3"/>
  <c r="H635" i="3"/>
  <c r="G635" i="3"/>
  <c r="D635" i="3"/>
  <c r="H634" i="3"/>
  <c r="G634" i="3"/>
  <c r="D634" i="3"/>
  <c r="H633" i="3"/>
  <c r="G633" i="3"/>
  <c r="D633" i="3"/>
  <c r="H632" i="3"/>
  <c r="G632" i="3"/>
  <c r="D632" i="3"/>
  <c r="H631" i="3"/>
  <c r="G631" i="3"/>
  <c r="D631" i="3"/>
  <c r="H630" i="3"/>
  <c r="G630" i="3"/>
  <c r="D630" i="3"/>
  <c r="H629" i="3"/>
  <c r="G629" i="3"/>
  <c r="D629" i="3"/>
  <c r="H628" i="3"/>
  <c r="G628" i="3"/>
  <c r="D628" i="3"/>
  <c r="H627" i="3"/>
  <c r="G627" i="3"/>
  <c r="D627" i="3"/>
  <c r="H626" i="3"/>
  <c r="G626" i="3"/>
  <c r="D626" i="3"/>
  <c r="H625" i="3"/>
  <c r="G625" i="3"/>
  <c r="D625" i="3"/>
  <c r="H624" i="3"/>
  <c r="G624" i="3"/>
  <c r="D624" i="3"/>
  <c r="H623" i="3"/>
  <c r="G623" i="3"/>
  <c r="D623" i="3"/>
  <c r="H622" i="3"/>
  <c r="G622" i="3"/>
  <c r="D622" i="3"/>
  <c r="H621" i="3"/>
  <c r="G621" i="3"/>
  <c r="D621" i="3"/>
  <c r="H620" i="3"/>
  <c r="G620" i="3"/>
  <c r="D620" i="3"/>
  <c r="H619" i="3"/>
  <c r="G619" i="3"/>
  <c r="D619" i="3"/>
  <c r="H618" i="3"/>
  <c r="G618" i="3"/>
  <c r="D618" i="3"/>
  <c r="H617" i="3"/>
  <c r="G617" i="3"/>
  <c r="D617" i="3"/>
  <c r="H616" i="3"/>
  <c r="G616" i="3"/>
  <c r="D616" i="3"/>
  <c r="H615" i="3"/>
  <c r="G615" i="3"/>
  <c r="D615" i="3"/>
  <c r="H614" i="3"/>
  <c r="G614" i="3"/>
  <c r="D614" i="3"/>
  <c r="H613" i="3"/>
  <c r="G613" i="3"/>
  <c r="D613" i="3"/>
  <c r="H612" i="3"/>
  <c r="G612" i="3"/>
  <c r="D612" i="3"/>
  <c r="H611" i="3"/>
  <c r="G611" i="3"/>
  <c r="D611" i="3"/>
  <c r="H610" i="3"/>
  <c r="G610" i="3"/>
  <c r="D610" i="3"/>
  <c r="H609" i="3"/>
  <c r="G609" i="3"/>
  <c r="D609" i="3"/>
  <c r="H608" i="3"/>
  <c r="G608" i="3"/>
  <c r="D608" i="3"/>
  <c r="H607" i="3"/>
  <c r="G607" i="3"/>
  <c r="D607" i="3"/>
  <c r="H606" i="3"/>
  <c r="G606" i="3"/>
  <c r="D606" i="3"/>
  <c r="H605" i="3"/>
  <c r="G605" i="3"/>
  <c r="D605" i="3"/>
  <c r="H604" i="3"/>
  <c r="G604" i="3"/>
  <c r="D604" i="3"/>
  <c r="H603" i="3"/>
  <c r="G603" i="3"/>
  <c r="D603" i="3"/>
  <c r="H602" i="3"/>
  <c r="G602" i="3"/>
  <c r="D602" i="3"/>
  <c r="H601" i="3"/>
  <c r="G601" i="3"/>
  <c r="D601" i="3"/>
  <c r="H600" i="3"/>
  <c r="G600" i="3"/>
  <c r="D600" i="3"/>
  <c r="H599" i="3"/>
  <c r="G599" i="3"/>
  <c r="D599" i="3"/>
  <c r="H598" i="3"/>
  <c r="G598" i="3"/>
  <c r="D598" i="3"/>
  <c r="H597" i="3"/>
  <c r="G597" i="3"/>
  <c r="D597" i="3"/>
  <c r="H596" i="3"/>
  <c r="G596" i="3"/>
  <c r="D596" i="3"/>
  <c r="H595" i="3"/>
  <c r="G595" i="3"/>
  <c r="D595" i="3"/>
  <c r="H594" i="3"/>
  <c r="G594" i="3"/>
  <c r="D594" i="3"/>
  <c r="H593" i="3"/>
  <c r="G593" i="3"/>
  <c r="D593" i="3"/>
  <c r="H592" i="3"/>
  <c r="G592" i="3"/>
  <c r="D592" i="3"/>
  <c r="H591" i="3"/>
  <c r="G591" i="3"/>
  <c r="D591" i="3"/>
  <c r="H590" i="3"/>
  <c r="G590" i="3"/>
  <c r="D590" i="3"/>
  <c r="H589" i="3"/>
  <c r="G589" i="3"/>
  <c r="D589" i="3"/>
  <c r="H588" i="3"/>
  <c r="G588" i="3"/>
  <c r="D588" i="3"/>
  <c r="H587" i="3"/>
  <c r="G587" i="3"/>
  <c r="D587" i="3"/>
  <c r="H586" i="3"/>
  <c r="G586" i="3"/>
  <c r="D586" i="3"/>
  <c r="H585" i="3"/>
  <c r="G585" i="3"/>
  <c r="D585" i="3"/>
  <c r="H584" i="3"/>
  <c r="G584" i="3"/>
  <c r="D584" i="3"/>
  <c r="H583" i="3"/>
  <c r="G583" i="3"/>
  <c r="D583" i="3"/>
  <c r="H582" i="3"/>
  <c r="G582" i="3"/>
  <c r="D582" i="3"/>
  <c r="H581" i="3"/>
  <c r="G581" i="3"/>
  <c r="D581" i="3"/>
  <c r="H580" i="3"/>
  <c r="G580" i="3"/>
  <c r="D580" i="3"/>
  <c r="H579" i="3"/>
  <c r="G579" i="3"/>
  <c r="D579" i="3"/>
  <c r="H578" i="3"/>
  <c r="G578" i="3"/>
  <c r="D578" i="3"/>
  <c r="H577" i="3"/>
  <c r="G577" i="3"/>
  <c r="D577" i="3"/>
  <c r="H576" i="3"/>
  <c r="G576" i="3"/>
  <c r="D576" i="3"/>
  <c r="H575" i="3"/>
  <c r="G575" i="3"/>
  <c r="D575" i="3"/>
  <c r="H574" i="3"/>
  <c r="G574" i="3"/>
  <c r="D574" i="3"/>
  <c r="H573" i="3"/>
  <c r="G573" i="3"/>
  <c r="D573" i="3"/>
  <c r="H572" i="3"/>
  <c r="G572" i="3"/>
  <c r="D572" i="3"/>
  <c r="H571" i="3"/>
  <c r="G571" i="3"/>
  <c r="D571" i="3"/>
  <c r="H570" i="3"/>
  <c r="G570" i="3"/>
  <c r="D570" i="3"/>
  <c r="H569" i="3"/>
  <c r="G569" i="3"/>
  <c r="D569" i="3"/>
  <c r="H568" i="3"/>
  <c r="G568" i="3"/>
  <c r="D568" i="3"/>
  <c r="H567" i="3"/>
  <c r="G567" i="3"/>
  <c r="D567" i="3"/>
  <c r="H566" i="3"/>
  <c r="G566" i="3"/>
  <c r="D566" i="3"/>
  <c r="H565" i="3"/>
  <c r="G565" i="3"/>
  <c r="D565" i="3"/>
  <c r="H564" i="3"/>
  <c r="G564" i="3"/>
  <c r="D564" i="3"/>
  <c r="H563" i="3"/>
  <c r="G563" i="3"/>
  <c r="D563" i="3"/>
  <c r="H562" i="3"/>
  <c r="G562" i="3"/>
  <c r="D562" i="3"/>
  <c r="H561" i="3"/>
  <c r="G561" i="3"/>
  <c r="D561" i="3"/>
  <c r="H560" i="3"/>
  <c r="G560" i="3"/>
  <c r="D560" i="3"/>
  <c r="H559" i="3"/>
  <c r="G559" i="3"/>
  <c r="D559" i="3"/>
  <c r="H558" i="3"/>
  <c r="G558" i="3"/>
  <c r="D558" i="3"/>
  <c r="H557" i="3"/>
  <c r="G557" i="3"/>
  <c r="D557" i="3"/>
  <c r="H556" i="3"/>
  <c r="G556" i="3"/>
  <c r="D556" i="3"/>
  <c r="H555" i="3"/>
  <c r="G555" i="3"/>
  <c r="D555" i="3"/>
  <c r="H554" i="3"/>
  <c r="G554" i="3"/>
  <c r="D554" i="3"/>
  <c r="H553" i="3"/>
  <c r="G553" i="3"/>
  <c r="D553" i="3"/>
  <c r="H552" i="3"/>
  <c r="G552" i="3"/>
  <c r="D552" i="3"/>
  <c r="H551" i="3"/>
  <c r="G551" i="3"/>
  <c r="D551" i="3"/>
  <c r="H550" i="3"/>
  <c r="G550" i="3"/>
  <c r="D550" i="3"/>
  <c r="H549" i="3"/>
  <c r="G549" i="3"/>
  <c r="D549" i="3"/>
  <c r="H548" i="3"/>
  <c r="G548" i="3"/>
  <c r="D548" i="3"/>
  <c r="H547" i="3"/>
  <c r="G547" i="3"/>
  <c r="D547" i="3"/>
  <c r="H546" i="3"/>
  <c r="G546" i="3"/>
  <c r="D546" i="3"/>
  <c r="H545" i="3"/>
  <c r="G545" i="3"/>
  <c r="D545" i="3"/>
  <c r="H544" i="3"/>
  <c r="G544" i="3"/>
  <c r="D544" i="3"/>
  <c r="H543" i="3"/>
  <c r="G543" i="3"/>
  <c r="D543" i="3"/>
  <c r="H542" i="3"/>
  <c r="G542" i="3"/>
  <c r="D542" i="3"/>
  <c r="H541" i="3"/>
  <c r="G541" i="3"/>
  <c r="D541" i="3"/>
  <c r="H540" i="3"/>
  <c r="G540" i="3"/>
  <c r="D540" i="3"/>
  <c r="H539" i="3"/>
  <c r="G539" i="3"/>
  <c r="D539" i="3"/>
  <c r="H538" i="3"/>
  <c r="G538" i="3"/>
  <c r="D538" i="3"/>
  <c r="H537" i="3"/>
  <c r="G537" i="3"/>
  <c r="D537" i="3"/>
  <c r="H536" i="3"/>
  <c r="G536" i="3"/>
  <c r="D536" i="3"/>
  <c r="H535" i="3"/>
  <c r="G535" i="3"/>
  <c r="D535" i="3"/>
  <c r="H534" i="3"/>
  <c r="G534" i="3"/>
  <c r="D534" i="3"/>
  <c r="H533" i="3"/>
  <c r="G533" i="3"/>
  <c r="D533" i="3"/>
  <c r="H532" i="3"/>
  <c r="G532" i="3"/>
  <c r="D532" i="3"/>
  <c r="H531" i="3"/>
  <c r="G531" i="3"/>
  <c r="D531" i="3"/>
  <c r="H530" i="3"/>
  <c r="G530" i="3"/>
  <c r="D530" i="3"/>
  <c r="H529" i="3"/>
  <c r="G529" i="3"/>
  <c r="D529" i="3"/>
  <c r="H528" i="3"/>
  <c r="G528" i="3"/>
  <c r="D528" i="3"/>
  <c r="H527" i="3"/>
  <c r="G527" i="3"/>
  <c r="D527" i="3"/>
  <c r="H526" i="3"/>
  <c r="G526" i="3"/>
  <c r="D526" i="3"/>
  <c r="H525" i="3"/>
  <c r="G525" i="3"/>
  <c r="D525" i="3"/>
  <c r="H524" i="3"/>
  <c r="G524" i="3"/>
  <c r="D524" i="3"/>
  <c r="H523" i="3"/>
  <c r="G523" i="3"/>
  <c r="D523" i="3"/>
  <c r="H522" i="3"/>
  <c r="G522" i="3"/>
  <c r="D522" i="3"/>
  <c r="H521" i="3"/>
  <c r="G521" i="3"/>
  <c r="D521" i="3"/>
  <c r="H520" i="3"/>
  <c r="G520" i="3"/>
  <c r="D520" i="3"/>
  <c r="H519" i="3"/>
  <c r="G519" i="3"/>
  <c r="D519" i="3"/>
  <c r="H518" i="3"/>
  <c r="G518" i="3"/>
  <c r="D518" i="3"/>
  <c r="H517" i="3"/>
  <c r="G517" i="3"/>
  <c r="D517" i="3"/>
  <c r="H516" i="3"/>
  <c r="G516" i="3"/>
  <c r="D516" i="3"/>
  <c r="H515" i="3"/>
  <c r="G515" i="3"/>
  <c r="D515" i="3"/>
  <c r="H514" i="3"/>
  <c r="G514" i="3"/>
  <c r="D514" i="3"/>
  <c r="H513" i="3"/>
  <c r="G513" i="3"/>
  <c r="D513" i="3"/>
  <c r="H512" i="3"/>
  <c r="G512" i="3"/>
  <c r="D512" i="3"/>
  <c r="H511" i="3"/>
  <c r="G511" i="3"/>
  <c r="D511" i="3"/>
  <c r="H510" i="3"/>
  <c r="G510" i="3"/>
  <c r="D510" i="3"/>
  <c r="H509" i="3"/>
  <c r="G509" i="3"/>
  <c r="D509" i="3"/>
  <c r="H508" i="3"/>
  <c r="G508" i="3"/>
  <c r="D508" i="3"/>
  <c r="H507" i="3"/>
  <c r="G507" i="3"/>
  <c r="D507" i="3"/>
  <c r="H506" i="3"/>
  <c r="G506" i="3"/>
  <c r="D506" i="3"/>
  <c r="H505" i="3"/>
  <c r="G505" i="3"/>
  <c r="D505" i="3"/>
  <c r="H504" i="3"/>
  <c r="G504" i="3"/>
  <c r="D504" i="3"/>
  <c r="H503" i="3"/>
  <c r="G503" i="3"/>
  <c r="D503" i="3"/>
  <c r="H502" i="3"/>
  <c r="G502" i="3"/>
  <c r="D502" i="3"/>
  <c r="H501" i="3"/>
  <c r="G501" i="3"/>
  <c r="D501" i="3"/>
  <c r="H500" i="3"/>
  <c r="G500" i="3"/>
  <c r="D500" i="3"/>
  <c r="H499" i="3"/>
  <c r="G499" i="3"/>
  <c r="D499" i="3"/>
  <c r="H498" i="3"/>
  <c r="G498" i="3"/>
  <c r="D498" i="3"/>
  <c r="H497" i="3"/>
  <c r="G497" i="3"/>
  <c r="D497" i="3"/>
  <c r="H496" i="3"/>
  <c r="G496" i="3"/>
  <c r="D496" i="3"/>
  <c r="H495" i="3"/>
  <c r="G495" i="3"/>
  <c r="D495" i="3"/>
  <c r="H494" i="3"/>
  <c r="G494" i="3"/>
  <c r="D494" i="3"/>
  <c r="H493" i="3"/>
  <c r="G493" i="3"/>
  <c r="D493" i="3"/>
  <c r="H492" i="3"/>
  <c r="G492" i="3"/>
  <c r="D492" i="3"/>
  <c r="H491" i="3"/>
  <c r="G491" i="3"/>
  <c r="D491" i="3"/>
  <c r="H490" i="3"/>
  <c r="G490" i="3"/>
  <c r="D490" i="3"/>
  <c r="H489" i="3"/>
  <c r="G489" i="3"/>
  <c r="D489" i="3"/>
  <c r="H488" i="3"/>
  <c r="G488" i="3"/>
  <c r="D488" i="3"/>
  <c r="H487" i="3"/>
  <c r="G487" i="3"/>
  <c r="D487" i="3"/>
  <c r="H486" i="3"/>
  <c r="G486" i="3"/>
  <c r="D486" i="3"/>
  <c r="H485" i="3"/>
  <c r="G485" i="3"/>
  <c r="D485" i="3"/>
  <c r="H484" i="3"/>
  <c r="G484" i="3"/>
  <c r="D484" i="3"/>
  <c r="H483" i="3"/>
  <c r="G483" i="3"/>
  <c r="D483" i="3"/>
  <c r="H482" i="3"/>
  <c r="G482" i="3"/>
  <c r="D482" i="3"/>
  <c r="H481" i="3"/>
  <c r="G481" i="3"/>
  <c r="D481" i="3"/>
  <c r="H480" i="3"/>
  <c r="G480" i="3"/>
  <c r="D480" i="3"/>
  <c r="H479" i="3"/>
  <c r="G479" i="3"/>
  <c r="D479" i="3"/>
  <c r="H478" i="3"/>
  <c r="G478" i="3"/>
  <c r="D478" i="3"/>
  <c r="H477" i="3"/>
  <c r="G477" i="3"/>
  <c r="D477" i="3"/>
  <c r="H476" i="3"/>
  <c r="G476" i="3"/>
  <c r="D476" i="3"/>
  <c r="H475" i="3"/>
  <c r="G475" i="3"/>
  <c r="D475" i="3"/>
  <c r="H474" i="3"/>
  <c r="G474" i="3"/>
  <c r="D474" i="3"/>
  <c r="H473" i="3"/>
  <c r="G473" i="3"/>
  <c r="D473" i="3"/>
  <c r="H472" i="3"/>
  <c r="G472" i="3"/>
  <c r="D472" i="3"/>
  <c r="H471" i="3"/>
  <c r="G471" i="3"/>
  <c r="D471" i="3"/>
  <c r="H470" i="3"/>
  <c r="G470" i="3"/>
  <c r="D470" i="3"/>
  <c r="H469" i="3"/>
  <c r="G469" i="3"/>
  <c r="D469" i="3"/>
  <c r="H468" i="3"/>
  <c r="G468" i="3"/>
  <c r="D468" i="3"/>
  <c r="H467" i="3"/>
  <c r="G467" i="3"/>
  <c r="D467" i="3"/>
  <c r="H466" i="3"/>
  <c r="G466" i="3"/>
  <c r="D466" i="3"/>
  <c r="H465" i="3"/>
  <c r="G465" i="3"/>
  <c r="D465" i="3"/>
  <c r="H464" i="3"/>
  <c r="G464" i="3"/>
  <c r="D464" i="3"/>
  <c r="H463" i="3"/>
  <c r="G463" i="3"/>
  <c r="D463" i="3"/>
  <c r="H462" i="3"/>
  <c r="G462" i="3"/>
  <c r="D462" i="3"/>
  <c r="H461" i="3"/>
  <c r="G461" i="3"/>
  <c r="D461" i="3"/>
  <c r="H460" i="3"/>
  <c r="G460" i="3"/>
  <c r="D460" i="3"/>
  <c r="H459" i="3"/>
  <c r="G459" i="3"/>
  <c r="D459" i="3"/>
  <c r="H458" i="3"/>
  <c r="G458" i="3"/>
  <c r="D458" i="3"/>
  <c r="H457" i="3"/>
  <c r="G457" i="3"/>
  <c r="D457" i="3"/>
  <c r="H456" i="3"/>
  <c r="G456" i="3"/>
  <c r="D456" i="3"/>
  <c r="H455" i="3"/>
  <c r="G455" i="3"/>
  <c r="D455" i="3"/>
  <c r="H454" i="3"/>
  <c r="G454" i="3"/>
  <c r="D454" i="3"/>
  <c r="H453" i="3"/>
  <c r="G453" i="3"/>
  <c r="D453" i="3"/>
  <c r="H452" i="3"/>
  <c r="G452" i="3"/>
  <c r="D452" i="3"/>
  <c r="H451" i="3"/>
  <c r="G451" i="3"/>
  <c r="D451" i="3"/>
  <c r="H450" i="3"/>
  <c r="G450" i="3"/>
  <c r="D450" i="3"/>
  <c r="H449" i="3"/>
  <c r="G449" i="3"/>
  <c r="D449" i="3"/>
  <c r="H448" i="3"/>
  <c r="G448" i="3"/>
  <c r="D448" i="3"/>
  <c r="H447" i="3"/>
  <c r="G447" i="3"/>
  <c r="D447" i="3"/>
  <c r="H446" i="3"/>
  <c r="G446" i="3"/>
  <c r="D446" i="3"/>
  <c r="H445" i="3"/>
  <c r="G445" i="3"/>
  <c r="D445" i="3"/>
  <c r="H444" i="3"/>
  <c r="G444" i="3"/>
  <c r="D444" i="3"/>
  <c r="H443" i="3"/>
  <c r="G443" i="3"/>
  <c r="D443" i="3"/>
  <c r="H442" i="3"/>
  <c r="G442" i="3"/>
  <c r="D442" i="3"/>
  <c r="H441" i="3"/>
  <c r="G441" i="3"/>
  <c r="D441" i="3"/>
  <c r="H440" i="3"/>
  <c r="G440" i="3"/>
  <c r="D440" i="3"/>
  <c r="H439" i="3"/>
  <c r="G439" i="3"/>
  <c r="D439" i="3"/>
  <c r="H438" i="3"/>
  <c r="G438" i="3"/>
  <c r="D438" i="3"/>
  <c r="H437" i="3"/>
  <c r="G437" i="3"/>
  <c r="D437" i="3"/>
  <c r="H436" i="3"/>
  <c r="G436" i="3"/>
  <c r="D436" i="3"/>
  <c r="H435" i="3"/>
  <c r="G435" i="3"/>
  <c r="D435" i="3"/>
  <c r="H434" i="3"/>
  <c r="G434" i="3"/>
  <c r="D434" i="3"/>
  <c r="H433" i="3"/>
  <c r="G433" i="3"/>
  <c r="D433" i="3"/>
  <c r="H432" i="3"/>
  <c r="G432" i="3"/>
  <c r="D432" i="3"/>
  <c r="H431" i="3"/>
  <c r="G431" i="3"/>
  <c r="D431" i="3"/>
  <c r="H430" i="3"/>
  <c r="G430" i="3"/>
  <c r="D430" i="3"/>
  <c r="H429" i="3"/>
  <c r="G429" i="3"/>
  <c r="D429" i="3"/>
  <c r="H428" i="3"/>
  <c r="G428" i="3"/>
  <c r="D428" i="3"/>
  <c r="H427" i="3"/>
  <c r="G427" i="3"/>
  <c r="D427" i="3"/>
  <c r="H426" i="3"/>
  <c r="G426" i="3"/>
  <c r="D426" i="3"/>
  <c r="H425" i="3"/>
  <c r="G425" i="3"/>
  <c r="D425" i="3"/>
  <c r="H424" i="3"/>
  <c r="G424" i="3"/>
  <c r="D424" i="3"/>
  <c r="H423" i="3"/>
  <c r="G423" i="3"/>
  <c r="D423" i="3"/>
  <c r="H422" i="3"/>
  <c r="G422" i="3"/>
  <c r="D422" i="3"/>
  <c r="H421" i="3"/>
  <c r="G421" i="3"/>
  <c r="D421" i="3"/>
  <c r="H420" i="3"/>
  <c r="G420" i="3"/>
  <c r="D420" i="3"/>
  <c r="H419" i="3"/>
  <c r="G419" i="3"/>
  <c r="D419" i="3"/>
  <c r="H418" i="3"/>
  <c r="G418" i="3"/>
  <c r="D418" i="3"/>
  <c r="H417" i="3"/>
  <c r="G417" i="3"/>
  <c r="D417" i="3"/>
  <c r="H416" i="3"/>
  <c r="G416" i="3"/>
  <c r="D416" i="3"/>
  <c r="H415" i="3"/>
  <c r="G415" i="3"/>
  <c r="D415" i="3"/>
  <c r="H414" i="3"/>
  <c r="G414" i="3"/>
  <c r="D414" i="3"/>
  <c r="H413" i="3"/>
  <c r="G413" i="3"/>
  <c r="D413" i="3"/>
  <c r="H412" i="3"/>
  <c r="G412" i="3"/>
  <c r="D412" i="3"/>
  <c r="H411" i="3"/>
  <c r="G411" i="3"/>
  <c r="D411" i="3"/>
  <c r="H410" i="3"/>
  <c r="G410" i="3"/>
  <c r="D410" i="3"/>
  <c r="H409" i="3"/>
  <c r="G409" i="3"/>
  <c r="D409" i="3"/>
  <c r="H408" i="3"/>
  <c r="G408" i="3"/>
  <c r="D408" i="3"/>
  <c r="H407" i="3"/>
  <c r="G407" i="3"/>
  <c r="D407" i="3"/>
  <c r="H406" i="3"/>
  <c r="G406" i="3"/>
  <c r="D406" i="3"/>
  <c r="H405" i="3"/>
  <c r="G405" i="3"/>
  <c r="D405" i="3"/>
  <c r="H404" i="3"/>
  <c r="G404" i="3"/>
  <c r="D404" i="3"/>
  <c r="H403" i="3"/>
  <c r="G403" i="3"/>
  <c r="D403" i="3"/>
  <c r="H402" i="3"/>
  <c r="G402" i="3"/>
  <c r="D402" i="3"/>
  <c r="H401" i="3"/>
  <c r="G401" i="3"/>
  <c r="D401" i="3"/>
  <c r="H400" i="3"/>
  <c r="G400" i="3"/>
  <c r="D400" i="3"/>
  <c r="H399" i="3"/>
  <c r="G399" i="3"/>
  <c r="D399" i="3"/>
  <c r="H398" i="3"/>
  <c r="G398" i="3"/>
  <c r="D398" i="3"/>
  <c r="H397" i="3"/>
  <c r="G397" i="3"/>
  <c r="D397" i="3"/>
  <c r="H396" i="3"/>
  <c r="G396" i="3"/>
  <c r="D396" i="3"/>
  <c r="H395" i="3"/>
  <c r="G395" i="3"/>
  <c r="D395" i="3"/>
  <c r="H394" i="3"/>
  <c r="G394" i="3"/>
  <c r="D394" i="3"/>
  <c r="H393" i="3"/>
  <c r="G393" i="3"/>
  <c r="D393" i="3"/>
  <c r="H392" i="3"/>
  <c r="G392" i="3"/>
  <c r="D392" i="3"/>
  <c r="H391" i="3"/>
  <c r="G391" i="3"/>
  <c r="D391" i="3"/>
  <c r="H390" i="3"/>
  <c r="G390" i="3"/>
  <c r="D390" i="3"/>
  <c r="H389" i="3"/>
  <c r="G389" i="3"/>
  <c r="D389" i="3"/>
  <c r="H388" i="3"/>
  <c r="G388" i="3"/>
  <c r="D388" i="3"/>
  <c r="H387" i="3"/>
  <c r="G387" i="3"/>
  <c r="D387" i="3"/>
  <c r="H386" i="3"/>
  <c r="G386" i="3"/>
  <c r="D386" i="3"/>
  <c r="H385" i="3"/>
  <c r="G385" i="3"/>
  <c r="D385" i="3"/>
  <c r="H384" i="3"/>
  <c r="G384" i="3"/>
  <c r="D384" i="3"/>
  <c r="H383" i="3"/>
  <c r="G383" i="3"/>
  <c r="D383" i="3"/>
  <c r="H382" i="3"/>
  <c r="G382" i="3"/>
  <c r="D382" i="3"/>
  <c r="H381" i="3"/>
  <c r="G381" i="3"/>
  <c r="D381" i="3"/>
  <c r="H380" i="3"/>
  <c r="G380" i="3"/>
  <c r="D380" i="3"/>
  <c r="H379" i="3"/>
  <c r="G379" i="3"/>
  <c r="D379" i="3"/>
  <c r="H378" i="3"/>
  <c r="G378" i="3"/>
  <c r="D378" i="3"/>
  <c r="H377" i="3"/>
  <c r="G377" i="3"/>
  <c r="D377" i="3"/>
  <c r="H376" i="3"/>
  <c r="G376" i="3"/>
  <c r="D376" i="3"/>
  <c r="H375" i="3"/>
  <c r="G375" i="3"/>
  <c r="D375" i="3"/>
  <c r="H374" i="3"/>
  <c r="G374" i="3"/>
  <c r="D374" i="3"/>
  <c r="H373" i="3"/>
  <c r="G373" i="3"/>
  <c r="D373" i="3"/>
  <c r="H372" i="3"/>
  <c r="G372" i="3"/>
  <c r="D372" i="3"/>
  <c r="H371" i="3"/>
  <c r="G371" i="3"/>
  <c r="D371" i="3"/>
  <c r="H370" i="3"/>
  <c r="G370" i="3"/>
  <c r="D370" i="3"/>
  <c r="H369" i="3"/>
  <c r="G369" i="3"/>
  <c r="D369" i="3"/>
  <c r="H368" i="3"/>
  <c r="G368" i="3"/>
  <c r="D368" i="3"/>
  <c r="H367" i="3"/>
  <c r="G367" i="3"/>
  <c r="D367" i="3"/>
  <c r="H366" i="3"/>
  <c r="G366" i="3"/>
  <c r="D366" i="3"/>
  <c r="H365" i="3"/>
  <c r="G365" i="3"/>
  <c r="D365" i="3"/>
  <c r="H364" i="3"/>
  <c r="G364" i="3"/>
  <c r="D364" i="3"/>
  <c r="H363" i="3"/>
  <c r="G363" i="3"/>
  <c r="D363" i="3"/>
  <c r="H362" i="3"/>
  <c r="G362" i="3"/>
  <c r="D362" i="3"/>
  <c r="H361" i="3"/>
  <c r="G361" i="3"/>
  <c r="D361" i="3"/>
  <c r="H360" i="3"/>
  <c r="G360" i="3"/>
  <c r="D360" i="3"/>
  <c r="H359" i="3"/>
  <c r="G359" i="3"/>
  <c r="D359" i="3"/>
  <c r="H358" i="3"/>
  <c r="G358" i="3"/>
  <c r="D358" i="3"/>
  <c r="H357" i="3"/>
  <c r="G357" i="3"/>
  <c r="D357" i="3"/>
  <c r="H356" i="3"/>
  <c r="G356" i="3"/>
  <c r="D356" i="3"/>
  <c r="H355" i="3"/>
  <c r="G355" i="3"/>
  <c r="D355" i="3"/>
  <c r="H354" i="3"/>
  <c r="G354" i="3"/>
  <c r="D354" i="3"/>
  <c r="H353" i="3"/>
  <c r="G353" i="3"/>
  <c r="D353" i="3"/>
  <c r="H352" i="3"/>
  <c r="G352" i="3"/>
  <c r="D352" i="3"/>
  <c r="H351" i="3"/>
  <c r="G351" i="3"/>
  <c r="D351" i="3"/>
  <c r="H350" i="3"/>
  <c r="G350" i="3"/>
  <c r="D350" i="3"/>
  <c r="H349" i="3"/>
  <c r="G349" i="3"/>
  <c r="D349" i="3"/>
  <c r="H348" i="3"/>
  <c r="G348" i="3"/>
  <c r="D348" i="3"/>
  <c r="H347" i="3"/>
  <c r="G347" i="3"/>
  <c r="D347" i="3"/>
  <c r="H346" i="3"/>
  <c r="G346" i="3"/>
  <c r="D346" i="3"/>
  <c r="H345" i="3"/>
  <c r="G345" i="3"/>
  <c r="D345" i="3"/>
  <c r="H344" i="3"/>
  <c r="G344" i="3"/>
  <c r="D344" i="3"/>
  <c r="H343" i="3"/>
  <c r="G343" i="3"/>
  <c r="D343" i="3"/>
  <c r="H342" i="3"/>
  <c r="G342" i="3"/>
  <c r="D342" i="3"/>
  <c r="H341" i="3"/>
  <c r="G341" i="3"/>
  <c r="D341" i="3"/>
  <c r="H340" i="3"/>
  <c r="G340" i="3"/>
  <c r="D340" i="3"/>
  <c r="H339" i="3"/>
  <c r="G339" i="3"/>
  <c r="D339" i="3"/>
  <c r="H338" i="3"/>
  <c r="G338" i="3"/>
  <c r="D338" i="3"/>
  <c r="H337" i="3"/>
  <c r="G337" i="3"/>
  <c r="D337" i="3"/>
  <c r="H336" i="3"/>
  <c r="G336" i="3"/>
  <c r="D336" i="3"/>
  <c r="H335" i="3"/>
  <c r="G335" i="3"/>
  <c r="D335" i="3"/>
  <c r="H334" i="3"/>
  <c r="G334" i="3"/>
  <c r="D334" i="3"/>
  <c r="H333" i="3"/>
  <c r="G333" i="3"/>
  <c r="D333" i="3"/>
  <c r="H332" i="3"/>
  <c r="G332" i="3"/>
  <c r="D332" i="3"/>
  <c r="H331" i="3"/>
  <c r="G331" i="3"/>
  <c r="D331" i="3"/>
  <c r="H330" i="3"/>
  <c r="G330" i="3"/>
  <c r="D330" i="3"/>
  <c r="H329" i="3"/>
  <c r="G329" i="3"/>
  <c r="D329" i="3"/>
  <c r="H328" i="3"/>
  <c r="G328" i="3"/>
  <c r="D328" i="3"/>
  <c r="H327" i="3"/>
  <c r="G327" i="3"/>
  <c r="D327" i="3"/>
  <c r="H326" i="3"/>
  <c r="G326" i="3"/>
  <c r="D326" i="3"/>
  <c r="H325" i="3"/>
  <c r="G325" i="3"/>
  <c r="D325" i="3"/>
  <c r="H324" i="3"/>
  <c r="G324" i="3"/>
  <c r="D324" i="3"/>
  <c r="H323" i="3"/>
  <c r="G323" i="3"/>
  <c r="D323" i="3"/>
  <c r="H322" i="3"/>
  <c r="G322" i="3"/>
  <c r="D322" i="3"/>
  <c r="H321" i="3"/>
  <c r="G321" i="3"/>
  <c r="D321" i="3"/>
  <c r="H320" i="3"/>
  <c r="G320" i="3"/>
  <c r="D320" i="3"/>
  <c r="H319" i="3"/>
  <c r="G319" i="3"/>
  <c r="D319" i="3"/>
  <c r="H318" i="3"/>
  <c r="G318" i="3"/>
  <c r="D318" i="3"/>
  <c r="H317" i="3"/>
  <c r="G317" i="3"/>
  <c r="D317" i="3"/>
  <c r="H316" i="3"/>
  <c r="G316" i="3"/>
  <c r="D316" i="3"/>
  <c r="H315" i="3"/>
  <c r="G315" i="3"/>
  <c r="D315" i="3"/>
  <c r="H314" i="3"/>
  <c r="G314" i="3"/>
  <c r="D314" i="3"/>
  <c r="H313" i="3"/>
  <c r="G313" i="3"/>
  <c r="D313" i="3"/>
  <c r="H312" i="3"/>
  <c r="G312" i="3"/>
  <c r="D312" i="3"/>
  <c r="H311" i="3"/>
  <c r="G311" i="3"/>
  <c r="D311" i="3"/>
  <c r="H310" i="3"/>
  <c r="G310" i="3"/>
  <c r="D310" i="3"/>
  <c r="H309" i="3"/>
  <c r="G309" i="3"/>
  <c r="D309" i="3"/>
  <c r="H308" i="3"/>
  <c r="G308" i="3"/>
  <c r="D308" i="3"/>
  <c r="H307" i="3"/>
  <c r="G307" i="3"/>
  <c r="D307" i="3"/>
  <c r="H306" i="3"/>
  <c r="G306" i="3"/>
  <c r="D306" i="3"/>
  <c r="H305" i="3"/>
  <c r="G305" i="3"/>
  <c r="D305" i="3"/>
  <c r="H304" i="3"/>
  <c r="G304" i="3"/>
  <c r="D304" i="3"/>
  <c r="H303" i="3"/>
  <c r="G303" i="3"/>
  <c r="D303" i="3"/>
  <c r="H302" i="3"/>
  <c r="G302" i="3"/>
  <c r="D302" i="3"/>
  <c r="H301" i="3"/>
  <c r="G301" i="3"/>
  <c r="D301" i="3"/>
  <c r="H300" i="3"/>
  <c r="G300" i="3"/>
  <c r="D300" i="3"/>
  <c r="H299" i="3"/>
  <c r="G299" i="3"/>
  <c r="D299" i="3"/>
  <c r="H298" i="3"/>
  <c r="G298" i="3"/>
  <c r="D298" i="3"/>
  <c r="H297" i="3"/>
  <c r="G297" i="3"/>
  <c r="D297" i="3"/>
  <c r="H296" i="3"/>
  <c r="G296" i="3"/>
  <c r="D296" i="3"/>
  <c r="H295" i="3"/>
  <c r="G295" i="3"/>
  <c r="D295" i="3"/>
  <c r="H294" i="3"/>
  <c r="G294" i="3"/>
  <c r="D294" i="3"/>
  <c r="H293" i="3"/>
  <c r="G293" i="3"/>
  <c r="D293" i="3"/>
  <c r="H292" i="3"/>
  <c r="G292" i="3"/>
  <c r="D292" i="3"/>
  <c r="H291" i="3"/>
  <c r="G291" i="3"/>
  <c r="D291" i="3"/>
  <c r="H290" i="3"/>
  <c r="G290" i="3"/>
  <c r="D290" i="3"/>
  <c r="H289" i="3"/>
  <c r="G289" i="3"/>
  <c r="D289" i="3"/>
  <c r="H288" i="3"/>
  <c r="G288" i="3"/>
  <c r="D288" i="3"/>
  <c r="H287" i="3"/>
  <c r="G287" i="3"/>
  <c r="D287" i="3"/>
  <c r="H286" i="3"/>
  <c r="G286" i="3"/>
  <c r="D286" i="3"/>
  <c r="H285" i="3"/>
  <c r="G285" i="3"/>
  <c r="D285" i="3"/>
  <c r="H284" i="3"/>
  <c r="G284" i="3"/>
  <c r="D284" i="3"/>
  <c r="H283" i="3"/>
  <c r="G283" i="3"/>
  <c r="D283" i="3"/>
  <c r="H282" i="3"/>
  <c r="G282" i="3"/>
  <c r="D282" i="3"/>
  <c r="H281" i="3"/>
  <c r="G281" i="3"/>
  <c r="D281" i="3"/>
  <c r="H280" i="3"/>
  <c r="G280" i="3"/>
  <c r="D280" i="3"/>
  <c r="H279" i="3"/>
  <c r="G279" i="3"/>
  <c r="D279" i="3"/>
  <c r="H278" i="3"/>
  <c r="G278" i="3"/>
  <c r="D278" i="3"/>
  <c r="H277" i="3"/>
  <c r="G277" i="3"/>
  <c r="D277" i="3"/>
  <c r="H276" i="3"/>
  <c r="G276" i="3"/>
  <c r="D276" i="3"/>
  <c r="H275" i="3"/>
  <c r="G275" i="3"/>
  <c r="D275" i="3"/>
  <c r="H274" i="3"/>
  <c r="G274" i="3"/>
  <c r="D274" i="3"/>
  <c r="H273" i="3"/>
  <c r="G273" i="3"/>
  <c r="D273" i="3"/>
  <c r="H272" i="3"/>
  <c r="G272" i="3"/>
  <c r="D272" i="3"/>
  <c r="H271" i="3"/>
  <c r="G271" i="3"/>
  <c r="D271" i="3"/>
  <c r="H270" i="3"/>
  <c r="G270" i="3"/>
  <c r="D270" i="3"/>
  <c r="H269" i="3"/>
  <c r="G269" i="3"/>
  <c r="D269" i="3"/>
  <c r="H268" i="3"/>
  <c r="G268" i="3"/>
  <c r="D268" i="3"/>
  <c r="H267" i="3"/>
  <c r="G267" i="3"/>
  <c r="D267" i="3"/>
  <c r="H266" i="3"/>
  <c r="G266" i="3"/>
  <c r="D266" i="3"/>
  <c r="H265" i="3"/>
  <c r="G265" i="3"/>
  <c r="D265" i="3"/>
  <c r="H264" i="3"/>
  <c r="G264" i="3"/>
  <c r="D264" i="3"/>
  <c r="H263" i="3"/>
  <c r="G263" i="3"/>
  <c r="D263" i="3"/>
  <c r="H262" i="3"/>
  <c r="G262" i="3"/>
  <c r="D262" i="3"/>
  <c r="H261" i="3"/>
  <c r="G261" i="3"/>
  <c r="D261" i="3"/>
  <c r="H260" i="3"/>
  <c r="G260" i="3"/>
  <c r="D260" i="3"/>
  <c r="H259" i="3"/>
  <c r="G259" i="3"/>
  <c r="D259" i="3"/>
  <c r="H258" i="3"/>
  <c r="G258" i="3"/>
  <c r="D258" i="3"/>
  <c r="H257" i="3"/>
  <c r="G257" i="3"/>
  <c r="D257" i="3"/>
  <c r="H256" i="3"/>
  <c r="G256" i="3"/>
  <c r="D256" i="3"/>
  <c r="H255" i="3"/>
  <c r="G255" i="3"/>
  <c r="D255" i="3"/>
  <c r="H254" i="3"/>
  <c r="G254" i="3"/>
  <c r="D254" i="3"/>
  <c r="H253" i="3"/>
  <c r="G253" i="3"/>
  <c r="D253" i="3"/>
  <c r="H252" i="3"/>
  <c r="G252" i="3"/>
  <c r="D252" i="3"/>
  <c r="H251" i="3"/>
  <c r="G251" i="3"/>
  <c r="D251" i="3"/>
  <c r="H250" i="3"/>
  <c r="G250" i="3"/>
  <c r="D250" i="3"/>
  <c r="H249" i="3"/>
  <c r="G249" i="3"/>
  <c r="D249" i="3"/>
  <c r="H248" i="3"/>
  <c r="G248" i="3"/>
  <c r="D248" i="3"/>
  <c r="H247" i="3"/>
  <c r="G247" i="3"/>
  <c r="D247" i="3"/>
  <c r="H246" i="3"/>
  <c r="G246" i="3"/>
  <c r="D246" i="3"/>
  <c r="H245" i="3"/>
  <c r="G245" i="3"/>
  <c r="D245" i="3"/>
  <c r="H244" i="3"/>
  <c r="G244" i="3"/>
  <c r="D244" i="3"/>
  <c r="H243" i="3"/>
  <c r="G243" i="3"/>
  <c r="D243" i="3"/>
  <c r="H242" i="3"/>
  <c r="G242" i="3"/>
  <c r="D242" i="3"/>
  <c r="H241" i="3"/>
  <c r="G241" i="3"/>
  <c r="D241" i="3"/>
  <c r="H240" i="3"/>
  <c r="G240" i="3"/>
  <c r="D240" i="3"/>
  <c r="H239" i="3"/>
  <c r="G239" i="3"/>
  <c r="D239" i="3"/>
  <c r="H238" i="3"/>
  <c r="G238" i="3"/>
  <c r="D238" i="3"/>
  <c r="H237" i="3"/>
  <c r="G237" i="3"/>
  <c r="D237" i="3"/>
  <c r="H236" i="3"/>
  <c r="G236" i="3"/>
  <c r="D236" i="3"/>
  <c r="H235" i="3"/>
  <c r="G235" i="3"/>
  <c r="D235" i="3"/>
  <c r="H234" i="3"/>
  <c r="G234" i="3"/>
  <c r="D234" i="3"/>
  <c r="H233" i="3"/>
  <c r="G233" i="3"/>
  <c r="D233" i="3"/>
  <c r="H232" i="3"/>
  <c r="G232" i="3"/>
  <c r="D232" i="3"/>
  <c r="H231" i="3"/>
  <c r="G231" i="3"/>
  <c r="D231" i="3"/>
  <c r="H230" i="3"/>
  <c r="G230" i="3"/>
  <c r="D230" i="3"/>
  <c r="H229" i="3"/>
  <c r="G229" i="3"/>
  <c r="D229" i="3"/>
  <c r="H228" i="3"/>
  <c r="G228" i="3"/>
  <c r="D228" i="3"/>
  <c r="H227" i="3"/>
  <c r="G227" i="3"/>
  <c r="D227" i="3"/>
  <c r="H226" i="3"/>
  <c r="G226" i="3"/>
  <c r="D226" i="3"/>
  <c r="H225" i="3"/>
  <c r="G225" i="3"/>
  <c r="D225" i="3"/>
  <c r="H224" i="3"/>
  <c r="G224" i="3"/>
  <c r="D224" i="3"/>
  <c r="H223" i="3"/>
  <c r="G223" i="3"/>
  <c r="D223" i="3"/>
  <c r="H222" i="3"/>
  <c r="G222" i="3"/>
  <c r="D222" i="3"/>
  <c r="H221" i="3"/>
  <c r="G221" i="3"/>
  <c r="D221" i="3"/>
  <c r="H220" i="3"/>
  <c r="G220" i="3"/>
  <c r="D220" i="3"/>
  <c r="H219" i="3"/>
  <c r="G219" i="3"/>
  <c r="D219" i="3"/>
  <c r="H218" i="3"/>
  <c r="G218" i="3"/>
  <c r="D218" i="3"/>
  <c r="H217" i="3"/>
  <c r="G217" i="3"/>
  <c r="D217" i="3"/>
  <c r="H216" i="3"/>
  <c r="G216" i="3"/>
  <c r="D216" i="3"/>
  <c r="H215" i="3"/>
  <c r="G215" i="3"/>
  <c r="D215" i="3"/>
  <c r="H214" i="3"/>
  <c r="G214" i="3"/>
  <c r="D214" i="3"/>
  <c r="H213" i="3"/>
  <c r="G213" i="3"/>
  <c r="D213" i="3"/>
  <c r="H212" i="3"/>
  <c r="G212" i="3"/>
  <c r="D212" i="3"/>
  <c r="H211" i="3"/>
  <c r="G211" i="3"/>
  <c r="D211" i="3"/>
  <c r="H210" i="3"/>
  <c r="G210" i="3"/>
  <c r="D210" i="3"/>
  <c r="H209" i="3"/>
  <c r="G209" i="3"/>
  <c r="D209" i="3"/>
  <c r="H208" i="3"/>
  <c r="G208" i="3"/>
  <c r="D208" i="3"/>
  <c r="H207" i="3"/>
  <c r="G207" i="3"/>
  <c r="D207" i="3"/>
  <c r="H206" i="3"/>
  <c r="G206" i="3"/>
  <c r="D206" i="3"/>
  <c r="H205" i="3"/>
  <c r="G205" i="3"/>
  <c r="D205" i="3"/>
  <c r="H204" i="3"/>
  <c r="G204" i="3"/>
  <c r="D204" i="3"/>
  <c r="H203" i="3"/>
  <c r="G203" i="3"/>
  <c r="D203" i="3"/>
  <c r="H202" i="3"/>
  <c r="G202" i="3"/>
  <c r="D202" i="3"/>
  <c r="H201" i="3"/>
  <c r="G201" i="3"/>
  <c r="D201" i="3"/>
  <c r="H200" i="3"/>
  <c r="G200" i="3"/>
  <c r="D200" i="3"/>
  <c r="H199" i="3"/>
  <c r="G199" i="3"/>
  <c r="D199" i="3"/>
  <c r="H198" i="3"/>
  <c r="G198" i="3"/>
  <c r="D198" i="3"/>
  <c r="H197" i="3"/>
  <c r="G197" i="3"/>
  <c r="D197" i="3"/>
  <c r="H196" i="3"/>
  <c r="G196" i="3"/>
  <c r="D196" i="3"/>
  <c r="H195" i="3"/>
  <c r="G195" i="3"/>
  <c r="D195" i="3"/>
  <c r="H194" i="3"/>
  <c r="G194" i="3"/>
  <c r="D194" i="3"/>
  <c r="H193" i="3"/>
  <c r="G193" i="3"/>
  <c r="D193" i="3"/>
  <c r="H192" i="3"/>
  <c r="G192" i="3"/>
  <c r="D192" i="3"/>
  <c r="H191" i="3"/>
  <c r="G191" i="3"/>
  <c r="D191" i="3"/>
  <c r="H190" i="3"/>
  <c r="G190" i="3"/>
  <c r="D190" i="3"/>
  <c r="H189" i="3"/>
  <c r="G189" i="3"/>
  <c r="D189" i="3"/>
  <c r="H188" i="3"/>
  <c r="G188" i="3"/>
  <c r="D188" i="3"/>
  <c r="H187" i="3"/>
  <c r="G187" i="3"/>
  <c r="D187" i="3"/>
  <c r="H186" i="3"/>
  <c r="G186" i="3"/>
  <c r="D186" i="3"/>
  <c r="H185" i="3"/>
  <c r="G185" i="3"/>
  <c r="D185" i="3"/>
  <c r="H184" i="3"/>
  <c r="G184" i="3"/>
  <c r="D184" i="3"/>
  <c r="H183" i="3"/>
  <c r="G183" i="3"/>
  <c r="D183" i="3"/>
  <c r="H182" i="3"/>
  <c r="G182" i="3"/>
  <c r="D182" i="3"/>
  <c r="H181" i="3"/>
  <c r="G181" i="3"/>
  <c r="D181" i="3"/>
  <c r="H180" i="3"/>
  <c r="G180" i="3"/>
  <c r="D180" i="3"/>
  <c r="H179" i="3"/>
  <c r="G179" i="3"/>
  <c r="D179" i="3"/>
  <c r="H178" i="3"/>
  <c r="G178" i="3"/>
  <c r="D178" i="3"/>
  <c r="H177" i="3"/>
  <c r="G177" i="3"/>
  <c r="D177" i="3"/>
  <c r="H176" i="3"/>
  <c r="G176" i="3"/>
  <c r="D176" i="3"/>
  <c r="H175" i="3"/>
  <c r="G175" i="3"/>
  <c r="D175" i="3"/>
  <c r="H174" i="3"/>
  <c r="G174" i="3"/>
  <c r="D174" i="3"/>
  <c r="H173" i="3"/>
  <c r="G173" i="3"/>
  <c r="D173" i="3"/>
  <c r="H172" i="3"/>
  <c r="G172" i="3"/>
  <c r="D172" i="3"/>
  <c r="H171" i="3"/>
  <c r="G171" i="3"/>
  <c r="D171" i="3"/>
  <c r="H170" i="3"/>
  <c r="G170" i="3"/>
  <c r="D170" i="3"/>
  <c r="H169" i="3"/>
  <c r="G169" i="3"/>
  <c r="D169" i="3"/>
  <c r="H168" i="3"/>
  <c r="G168" i="3"/>
  <c r="D168" i="3"/>
  <c r="H167" i="3"/>
  <c r="G167" i="3"/>
  <c r="D167" i="3"/>
  <c r="H166" i="3"/>
  <c r="G166" i="3"/>
  <c r="D166" i="3"/>
  <c r="H165" i="3"/>
  <c r="G165" i="3"/>
  <c r="D165" i="3"/>
  <c r="H164" i="3"/>
  <c r="G164" i="3"/>
  <c r="D164" i="3"/>
  <c r="H163" i="3"/>
  <c r="G163" i="3"/>
  <c r="D163" i="3"/>
  <c r="H162" i="3"/>
  <c r="G162" i="3"/>
  <c r="D162" i="3"/>
  <c r="H161" i="3"/>
  <c r="G161" i="3"/>
  <c r="D161" i="3"/>
  <c r="H160" i="3"/>
  <c r="G160" i="3"/>
  <c r="D160" i="3"/>
  <c r="H159" i="3"/>
  <c r="G159" i="3"/>
  <c r="D159" i="3"/>
  <c r="H158" i="3"/>
  <c r="G158" i="3"/>
  <c r="D158" i="3"/>
  <c r="H157" i="3"/>
  <c r="G157" i="3"/>
  <c r="D157" i="3"/>
  <c r="H156" i="3"/>
  <c r="G156" i="3"/>
  <c r="D156" i="3"/>
  <c r="H155" i="3"/>
  <c r="G155" i="3"/>
  <c r="D155" i="3"/>
  <c r="H154" i="3"/>
  <c r="G154" i="3"/>
  <c r="D154" i="3"/>
  <c r="H153" i="3"/>
  <c r="G153" i="3"/>
  <c r="D153" i="3"/>
  <c r="H152" i="3"/>
  <c r="G152" i="3"/>
  <c r="D152" i="3"/>
  <c r="H151" i="3"/>
  <c r="G151" i="3"/>
  <c r="D151" i="3"/>
  <c r="H150" i="3"/>
  <c r="G150" i="3"/>
  <c r="D150" i="3"/>
  <c r="H149" i="3"/>
  <c r="G149" i="3"/>
  <c r="D149" i="3"/>
  <c r="H148" i="3"/>
  <c r="G148" i="3"/>
  <c r="D148" i="3"/>
  <c r="H147" i="3"/>
  <c r="G147" i="3"/>
  <c r="D147" i="3"/>
  <c r="H146" i="3"/>
  <c r="G146" i="3"/>
  <c r="D146" i="3"/>
  <c r="H145" i="3"/>
  <c r="G145" i="3"/>
  <c r="D145" i="3"/>
  <c r="H144" i="3"/>
  <c r="G144" i="3"/>
  <c r="D144" i="3"/>
  <c r="H143" i="3"/>
  <c r="G143" i="3"/>
  <c r="D143" i="3"/>
  <c r="H142" i="3"/>
  <c r="G142" i="3"/>
  <c r="D142" i="3"/>
  <c r="H141" i="3"/>
  <c r="G141" i="3"/>
  <c r="D141" i="3"/>
  <c r="H140" i="3"/>
  <c r="G140" i="3"/>
  <c r="D140" i="3"/>
  <c r="H139" i="3"/>
  <c r="G139" i="3"/>
  <c r="D139" i="3"/>
  <c r="H138" i="3"/>
  <c r="G138" i="3"/>
  <c r="D138" i="3"/>
  <c r="H137" i="3"/>
  <c r="G137" i="3"/>
  <c r="D137" i="3"/>
  <c r="H136" i="3"/>
  <c r="G136" i="3"/>
  <c r="D136" i="3"/>
  <c r="H135" i="3"/>
  <c r="G135" i="3"/>
  <c r="D135" i="3"/>
  <c r="H134" i="3"/>
  <c r="G134" i="3"/>
  <c r="D134" i="3"/>
  <c r="H133" i="3"/>
  <c r="G133" i="3"/>
  <c r="D133" i="3"/>
  <c r="H132" i="3"/>
  <c r="G132" i="3"/>
  <c r="D132" i="3"/>
  <c r="H131" i="3"/>
  <c r="G131" i="3"/>
  <c r="D131" i="3"/>
  <c r="H130" i="3"/>
  <c r="G130" i="3"/>
  <c r="D130" i="3"/>
  <c r="H129" i="3"/>
  <c r="G129" i="3"/>
  <c r="D129" i="3"/>
  <c r="H128" i="3"/>
  <c r="G128" i="3"/>
  <c r="D128" i="3"/>
  <c r="H127" i="3"/>
  <c r="G127" i="3"/>
  <c r="D127" i="3"/>
  <c r="H126" i="3"/>
  <c r="G126" i="3"/>
  <c r="D126" i="3"/>
  <c r="H125" i="3"/>
  <c r="G125" i="3"/>
  <c r="D125" i="3"/>
  <c r="H124" i="3"/>
  <c r="G124" i="3"/>
  <c r="D124" i="3"/>
  <c r="H123" i="3"/>
  <c r="G123" i="3"/>
  <c r="D123" i="3"/>
  <c r="H122" i="3"/>
  <c r="G122" i="3"/>
  <c r="D122" i="3"/>
  <c r="H121" i="3"/>
  <c r="G121" i="3"/>
  <c r="D121" i="3"/>
  <c r="H120" i="3"/>
  <c r="G120" i="3"/>
  <c r="D120" i="3"/>
  <c r="H119" i="3"/>
  <c r="G119" i="3"/>
  <c r="D119" i="3"/>
  <c r="H118" i="3"/>
  <c r="G118" i="3"/>
  <c r="D118" i="3"/>
  <c r="H117" i="3"/>
  <c r="G117" i="3"/>
  <c r="D117" i="3"/>
  <c r="H116" i="3"/>
  <c r="G116" i="3"/>
  <c r="D116" i="3"/>
  <c r="H115" i="3"/>
  <c r="G115" i="3"/>
  <c r="D115" i="3"/>
  <c r="H114" i="3"/>
  <c r="G114" i="3"/>
  <c r="D114" i="3"/>
  <c r="H113" i="3"/>
  <c r="G113" i="3"/>
  <c r="D113" i="3"/>
  <c r="H112" i="3"/>
  <c r="G112" i="3"/>
  <c r="D112" i="3"/>
  <c r="H111" i="3"/>
  <c r="G111" i="3"/>
  <c r="D111" i="3"/>
  <c r="H110" i="3"/>
  <c r="G110" i="3"/>
  <c r="D110" i="3"/>
  <c r="H109" i="3"/>
  <c r="G109" i="3"/>
  <c r="D109" i="3"/>
  <c r="H108" i="3"/>
  <c r="G108" i="3"/>
  <c r="D108" i="3"/>
  <c r="H107" i="3"/>
  <c r="G107" i="3"/>
  <c r="D107" i="3"/>
  <c r="H106" i="3"/>
  <c r="G106" i="3"/>
  <c r="D106" i="3"/>
  <c r="H105" i="3"/>
  <c r="G105" i="3"/>
  <c r="D105" i="3"/>
  <c r="H104" i="3"/>
  <c r="G104" i="3"/>
  <c r="D104" i="3"/>
  <c r="H103" i="3"/>
  <c r="G103" i="3"/>
  <c r="D103" i="3"/>
  <c r="H102" i="3"/>
  <c r="G102" i="3"/>
  <c r="D102" i="3"/>
  <c r="H101" i="3"/>
  <c r="G101" i="3"/>
  <c r="D101" i="3"/>
  <c r="H100" i="3"/>
  <c r="G100" i="3"/>
  <c r="D100" i="3"/>
  <c r="H99" i="3"/>
  <c r="G99" i="3"/>
  <c r="D99" i="3"/>
  <c r="H98" i="3"/>
  <c r="G98" i="3"/>
  <c r="D98" i="3"/>
  <c r="H97" i="3"/>
  <c r="G97" i="3"/>
  <c r="D97" i="3"/>
  <c r="H96" i="3"/>
  <c r="G96" i="3"/>
  <c r="D96" i="3"/>
  <c r="H95" i="3"/>
  <c r="G95" i="3"/>
  <c r="D95" i="3"/>
  <c r="H94" i="3"/>
  <c r="G94" i="3"/>
  <c r="D94" i="3"/>
  <c r="H93" i="3"/>
  <c r="G93" i="3"/>
  <c r="D93" i="3"/>
  <c r="H92" i="3"/>
  <c r="G92" i="3"/>
  <c r="D92" i="3"/>
  <c r="H91" i="3"/>
  <c r="G91" i="3"/>
  <c r="D91" i="3"/>
  <c r="H90" i="3"/>
  <c r="G90" i="3"/>
  <c r="D90" i="3"/>
  <c r="H89" i="3"/>
  <c r="G89" i="3"/>
  <c r="D89" i="3"/>
  <c r="H88" i="3"/>
  <c r="G88" i="3"/>
  <c r="D88" i="3"/>
  <c r="H87" i="3"/>
  <c r="G87" i="3"/>
  <c r="D87" i="3"/>
  <c r="H86" i="3"/>
  <c r="G86" i="3"/>
  <c r="D86" i="3"/>
  <c r="H85" i="3"/>
  <c r="G85" i="3"/>
  <c r="D85" i="3"/>
  <c r="H84" i="3"/>
  <c r="G84" i="3"/>
  <c r="D84" i="3"/>
  <c r="H83" i="3"/>
  <c r="G83" i="3"/>
  <c r="D83" i="3"/>
  <c r="H82" i="3"/>
  <c r="G82" i="3"/>
  <c r="D82" i="3"/>
  <c r="H81" i="3"/>
  <c r="G81" i="3"/>
  <c r="D81" i="3"/>
  <c r="H80" i="3"/>
  <c r="G80" i="3"/>
  <c r="D80" i="3"/>
  <c r="H79" i="3"/>
  <c r="G79" i="3"/>
  <c r="D79" i="3"/>
  <c r="H78" i="3"/>
  <c r="G78" i="3"/>
  <c r="D78" i="3"/>
  <c r="H77" i="3"/>
  <c r="G77" i="3"/>
  <c r="D77" i="3"/>
  <c r="H76" i="3"/>
  <c r="G76" i="3"/>
  <c r="D76" i="3"/>
  <c r="H75" i="3"/>
  <c r="G75" i="3"/>
  <c r="D75" i="3"/>
  <c r="H74" i="3"/>
  <c r="G74" i="3"/>
  <c r="D74" i="3"/>
  <c r="H73" i="3"/>
  <c r="G73" i="3"/>
  <c r="D73" i="3"/>
  <c r="H72" i="3"/>
  <c r="G72" i="3"/>
  <c r="D72" i="3"/>
  <c r="H71" i="3"/>
  <c r="G71" i="3"/>
  <c r="D71" i="3"/>
  <c r="H70" i="3"/>
  <c r="G70" i="3"/>
  <c r="D70" i="3"/>
  <c r="H69" i="3"/>
  <c r="G69" i="3"/>
  <c r="D69" i="3"/>
  <c r="H68" i="3"/>
  <c r="G68" i="3"/>
  <c r="D68" i="3"/>
  <c r="H67" i="3"/>
  <c r="G67" i="3"/>
  <c r="D67" i="3"/>
  <c r="H66" i="3"/>
  <c r="G66" i="3"/>
  <c r="D66" i="3"/>
  <c r="H65" i="3"/>
  <c r="G65" i="3"/>
  <c r="D65" i="3"/>
  <c r="H64" i="3"/>
  <c r="G64" i="3"/>
  <c r="D64" i="3"/>
  <c r="H63" i="3"/>
  <c r="G63" i="3"/>
  <c r="D63" i="3"/>
  <c r="H62" i="3"/>
  <c r="G62" i="3"/>
  <c r="D62" i="3"/>
  <c r="H61" i="3"/>
  <c r="G61" i="3"/>
  <c r="D61" i="3"/>
  <c r="H60" i="3"/>
  <c r="G60" i="3"/>
  <c r="D60" i="3"/>
  <c r="H59" i="3"/>
  <c r="G59" i="3"/>
  <c r="D59" i="3"/>
  <c r="H58" i="3"/>
  <c r="G58" i="3"/>
  <c r="D58" i="3"/>
  <c r="H57" i="3"/>
  <c r="G57" i="3"/>
  <c r="D57" i="3"/>
  <c r="H56" i="3"/>
  <c r="G56" i="3"/>
  <c r="D56" i="3"/>
  <c r="H55" i="3"/>
  <c r="G55" i="3"/>
  <c r="D55" i="3"/>
  <c r="H54" i="3"/>
  <c r="G54" i="3"/>
  <c r="D54" i="3"/>
  <c r="H53" i="3"/>
  <c r="G53" i="3"/>
  <c r="D53" i="3"/>
  <c r="H52" i="3"/>
  <c r="G52" i="3"/>
  <c r="D52" i="3"/>
  <c r="H51" i="3"/>
  <c r="G51" i="3"/>
  <c r="D51" i="3"/>
  <c r="H50" i="3"/>
  <c r="G50" i="3"/>
  <c r="D50" i="3"/>
  <c r="H49" i="3"/>
  <c r="G49" i="3"/>
  <c r="D49" i="3"/>
  <c r="H48" i="3"/>
  <c r="G48" i="3"/>
  <c r="D48" i="3"/>
  <c r="H47" i="3"/>
  <c r="G47" i="3"/>
  <c r="D47" i="3"/>
  <c r="H46" i="3"/>
  <c r="G46" i="3"/>
  <c r="D46" i="3"/>
  <c r="H45" i="3"/>
  <c r="G45" i="3"/>
  <c r="D45" i="3"/>
  <c r="H44" i="3"/>
  <c r="G44" i="3"/>
  <c r="D44" i="3"/>
  <c r="H43" i="3"/>
  <c r="G43" i="3"/>
  <c r="D43" i="3"/>
  <c r="H42" i="3"/>
  <c r="G42" i="3"/>
  <c r="D42" i="3"/>
  <c r="H41" i="3"/>
  <c r="G41" i="3"/>
  <c r="D41" i="3"/>
  <c r="H40" i="3"/>
  <c r="G40" i="3"/>
  <c r="D40" i="3"/>
  <c r="H39" i="3"/>
  <c r="G39" i="3"/>
  <c r="D39" i="3"/>
  <c r="H38" i="3"/>
  <c r="G38" i="3"/>
  <c r="D38" i="3"/>
  <c r="H37" i="3"/>
  <c r="G37" i="3"/>
  <c r="D37" i="3"/>
  <c r="H36" i="3"/>
  <c r="G36" i="3"/>
  <c r="D36" i="3"/>
  <c r="H35" i="3"/>
  <c r="G35" i="3"/>
  <c r="D35" i="3"/>
  <c r="H34" i="3"/>
  <c r="G34" i="3"/>
  <c r="D34" i="3"/>
  <c r="H33" i="3"/>
  <c r="G33" i="3"/>
  <c r="D33" i="3"/>
  <c r="H32" i="3"/>
  <c r="G32" i="3"/>
  <c r="D32" i="3"/>
  <c r="H31" i="3"/>
  <c r="G31" i="3"/>
  <c r="D31" i="3"/>
  <c r="H30" i="3"/>
  <c r="G30" i="3"/>
  <c r="D30" i="3"/>
  <c r="H29" i="3"/>
  <c r="G29" i="3"/>
  <c r="D29" i="3"/>
  <c r="H28" i="3"/>
  <c r="G28" i="3"/>
  <c r="D28" i="3"/>
  <c r="H27" i="3"/>
  <c r="G27" i="3"/>
  <c r="D27" i="3"/>
  <c r="H26" i="3"/>
  <c r="G26" i="3"/>
  <c r="D26" i="3"/>
  <c r="H25" i="3"/>
  <c r="G25" i="3"/>
  <c r="D25" i="3"/>
  <c r="H24" i="3"/>
  <c r="G24" i="3"/>
  <c r="D24" i="3"/>
  <c r="H23" i="3"/>
  <c r="G23" i="3"/>
  <c r="D23" i="3"/>
  <c r="H22" i="3"/>
  <c r="G22" i="3"/>
  <c r="D22" i="3"/>
  <c r="H21" i="3"/>
  <c r="G21" i="3"/>
  <c r="D21" i="3"/>
  <c r="H20" i="3"/>
  <c r="G20" i="3"/>
  <c r="D20" i="3"/>
  <c r="H19" i="3"/>
  <c r="G19" i="3"/>
  <c r="D19" i="3"/>
  <c r="H18" i="3"/>
  <c r="G18" i="3"/>
  <c r="D18" i="3"/>
  <c r="H17" i="3"/>
  <c r="G17" i="3"/>
  <c r="D17" i="3"/>
  <c r="H16" i="3"/>
  <c r="G16" i="3"/>
  <c r="D16" i="3"/>
  <c r="H15" i="3"/>
  <c r="G15" i="3"/>
  <c r="D15" i="3"/>
  <c r="H14" i="3"/>
  <c r="G14" i="3"/>
  <c r="D14" i="3"/>
  <c r="H13" i="3"/>
  <c r="G13" i="3"/>
  <c r="D13" i="3"/>
  <c r="H12" i="3"/>
  <c r="G12" i="3"/>
  <c r="D12" i="3"/>
  <c r="H11" i="3"/>
  <c r="G11" i="3"/>
  <c r="D11" i="3"/>
  <c r="H10" i="3"/>
  <c r="G10" i="3"/>
  <c r="D10" i="3"/>
  <c r="H9" i="3"/>
  <c r="G9" i="3"/>
  <c r="D9" i="3"/>
  <c r="H8" i="3"/>
  <c r="G8" i="3"/>
  <c r="D8" i="3"/>
  <c r="H7" i="3"/>
  <c r="G7" i="3"/>
  <c r="D7" i="3"/>
  <c r="H6" i="3"/>
  <c r="G6" i="3"/>
  <c r="D6" i="3"/>
  <c r="H5" i="3"/>
  <c r="G5" i="3"/>
  <c r="D5" i="3"/>
  <c r="H4" i="3"/>
  <c r="G4" i="3"/>
  <c r="D4" i="3"/>
  <c r="H3" i="3"/>
  <c r="G3" i="3"/>
  <c r="D3" i="3"/>
  <c r="H2" i="3"/>
  <c r="G2" i="3"/>
  <c r="D2" i="3"/>
</calcChain>
</file>

<file path=xl/sharedStrings.xml><?xml version="1.0" encoding="utf-8"?>
<sst xmlns="http://schemas.openxmlformats.org/spreadsheetml/2006/main" count="9171" uniqueCount="2656">
  <si>
    <t>GroupName</t>
  </si>
  <si>
    <t>GroupProteinFunction</t>
  </si>
  <si>
    <t>GeneAccession</t>
  </si>
  <si>
    <t>GeneLink</t>
  </si>
  <si>
    <t>GeneProteinFunction</t>
  </si>
  <si>
    <t>IsolateName</t>
  </si>
  <si>
    <t>IsolateAccession</t>
  </si>
  <si>
    <t>GroupNameGood</t>
  </si>
  <si>
    <t>Fence</t>
  </si>
  <si>
    <t>GenomeAcc</t>
  </si>
  <si>
    <t>A18</t>
  </si>
  <si>
    <t>DNA helicase</t>
  </si>
  <si>
    <t>ATI21220.1</t>
  </si>
  <si>
    <t>DNA helicase transcript release factor</t>
  </si>
  <si>
    <t>Eastern grey kangaroopox virus</t>
  </si>
  <si>
    <t>MF467281</t>
  </si>
  <si>
    <t>AWU47153.1</t>
  </si>
  <si>
    <t>Sea otter poxvirus</t>
  </si>
  <si>
    <t>MH427217</t>
  </si>
  <si>
    <t>APG58328.1</t>
  </si>
  <si>
    <t>transcript termination protein A18</t>
  </si>
  <si>
    <t>BeAn 58058 virus</t>
  </si>
  <si>
    <t>KY094066</t>
  </si>
  <si>
    <t>ADT91137.1</t>
  </si>
  <si>
    <t>DNA helicase-transcription elongation factor</t>
  </si>
  <si>
    <t>Cotia virus SPAn232</t>
  </si>
  <si>
    <t>HQ647181</t>
  </si>
  <si>
    <t>ANS71197.1</t>
  </si>
  <si>
    <t>Pteropox virus</t>
  </si>
  <si>
    <t>KU980965</t>
  </si>
  <si>
    <t>AKR04244.1</t>
  </si>
  <si>
    <t>DNA or RNA helicases of superfamily II</t>
  </si>
  <si>
    <t>Salmon gill poxvirus</t>
  </si>
  <si>
    <t>KT159937</t>
  </si>
  <si>
    <t>CCD83290.1</t>
  </si>
  <si>
    <t>transcript release/DNA helicase</t>
  </si>
  <si>
    <t>Squirrelpox virus</t>
  </si>
  <si>
    <t>HE601899</t>
  </si>
  <si>
    <t>ASK51316.1</t>
  </si>
  <si>
    <t>DNA helicase, transcript release factor</t>
  </si>
  <si>
    <t>Eptesipox virus</t>
  </si>
  <si>
    <t>KY747497</t>
  </si>
  <si>
    <t>AUD40291.1</t>
  </si>
  <si>
    <t>Flamingopox virus FGPVKD09</t>
  </si>
  <si>
    <t>MF678796</t>
  </si>
  <si>
    <t>AID46922.1</t>
  </si>
  <si>
    <t>Penguinpox virus</t>
  </si>
  <si>
    <t>KJ859677</t>
  </si>
  <si>
    <t>AID46690.1</t>
  </si>
  <si>
    <t>Pigeonpox virus</t>
  </si>
  <si>
    <t>KJ801920</t>
  </si>
  <si>
    <t>ALA62507.1</t>
  </si>
  <si>
    <t>transcriptional elongation DNA helicase</t>
  </si>
  <si>
    <t>Turkeypox virus</t>
  </si>
  <si>
    <t>KP728110</t>
  </si>
  <si>
    <t>AAR83603.1</t>
  </si>
  <si>
    <t>CNPV257 DNA helicase, transcriptional elongation</t>
  </si>
  <si>
    <t>Canarypox virus</t>
  </si>
  <si>
    <t>AY318871</t>
  </si>
  <si>
    <t>AAF44527.1</t>
  </si>
  <si>
    <t>ORF FPV183 DNA helicase, transcriptional elongation</t>
  </si>
  <si>
    <t>Fowlpox virus</t>
  </si>
  <si>
    <t>AF198100</t>
  </si>
  <si>
    <t>AAK85071.1</t>
  </si>
  <si>
    <t>LSDV110 putative DNA helicase transcriptional elongation factor</t>
  </si>
  <si>
    <t>Lumpy skin disease virus NI-2490</t>
  </si>
  <si>
    <t>AF325528</t>
  </si>
  <si>
    <t>AST09329.1</t>
  </si>
  <si>
    <t>Murmansk poxvirus</t>
  </si>
  <si>
    <t>MF001304</t>
  </si>
  <si>
    <t>AEN03711.1</t>
  </si>
  <si>
    <t>Yokapox virus</t>
  </si>
  <si>
    <t>HQ849551</t>
  </si>
  <si>
    <t>ABI99274.1</t>
  </si>
  <si>
    <t>Deerpox virus W-848-83</t>
  </si>
  <si>
    <t>AY689436</t>
  </si>
  <si>
    <t>ABJ09032.1</t>
  </si>
  <si>
    <t>Nile crocodilepox virus</t>
  </si>
  <si>
    <t>DQ356948</t>
  </si>
  <si>
    <t>AAF14996.1</t>
  </si>
  <si>
    <t>m108R</t>
  </si>
  <si>
    <t>Myxoma virus</t>
  </si>
  <si>
    <t>AF170726</t>
  </si>
  <si>
    <t>AFU77372.1</t>
  </si>
  <si>
    <t>AAF17991.1</t>
  </si>
  <si>
    <t>gp108R</t>
  </si>
  <si>
    <t>Rabbit fibroma virus</t>
  </si>
  <si>
    <t>AF170722</t>
  </si>
  <si>
    <t>AAC55251.1</t>
  </si>
  <si>
    <t>MC123R</t>
  </si>
  <si>
    <t>Molluscum contagiosum virus subtype 1</t>
  </si>
  <si>
    <t>U60315</t>
  </si>
  <si>
    <t>AYN64703.1</t>
  </si>
  <si>
    <t>putative A18R protein</t>
  </si>
  <si>
    <t>Orthopoxvirus Abatino</t>
  </si>
  <si>
    <t>MH816996</t>
  </si>
  <si>
    <t>AXN74933.1</t>
  </si>
  <si>
    <t>Akhmeta virus</t>
  </si>
  <si>
    <t>MH607141</t>
  </si>
  <si>
    <t>ABH08245.1</t>
  </si>
  <si>
    <t>HSPV139</t>
  </si>
  <si>
    <t>Horsepox virus</t>
  </si>
  <si>
    <t>DQ792504</t>
  </si>
  <si>
    <t>AAG37625.1</t>
  </si>
  <si>
    <t>CMP135R</t>
  </si>
  <si>
    <t>Camelpox virus CMS</t>
  </si>
  <si>
    <t>AY009089</t>
  </si>
  <si>
    <t>AAL73843.1</t>
  </si>
  <si>
    <t>putative DNA helicase transcriptional elongation factor</t>
  </si>
  <si>
    <t>Camelpox virus M-96</t>
  </si>
  <si>
    <t>AF438165</t>
  </si>
  <si>
    <t>AAM13592.1</t>
  </si>
  <si>
    <t>CPXV151 protein</t>
  </si>
  <si>
    <t>Cowpox virus</t>
  </si>
  <si>
    <t>AF482758</t>
  </si>
  <si>
    <t>AAM92426.1</t>
  </si>
  <si>
    <t>EVM121</t>
  </si>
  <si>
    <t>Ectromelia virus</t>
  </si>
  <si>
    <t>AF012825</t>
  </si>
  <si>
    <t>AFH54685.1</t>
  </si>
  <si>
    <t>Ectromelia virus ERPV</t>
  </si>
  <si>
    <t>AFH54685</t>
  </si>
  <si>
    <t>AAL40587.1</t>
  </si>
  <si>
    <t>A19R</t>
  </si>
  <si>
    <t>Monkeypox virus Zaire-96-I-16 (clade I)</t>
  </si>
  <si>
    <t>AF380138</t>
  </si>
  <si>
    <t>AAX09225.1</t>
  </si>
  <si>
    <t>MPXV-COP-124</t>
  </si>
  <si>
    <t>monkeypox virus strain cOP-58 (clade IIa)</t>
  </si>
  <si>
    <t>AY753185</t>
  </si>
  <si>
    <t>AKJ93767.1</t>
  </si>
  <si>
    <t>Raccoonpox virus</t>
  </si>
  <si>
    <t>KP143769</t>
  </si>
  <si>
    <t>AOP31616.1</t>
  </si>
  <si>
    <t>Skunkpox virus</t>
  </si>
  <si>
    <t>KU749310</t>
  </si>
  <si>
    <t>ABD97706.1</t>
  </si>
  <si>
    <t>Taterapox virus</t>
  </si>
  <si>
    <t>DQ437594</t>
  </si>
  <si>
    <t>AAO89417.1</t>
  </si>
  <si>
    <t>Vaccinia virus WR</t>
  </si>
  <si>
    <t>AY243312</t>
  </si>
  <si>
    <t>CAA49063.1</t>
  </si>
  <si>
    <t>A18R</t>
  </si>
  <si>
    <t>Variola  virus major</t>
  </si>
  <si>
    <t>X69198</t>
  </si>
  <si>
    <t>CAB54722.1</t>
  </si>
  <si>
    <t>A19R protein</t>
  </si>
  <si>
    <t>Variola minor virus</t>
  </si>
  <si>
    <t>Y16780</t>
  </si>
  <si>
    <t>AOP31827.1</t>
  </si>
  <si>
    <t>Volepox virus</t>
  </si>
  <si>
    <t>KU749311</t>
  </si>
  <si>
    <t>ASC55551.1</t>
  </si>
  <si>
    <t>DNA helicase-like protein</t>
  </si>
  <si>
    <t>Seal parapoxvirus</t>
  </si>
  <si>
    <t>KY382358</t>
  </si>
  <si>
    <t>AAR98452.1</t>
  </si>
  <si>
    <t>ORF095 DNA helicase</t>
  </si>
  <si>
    <t>Bovine papular stomatitis virus</t>
  </si>
  <si>
    <t>AY386265</t>
  </si>
  <si>
    <t>AAR98320.1</t>
  </si>
  <si>
    <t>Orf virus</t>
  </si>
  <si>
    <t>AY386264</t>
  </si>
  <si>
    <t>ABA00612.1</t>
  </si>
  <si>
    <t>AIZ77346.1</t>
  </si>
  <si>
    <t>putative DNA helicase</t>
  </si>
  <si>
    <t>Parapoxvirus red deer/HL953</t>
  </si>
  <si>
    <t>KM502564</t>
  </si>
  <si>
    <t>ADC53997.1</t>
  </si>
  <si>
    <t>Pseudocowpox virus</t>
  </si>
  <si>
    <t>GQ329670</t>
  </si>
  <si>
    <t>AAL69846.1</t>
  </si>
  <si>
    <t>SPV107 putative DNA helicase transcriptional elongation factor</t>
  </si>
  <si>
    <t>Swinepox virus</t>
  </si>
  <si>
    <t>AF410153</t>
  </si>
  <si>
    <t>CAC21348.1</t>
  </si>
  <si>
    <t>110R protein</t>
  </si>
  <si>
    <t>Yaba-like disease virus</t>
  </si>
  <si>
    <t>AJ293568</t>
  </si>
  <si>
    <t>AAR07466.1</t>
  </si>
  <si>
    <t>110R</t>
  </si>
  <si>
    <t>Yaba monkey tumor virus</t>
  </si>
  <si>
    <t>AY386371</t>
  </si>
  <si>
    <t>AAC97786.1</t>
  </si>
  <si>
    <t>ORF MSV148 putative DNA helicase (vaccinia A18R), similar to SW:P20534</t>
  </si>
  <si>
    <t>Melanoplus sanguinipes entomopoxvirus 'O'</t>
  </si>
  <si>
    <t>AF063866</t>
  </si>
  <si>
    <t>BAO49508.1</t>
  </si>
  <si>
    <t>DNA helicase, transcriptional elongation</t>
  </si>
  <si>
    <t>Anomala cuprea entomopoxvirus</t>
  </si>
  <si>
    <t>AP013055</t>
  </si>
  <si>
    <t>CCU55377.1</t>
  </si>
  <si>
    <t>Adoxophyes honmai entomopoxvirus 'L'</t>
  </si>
  <si>
    <t>HF679131</t>
  </si>
  <si>
    <t>AAG02765.1</t>
  </si>
  <si>
    <t>AMV059</t>
  </si>
  <si>
    <t>Amsacta moorei entomopoxvirus</t>
  </si>
  <si>
    <t>AF250284</t>
  </si>
  <si>
    <t>CCU55672.1</t>
  </si>
  <si>
    <t>Choristoneura biennis entomopoxvirus</t>
  </si>
  <si>
    <t>HF679132</t>
  </si>
  <si>
    <t>CCU55983.1</t>
  </si>
  <si>
    <t>Choristoneura rosaceana entomopoxvirus 'L'</t>
  </si>
  <si>
    <t>HF679133</t>
  </si>
  <si>
    <t>CCU56280.1</t>
  </si>
  <si>
    <t>Mythimna separata entomopoxvirus 'L'</t>
  </si>
  <si>
    <t>HF679134</t>
  </si>
  <si>
    <t>NP_659682.1</t>
  </si>
  <si>
    <t>DNA helicase, transcritional elongation</t>
  </si>
  <si>
    <t>Sheeppox virus</t>
  </si>
  <si>
    <t>AY077832</t>
  </si>
  <si>
    <t>YP_001293301.1</t>
  </si>
  <si>
    <t>hypothetical protein GTPV_gp105</t>
  </si>
  <si>
    <t>Goatpox virus Pellor</t>
  </si>
  <si>
    <t>AY077835</t>
  </si>
  <si>
    <t>A2</t>
  </si>
  <si>
    <t>VLTF-3</t>
  </si>
  <si>
    <t>ATI21201.1</t>
  </si>
  <si>
    <t>AWU47135.1</t>
  </si>
  <si>
    <t>APG58311.1</t>
  </si>
  <si>
    <t>viral late gene transcription factor 3</t>
  </si>
  <si>
    <t>ADT91121.1</t>
  </si>
  <si>
    <t>viral late transcription factor VLTF-3</t>
  </si>
  <si>
    <t>ANS71179.1</t>
  </si>
  <si>
    <t>viral late transcription factor</t>
  </si>
  <si>
    <t>AKR04224.1</t>
  </si>
  <si>
    <t>late transcription factor VLTF3-like protein</t>
  </si>
  <si>
    <t>CCD83272.1</t>
  </si>
  <si>
    <t>late transcription factor VLTF3</t>
  </si>
  <si>
    <t>ASK51298.1</t>
  </si>
  <si>
    <t>Late transcription factor (VLTF-3)</t>
  </si>
  <si>
    <t>AUD40272.1</t>
  </si>
  <si>
    <t>late transcription factor 3</t>
  </si>
  <si>
    <t>AID46903.1</t>
  </si>
  <si>
    <t>late transcription factor VLTF-3</t>
  </si>
  <si>
    <t>AID46672.1</t>
  </si>
  <si>
    <t>ALA62495.1</t>
  </si>
  <si>
    <t>AAR83584.1</t>
  </si>
  <si>
    <t>CNPV238 late transcription factor VLTF-3</t>
  </si>
  <si>
    <t>AAF44509.1</t>
  </si>
  <si>
    <t>ORF FPV165 Late transcription factor, VLTF-3</t>
  </si>
  <si>
    <t>AAK85053.1</t>
  </si>
  <si>
    <t>LSDV092 putative late transcription factor</t>
  </si>
  <si>
    <t>AST09311.1</t>
  </si>
  <si>
    <t>late gene transcription factor</t>
  </si>
  <si>
    <t>AEN03691.1</t>
  </si>
  <si>
    <t>late gene transcription factor VLTF-3</t>
  </si>
  <si>
    <t>ABI99256.1</t>
  </si>
  <si>
    <t>ABJ09013.1</t>
  </si>
  <si>
    <t>AAF14978.1</t>
  </si>
  <si>
    <t>m90L</t>
  </si>
  <si>
    <t>AFU77354.1</t>
  </si>
  <si>
    <t>AAF17974.1</t>
  </si>
  <si>
    <t>gp090L</t>
  </si>
  <si>
    <t>AAC55232.1</t>
  </si>
  <si>
    <t>MC104L</t>
  </si>
  <si>
    <t>AYN64686.1</t>
  </si>
  <si>
    <t>putative A2L protein</t>
  </si>
  <si>
    <t>AXN74915.1</t>
  </si>
  <si>
    <t>ABH08227.1</t>
  </si>
  <si>
    <t>HSPV121</t>
  </si>
  <si>
    <t>AAG37600.1</t>
  </si>
  <si>
    <t>CMP117L</t>
  </si>
  <si>
    <t>AAL73825.1</t>
  </si>
  <si>
    <t>putative late transcription factor VLTF-3</t>
  </si>
  <si>
    <t>AAM13574.1</t>
  </si>
  <si>
    <t>CPXV133 protein</t>
  </si>
  <si>
    <t>AAM92408.1</t>
  </si>
  <si>
    <t>EVM104</t>
  </si>
  <si>
    <t>AFH54667.1</t>
  </si>
  <si>
    <t>viral late transcription factor 3</t>
  </si>
  <si>
    <t>AAL40570.1</t>
  </si>
  <si>
    <t>A2L</t>
  </si>
  <si>
    <t>AAX09207.1</t>
  </si>
  <si>
    <t>MPXV-COP-106</t>
  </si>
  <si>
    <t>AKJ93749.1</t>
  </si>
  <si>
    <t>AOP31598.1</t>
  </si>
  <si>
    <t>vltf-3</t>
  </si>
  <si>
    <t>ABD97688.1</t>
  </si>
  <si>
    <t>AAO89399.1</t>
  </si>
  <si>
    <t>CAA49046.1</t>
  </si>
  <si>
    <t>CAB54705.1</t>
  </si>
  <si>
    <t>A2L protein</t>
  </si>
  <si>
    <t>AOP31809.1</t>
  </si>
  <si>
    <t>ASC55563.1</t>
  </si>
  <si>
    <t>late transcription factor VLTF-3-like protein</t>
  </si>
  <si>
    <t>AAR98434.1</t>
  </si>
  <si>
    <t>ORF077 late transcription factor VLTF-3</t>
  </si>
  <si>
    <t>AAR98302.1</t>
  </si>
  <si>
    <t>ABA00594.1</t>
  </si>
  <si>
    <t>AIZ77328.1</t>
  </si>
  <si>
    <t>ADC53979.1</t>
  </si>
  <si>
    <t>AAL69828.1</t>
  </si>
  <si>
    <t>SPV089 putative late transcription factor VLTF-3</t>
  </si>
  <si>
    <t>CAC21330.1</t>
  </si>
  <si>
    <t>92L protein</t>
  </si>
  <si>
    <t>AAR07448.1</t>
  </si>
  <si>
    <t>92L</t>
  </si>
  <si>
    <t>AAC97623.1</t>
  </si>
  <si>
    <t>ORF MSV065 putative late transcription factor VLTF-3 homolog (vaccinia A2L), similar to SW:P07609</t>
  </si>
  <si>
    <t>BAO49552.1</t>
  </si>
  <si>
    <t>CCU55463.1</t>
  </si>
  <si>
    <t>VLTF-3 late transcription factor 3</t>
  </si>
  <si>
    <t>AAG02911.1</t>
  </si>
  <si>
    <t>AMV205</t>
  </si>
  <si>
    <t>CCU55803.1</t>
  </si>
  <si>
    <t>CCU56105.1</t>
  </si>
  <si>
    <t>CCU56429.1</t>
  </si>
  <si>
    <t>NP_659664.1</t>
  </si>
  <si>
    <t>Late transcrition factor VLTF-3</t>
  </si>
  <si>
    <t>YP_001293283.1</t>
  </si>
  <si>
    <t>hypothetical protein GTPV_gp088</t>
  </si>
  <si>
    <t>A22</t>
  </si>
  <si>
    <t>holliday junction resolvase</t>
  </si>
  <si>
    <t>ATI21224.1</t>
  </si>
  <si>
    <t>Holliday junction resolvase</t>
  </si>
  <si>
    <t>AWU47157.1</t>
  </si>
  <si>
    <t>APG58332.1</t>
  </si>
  <si>
    <t>resolvase A22</t>
  </si>
  <si>
    <t>ADT91141.1</t>
  </si>
  <si>
    <t>ANS71201.1</t>
  </si>
  <si>
    <t>AKR04248.1</t>
  </si>
  <si>
    <t>RuvC</t>
  </si>
  <si>
    <t>CCD83294.1</t>
  </si>
  <si>
    <t>Holliday protein resolvase</t>
  </si>
  <si>
    <t>ASK51320.1</t>
  </si>
  <si>
    <t>AUD40295.1</t>
  </si>
  <si>
    <t>AID46926.1</t>
  </si>
  <si>
    <t>hypothetical protein pepv_200</t>
  </si>
  <si>
    <t>AID46694.1</t>
  </si>
  <si>
    <t>hypothetical protein fep_192</t>
  </si>
  <si>
    <t>ALA62511.1</t>
  </si>
  <si>
    <t>hypothetical protein</t>
  </si>
  <si>
    <t>AAR83607.1</t>
  </si>
  <si>
    <t>CNPV261 Holliday junction resolvase protein</t>
  </si>
  <si>
    <t>AAF44531.1</t>
  </si>
  <si>
    <t>ORF FPV187</t>
  </si>
  <si>
    <t>AAK85075.1</t>
  </si>
  <si>
    <t>LSDV114 hypothetical protein</t>
  </si>
  <si>
    <t>AST09333.1</t>
  </si>
  <si>
    <t>AEN03715.1</t>
  </si>
  <si>
    <t>ABI99278.1</t>
  </si>
  <si>
    <t>ABJ09036.1</t>
  </si>
  <si>
    <t>AAF15000.1</t>
  </si>
  <si>
    <t>m112R</t>
  </si>
  <si>
    <t>AFU77376.1</t>
  </si>
  <si>
    <t>AAF17995.1</t>
  </si>
  <si>
    <t>gp112R</t>
  </si>
  <si>
    <t>AAC55255.1</t>
  </si>
  <si>
    <t>MC127R</t>
  </si>
  <si>
    <t>AYN64707.1</t>
  </si>
  <si>
    <t>putative A22R protein</t>
  </si>
  <si>
    <t>AXN74938.1</t>
  </si>
  <si>
    <t>holliday junction endonuclease</t>
  </si>
  <si>
    <t>ABH08249.1</t>
  </si>
  <si>
    <t>HSPV143</t>
  </si>
  <si>
    <t>AAG37631.1</t>
  </si>
  <si>
    <t>CMP139R</t>
  </si>
  <si>
    <t>AAL73847.1</t>
  </si>
  <si>
    <t>putative DNA processing protein</t>
  </si>
  <si>
    <t>AAM13597.1</t>
  </si>
  <si>
    <t>CPXV155 protein</t>
  </si>
  <si>
    <t>AAM92430.1</t>
  </si>
  <si>
    <t>EVM125</t>
  </si>
  <si>
    <t>AFH54689.1</t>
  </si>
  <si>
    <t>AAL40591.1</t>
  </si>
  <si>
    <t>A23R</t>
  </si>
  <si>
    <t>AAX09229.1</t>
  </si>
  <si>
    <t>MPXV-COP-128</t>
  </si>
  <si>
    <t>AKJ93771.1</t>
  </si>
  <si>
    <t>Holliday junction endonuclease</t>
  </si>
  <si>
    <t>AOP31620.1</t>
  </si>
  <si>
    <t>ABD97710.1</t>
  </si>
  <si>
    <t>Holiday junction resolvase palmitylprotein</t>
  </si>
  <si>
    <t>AAO89421.1</t>
  </si>
  <si>
    <t>palmitylprotein</t>
  </si>
  <si>
    <t>CAA49067.1</t>
  </si>
  <si>
    <t>A22R</t>
  </si>
  <si>
    <t>CAB54726.1</t>
  </si>
  <si>
    <t>A23R protein</t>
  </si>
  <si>
    <t>AOP31831.1</t>
  </si>
  <si>
    <t>ASC55548.1</t>
  </si>
  <si>
    <t>Holliday junction resolvase-like protein</t>
  </si>
  <si>
    <t>AAR98456.1</t>
  </si>
  <si>
    <t>ORF099 Holliday junction resolvase</t>
  </si>
  <si>
    <t>AAR98324.1</t>
  </si>
  <si>
    <t>ABA00616.1</t>
  </si>
  <si>
    <t>resolvase</t>
  </si>
  <si>
    <t>AIZ77350.1</t>
  </si>
  <si>
    <t>putative Holliday junction resolvase</t>
  </si>
  <si>
    <t>ADC54001.1</t>
  </si>
  <si>
    <t>AAL69850.1</t>
  </si>
  <si>
    <t>SPV111 putative DNA processing protein</t>
  </si>
  <si>
    <t>CAC21352.1</t>
  </si>
  <si>
    <t>114R protein</t>
  </si>
  <si>
    <t>AAR07470.1</t>
  </si>
  <si>
    <t>114R</t>
  </si>
  <si>
    <t>AAC97652.1</t>
  </si>
  <si>
    <t>ORF MSV106 putative vaccinia A22R homolog, similar to SW:P20997</t>
  </si>
  <si>
    <t>BAO49463.1</t>
  </si>
  <si>
    <t>CCU55493.1</t>
  </si>
  <si>
    <t>AAG02868.1</t>
  </si>
  <si>
    <t>AMV162</t>
  </si>
  <si>
    <t>CCU55772.1</t>
  </si>
  <si>
    <t>CCU56074.1</t>
  </si>
  <si>
    <t>CCU56396.1</t>
  </si>
  <si>
    <t>NP_659686.1</t>
  </si>
  <si>
    <t>Holiday junction resolvase</t>
  </si>
  <si>
    <t>YP_001293305.1</t>
  </si>
  <si>
    <t>hypothetical protein GTPV_gp109</t>
  </si>
  <si>
    <t>A23</t>
  </si>
  <si>
    <t>VITF-3</t>
  </si>
  <si>
    <t>ATI21225.1</t>
  </si>
  <si>
    <t>VITF-3 45kda subuni</t>
  </si>
  <si>
    <t>AWU47158.1</t>
  </si>
  <si>
    <t>APG58333.1</t>
  </si>
  <si>
    <t>intermediate transcription factor 3 large subuni</t>
  </si>
  <si>
    <t>ADT91142.1</t>
  </si>
  <si>
    <t>viral intermediate transcription factor VITF-3</t>
  </si>
  <si>
    <t>ANS71202.1</t>
  </si>
  <si>
    <t>large subunit viral intermediate transcription factor</t>
  </si>
  <si>
    <t>AKR04249.1</t>
  </si>
  <si>
    <t>intermediate transcription factor</t>
  </si>
  <si>
    <t>CCD83295.1</t>
  </si>
  <si>
    <t>transcription subunit (intermediate) large subuni</t>
  </si>
  <si>
    <t>ASK51321.1</t>
  </si>
  <si>
    <t>Intermediate transcription factor (VITF-3L)</t>
  </si>
  <si>
    <t>AUD40296.1</t>
  </si>
  <si>
    <t>intermediate transcription factor 3</t>
  </si>
  <si>
    <t>AID46927.1</t>
  </si>
  <si>
    <t>intermediate transcription factor VITF-3</t>
  </si>
  <si>
    <t>AID46695.1</t>
  </si>
  <si>
    <t>ALA62512.1</t>
  </si>
  <si>
    <t>AAR83608.1</t>
  </si>
  <si>
    <t>CNPV262 intermediate transcription factor VITF-3</t>
  </si>
  <si>
    <t>AAF44532.1</t>
  </si>
  <si>
    <t>ORF FPV188 Intermediate transcription factor, VITF-3</t>
  </si>
  <si>
    <t>YP_001293306.1</t>
  </si>
  <si>
    <t>hypothetical protein GTPV_gp110</t>
  </si>
  <si>
    <t>AAK85076.1</t>
  </si>
  <si>
    <t>LSDV115 putative intermediate transcription factor subuni</t>
  </si>
  <si>
    <t>NP_659687.1</t>
  </si>
  <si>
    <t>Intermediate transcription factor VITF-3</t>
  </si>
  <si>
    <t>AST09334.1</t>
  </si>
  <si>
    <t>AEN03716.1</t>
  </si>
  <si>
    <t>45kDa large subunit of intermediate gene transcription factor VITF-3</t>
  </si>
  <si>
    <t>ABI99279.1</t>
  </si>
  <si>
    <t>ABJ09037.1</t>
  </si>
  <si>
    <t>AAF15001.1</t>
  </si>
  <si>
    <t>m113R</t>
  </si>
  <si>
    <t>AFU77377.1</t>
  </si>
  <si>
    <t>AAF17996.1</t>
  </si>
  <si>
    <t>gp113R</t>
  </si>
  <si>
    <t>AAC55256.1</t>
  </si>
  <si>
    <t>MC128R</t>
  </si>
  <si>
    <t>AYN64708.1</t>
  </si>
  <si>
    <t>putative A23R protein</t>
  </si>
  <si>
    <t>AXN74939.1</t>
  </si>
  <si>
    <t>VITF-3 large subuni</t>
  </si>
  <si>
    <t>ABH08250.1</t>
  </si>
  <si>
    <t>HSPV144</t>
  </si>
  <si>
    <t>AAG37632.1</t>
  </si>
  <si>
    <t>CMP140R</t>
  </si>
  <si>
    <t>AAL73848.1</t>
  </si>
  <si>
    <t>putative intermediate transcription factor</t>
  </si>
  <si>
    <t>AAM13598.1</t>
  </si>
  <si>
    <t>CPXV156 protein</t>
  </si>
  <si>
    <t>AAM92431.1</t>
  </si>
  <si>
    <t>EVM126</t>
  </si>
  <si>
    <t>AFH54690.1</t>
  </si>
  <si>
    <t>viral intermediate transcription factor 3</t>
  </si>
  <si>
    <t>AAL40592.1</t>
  </si>
  <si>
    <t>A24R</t>
  </si>
  <si>
    <t>AAX09230.1</t>
  </si>
  <si>
    <t>MPXV-COP-129</t>
  </si>
  <si>
    <t>AKJ93772.1</t>
  </si>
  <si>
    <t>VITF-3 45 kDA large subuni</t>
  </si>
  <si>
    <t>AOP31621.1</t>
  </si>
  <si>
    <t>vitf-3 45kDa subuni</t>
  </si>
  <si>
    <t>ABD97711.1</t>
  </si>
  <si>
    <t>AAO89422.1</t>
  </si>
  <si>
    <t>CAA49068.1</t>
  </si>
  <si>
    <t>CAB54727.1</t>
  </si>
  <si>
    <t>A24R protein</t>
  </si>
  <si>
    <t>AOP31832.1</t>
  </si>
  <si>
    <t>ASC55547.1</t>
  </si>
  <si>
    <t>intermediate transcription factor VITF-3-like protein</t>
  </si>
  <si>
    <t>AAR98457.1</t>
  </si>
  <si>
    <t>ORF100 intermediate transcription factor VITF-3</t>
  </si>
  <si>
    <t>AAR98325.1</t>
  </si>
  <si>
    <t>ABA00617.1</t>
  </si>
  <si>
    <t>intermediate transcription factor VITF3</t>
  </si>
  <si>
    <t>AIZ77351.1</t>
  </si>
  <si>
    <t>putative intermediate transcription factor VITF-3</t>
  </si>
  <si>
    <t>ADC54002.1</t>
  </si>
  <si>
    <t>AAL69851.1</t>
  </si>
  <si>
    <t>SPV112 putative intermediate transcription factor VITF-3</t>
  </si>
  <si>
    <t>CAC21353.1</t>
  </si>
  <si>
    <t>115R protein</t>
  </si>
  <si>
    <t>AAR07471.1</t>
  </si>
  <si>
    <t>115R</t>
  </si>
  <si>
    <t>AAC97825.1</t>
  </si>
  <si>
    <t>ORF MSV052 putative vaccina A23R homolog, similar to SW:P20998</t>
  </si>
  <si>
    <t>BAO49550.1</t>
  </si>
  <si>
    <t>DNA-directed RNA polymerase beta chain</t>
  </si>
  <si>
    <t>CCU55410.1</t>
  </si>
  <si>
    <t>VITF-3 45kda subunit (Cop-A23R)</t>
  </si>
  <si>
    <t>AAG02797.1</t>
  </si>
  <si>
    <t>AMV091</t>
  </si>
  <si>
    <t>CCU55716.1</t>
  </si>
  <si>
    <t>CCU56018.1</t>
  </si>
  <si>
    <t>CCU56312.1</t>
  </si>
  <si>
    <t>A24</t>
  </si>
  <si>
    <t>RPO132</t>
  </si>
  <si>
    <t>ATI21226.1</t>
  </si>
  <si>
    <t>RNA polymerase</t>
  </si>
  <si>
    <t>AWU47159.1</t>
  </si>
  <si>
    <t>APG58334.1</t>
  </si>
  <si>
    <t>DNA-directed RNA polymerase 132 kDa polypeptide</t>
  </si>
  <si>
    <t>ADT91143.1</t>
  </si>
  <si>
    <t>DNA-dependent RNA polymerase subunit RPO132</t>
  </si>
  <si>
    <t>ANS71203.1</t>
  </si>
  <si>
    <t>AKR04250.1</t>
  </si>
  <si>
    <t>DNA-directed RNA polymerase subunit beta</t>
  </si>
  <si>
    <t>CCD83296.1</t>
  </si>
  <si>
    <t>DNA-dependent RNA polymerase subunit rpo132</t>
  </si>
  <si>
    <t>ASK51322.1</t>
  </si>
  <si>
    <t>RNA polymerase subunit (RPO132)</t>
  </si>
  <si>
    <t>AUD40297.1</t>
  </si>
  <si>
    <t>RNA polymerase subunit 132</t>
  </si>
  <si>
    <t>AID46928.1</t>
  </si>
  <si>
    <t>RNA polymerase subunit RPO132</t>
  </si>
  <si>
    <t>AID46696.1</t>
  </si>
  <si>
    <t>ALA62513.1</t>
  </si>
  <si>
    <t>AAR83609.1</t>
  </si>
  <si>
    <t>CNPV263 RNA polymerase subunit RPO132</t>
  </si>
  <si>
    <t>AAF44533.1</t>
  </si>
  <si>
    <t>ORF FPV189 RNA polymerase subunit, RPO132</t>
  </si>
  <si>
    <t>AAK85077.1</t>
  </si>
  <si>
    <t>LSDV116 RNA polymerase subuni</t>
  </si>
  <si>
    <t>AST09335.1</t>
  </si>
  <si>
    <t>AEN03717.1</t>
  </si>
  <si>
    <t>ABI99280.1</t>
  </si>
  <si>
    <t>ABJ09038.1</t>
  </si>
  <si>
    <t>AAF15002.1</t>
  </si>
  <si>
    <t>m114R</t>
  </si>
  <si>
    <t>AFU77378.1</t>
  </si>
  <si>
    <t>AAF17997.1</t>
  </si>
  <si>
    <t>gp114R</t>
  </si>
  <si>
    <t>AAC55257.1</t>
  </si>
  <si>
    <t>MC129R</t>
  </si>
  <si>
    <t>AYN64709.1</t>
  </si>
  <si>
    <t>putative A24R protein</t>
  </si>
  <si>
    <t>AXN74940.1</t>
  </si>
  <si>
    <t>DNA-directed RNA polymerase</t>
  </si>
  <si>
    <t>ABH08251.1</t>
  </si>
  <si>
    <t>HSPV145</t>
  </si>
  <si>
    <t>AAG37633.1</t>
  </si>
  <si>
    <t>CMP141R</t>
  </si>
  <si>
    <t>AAL73849.1</t>
  </si>
  <si>
    <t>AAM13599.1</t>
  </si>
  <si>
    <t>Rpo132 or CPXV157 protein</t>
  </si>
  <si>
    <t>AAM92432.1</t>
  </si>
  <si>
    <t>EVM127</t>
  </si>
  <si>
    <t>AFH54691.1</t>
  </si>
  <si>
    <t>RNA polymerase 132 subuni</t>
  </si>
  <si>
    <t>AAL40593.1</t>
  </si>
  <si>
    <t>A25R</t>
  </si>
  <si>
    <t>AAX09231.1</t>
  </si>
  <si>
    <t>MPXV-COP-130</t>
  </si>
  <si>
    <t>AKJ93773.1</t>
  </si>
  <si>
    <t>RNA polymerase subunit RPO132 protein</t>
  </si>
  <si>
    <t>AOP31622.1</t>
  </si>
  <si>
    <t>ABD97712.1</t>
  </si>
  <si>
    <t>AAO89423.1</t>
  </si>
  <si>
    <t>CAA49069.1</t>
  </si>
  <si>
    <t>CAB54728.1</t>
  </si>
  <si>
    <t>A25R protein</t>
  </si>
  <si>
    <t>AOP31833.1</t>
  </si>
  <si>
    <t>ASC55546.1</t>
  </si>
  <si>
    <t>RNA polymerase subunit RPO132-like protein</t>
  </si>
  <si>
    <t>AAR98458.1</t>
  </si>
  <si>
    <t>ORF101 RNA polymerase subunit RPO132</t>
  </si>
  <si>
    <t>AAR98326.1</t>
  </si>
  <si>
    <t>ABA00618.1</t>
  </si>
  <si>
    <t>RNA polymerase RPO132</t>
  </si>
  <si>
    <t>AIZ77352.1</t>
  </si>
  <si>
    <t>putative RNA polymerase subunit RPO132</t>
  </si>
  <si>
    <t>ADC54003.1</t>
  </si>
  <si>
    <t>RNA-polymerase RPO132</t>
  </si>
  <si>
    <t>AAL69852.1</t>
  </si>
  <si>
    <t>SPV113 RNA polymerase subunit RPO132</t>
  </si>
  <si>
    <t>CAC21354.1</t>
  </si>
  <si>
    <t>116R protein</t>
  </si>
  <si>
    <t>AAR07472.1</t>
  </si>
  <si>
    <t>116R</t>
  </si>
  <si>
    <t>AAC97782.1</t>
  </si>
  <si>
    <t>ORF MSV155 putative RNA polymerase second largest subunit cowpox RPO132 homolog (vaccinia A24R), similar to SW:P17474</t>
  </si>
  <si>
    <t>BAO49445.1</t>
  </si>
  <si>
    <t>DNA-directed RNA polymerase subunit RPO132</t>
  </si>
  <si>
    <t>CCU55389.1</t>
  </si>
  <si>
    <t>AAG02772.1</t>
  </si>
  <si>
    <t>AMV066</t>
  </si>
  <si>
    <t>CCU55697.1</t>
  </si>
  <si>
    <t>CCU55999.1</t>
  </si>
  <si>
    <t>CCU56292.1</t>
  </si>
  <si>
    <t>NP_659688.1</t>
  </si>
  <si>
    <t>YP_001293307.1</t>
  </si>
  <si>
    <t>hypothetical protein GTPV_gp111</t>
  </si>
  <si>
    <t>A28</t>
  </si>
  <si>
    <t>IMV-MP</t>
  </si>
  <si>
    <t>ATI21231.1</t>
  </si>
  <si>
    <t>IMV MP/virus entry</t>
  </si>
  <si>
    <t>AWU47163.1</t>
  </si>
  <si>
    <t>APG58336.1</t>
  </si>
  <si>
    <t>envelope protein A28-like protein</t>
  </si>
  <si>
    <t>ADT91145.1</t>
  </si>
  <si>
    <t>MV entry-fusion complex protein</t>
  </si>
  <si>
    <t>ANS71207.1</t>
  </si>
  <si>
    <t>imv mp/virus entry</t>
  </si>
  <si>
    <t>AKR04251.1</t>
  </si>
  <si>
    <t>A28R protein</t>
  </si>
  <si>
    <t>CCD83300.1</t>
  </si>
  <si>
    <t>IMV surface protein</t>
  </si>
  <si>
    <t>ASK51326.1</t>
  </si>
  <si>
    <t>IMV membrane protein, entry</t>
  </si>
  <si>
    <t>AUD40300.1</t>
  </si>
  <si>
    <t>hypothetical protein fgpv_206</t>
  </si>
  <si>
    <t>AID46931.1</t>
  </si>
  <si>
    <t>hypothetical protein pepv_205</t>
  </si>
  <si>
    <t>AID46699.1</t>
  </si>
  <si>
    <t>hypothetical protein fep_197</t>
  </si>
  <si>
    <t>ALA62516.1</t>
  </si>
  <si>
    <t>AAR83612.1</t>
  </si>
  <si>
    <t>CNPV266 conserved hypothetical protein</t>
  </si>
  <si>
    <t>AAF44536.1</t>
  </si>
  <si>
    <t>ORF FPV192</t>
  </si>
  <si>
    <t>AAK85079.1</t>
  </si>
  <si>
    <t>LSDV118 hypothetical protein</t>
  </si>
  <si>
    <t>AST09339.1</t>
  </si>
  <si>
    <t>virion surface protein</t>
  </si>
  <si>
    <t>AEN03721.1</t>
  </si>
  <si>
    <t>ABI99282.1</t>
  </si>
  <si>
    <t>hypothetical protein DpV83gp127</t>
  </si>
  <si>
    <t>ABJ09040.1</t>
  </si>
  <si>
    <t>IMV membrane protein</t>
  </si>
  <si>
    <t>AAF15004.1</t>
  </si>
  <si>
    <t>m116L</t>
  </si>
  <si>
    <t>AFU77380.1</t>
  </si>
  <si>
    <t>AAF17999.1</t>
  </si>
  <si>
    <t>gp116L</t>
  </si>
  <si>
    <t>AAC55262.1</t>
  </si>
  <si>
    <t>MC134L</t>
  </si>
  <si>
    <t>AYN64714.1</t>
  </si>
  <si>
    <t>putative A28L protein</t>
  </si>
  <si>
    <t>AXN74944.1</t>
  </si>
  <si>
    <t>ABH08258.1</t>
  </si>
  <si>
    <t>HSPV149</t>
  </si>
  <si>
    <t>AAG37639.1</t>
  </si>
  <si>
    <t>CMP145L</t>
  </si>
  <si>
    <t>AAL73854.1</t>
  </si>
  <si>
    <t>AAM13605.1</t>
  </si>
  <si>
    <t>CPXV163 Protein</t>
  </si>
  <si>
    <t>AAM92435.1</t>
  </si>
  <si>
    <t>EVM130</t>
  </si>
  <si>
    <t>AFH54696.1</t>
  </si>
  <si>
    <t>IMV virus entry</t>
  </si>
  <si>
    <t>AAL40598.1</t>
  </si>
  <si>
    <t>A30L</t>
  </si>
  <si>
    <t>AAX09234.1</t>
  </si>
  <si>
    <t>MPXV-COP-133</t>
  </si>
  <si>
    <t>AKJ93777.1</t>
  </si>
  <si>
    <t>IMV membrane protein/virus entry</t>
  </si>
  <si>
    <t>AOP31626.1</t>
  </si>
  <si>
    <t>imv mp/virus entry protein</t>
  </si>
  <si>
    <t>ABD97718.1</t>
  </si>
  <si>
    <t>AAO89430.1</t>
  </si>
  <si>
    <t>unknown</t>
  </si>
  <si>
    <t>CAA49076.1</t>
  </si>
  <si>
    <t>A31L</t>
  </si>
  <si>
    <t>CAB54735.1</t>
  </si>
  <si>
    <t>A32L protein</t>
  </si>
  <si>
    <t>AOP31837.1</t>
  </si>
  <si>
    <t>ASC55543.1</t>
  </si>
  <si>
    <t>hypothetical protein SePPVgORF095</t>
  </si>
  <si>
    <t>AAR98462.1</t>
  </si>
  <si>
    <t>ORF105 hypothetical protein</t>
  </si>
  <si>
    <t>AAR98330.1</t>
  </si>
  <si>
    <t>ABA00622.1</t>
  </si>
  <si>
    <t>AIZ77356.1</t>
  </si>
  <si>
    <t>putative IMV surface protein</t>
  </si>
  <si>
    <t>ADC54007.1</t>
  </si>
  <si>
    <t>AAL69854.1</t>
  </si>
  <si>
    <t>SPV115 hypothetical protein</t>
  </si>
  <si>
    <t>CAC21356.1</t>
  </si>
  <si>
    <t>118L protein</t>
  </si>
  <si>
    <t>AAR07474.1</t>
  </si>
  <si>
    <t>118L</t>
  </si>
  <si>
    <t>AAC97666.1</t>
  </si>
  <si>
    <t>ORF MSV132 putative Amsacta moorei entomopoxvirus G4R homolog (vaccinia A28L), similar to SW:P29816</t>
  </si>
  <si>
    <t>BAO49431.1</t>
  </si>
  <si>
    <t>membrane protein</t>
  </si>
  <si>
    <t>CCU55473.1</t>
  </si>
  <si>
    <t>IMV MP/virus entry (Cop-A28L)</t>
  </si>
  <si>
    <t>AAG02892.1</t>
  </si>
  <si>
    <t>AMV186</t>
  </si>
  <si>
    <t>CCU55794.1</t>
  </si>
  <si>
    <t>CCU56096.1</t>
  </si>
  <si>
    <t>CCU56418.1</t>
  </si>
  <si>
    <t>NP_659690.1</t>
  </si>
  <si>
    <t>hypothetical protein SPPV_113</t>
  </si>
  <si>
    <t>YP_001293309.1</t>
  </si>
  <si>
    <t>hypothetical protein GTPV_gp113</t>
  </si>
  <si>
    <t>A3</t>
  </si>
  <si>
    <t>P4b</t>
  </si>
  <si>
    <t>ATI21203.1</t>
  </si>
  <si>
    <t>P4b precursor</t>
  </si>
  <si>
    <t>AWU47137.1</t>
  </si>
  <si>
    <t>APG58313.1</t>
  </si>
  <si>
    <t>major core protein 4b</t>
  </si>
  <si>
    <t>ADT91123.1</t>
  </si>
  <si>
    <t>core wall protein</t>
  </si>
  <si>
    <t>ANS71181.1</t>
  </si>
  <si>
    <t>p4b precursor</t>
  </si>
  <si>
    <t>AKR04225.1</t>
  </si>
  <si>
    <t>P4B major core protein</t>
  </si>
  <si>
    <t>CCD83274.1</t>
  </si>
  <si>
    <t>precursor of core protein 4b</t>
  </si>
  <si>
    <t>ASK51300.1</t>
  </si>
  <si>
    <t>AUD40274.1</t>
  </si>
  <si>
    <t>virion core protein P4b</t>
  </si>
  <si>
    <t>AID46905.1</t>
  </si>
  <si>
    <t>AID46674.1</t>
  </si>
  <si>
    <t>ALA62496.1</t>
  </si>
  <si>
    <t>AAR83586.1</t>
  </si>
  <si>
    <t>CNPV240 virion core protein P4b</t>
  </si>
  <si>
    <t>AAF44511.1</t>
  </si>
  <si>
    <t>ORF FPV167 Virion core protein P4b</t>
  </si>
  <si>
    <t>AAK85055.1</t>
  </si>
  <si>
    <t>LSDV094 putative virion core protein</t>
  </si>
  <si>
    <t>AST09313.1</t>
  </si>
  <si>
    <t>p4b precursor of essential virion protein 4b</t>
  </si>
  <si>
    <t>AEN03693.1</t>
  </si>
  <si>
    <t>ABI99258.1</t>
  </si>
  <si>
    <t>ABJ09015.1</t>
  </si>
  <si>
    <t>AAF14980.1</t>
  </si>
  <si>
    <t>m92L</t>
  </si>
  <si>
    <t>AFU77356.1</t>
  </si>
  <si>
    <t>AAF17976.1</t>
  </si>
  <si>
    <t>gp092L</t>
  </si>
  <si>
    <t>AAC55234.1</t>
  </si>
  <si>
    <t>MC106L</t>
  </si>
  <si>
    <t>AYN64688.1</t>
  </si>
  <si>
    <t>putative A3L protein</t>
  </si>
  <si>
    <t>AXN74917.1</t>
  </si>
  <si>
    <t>ABH08229.1</t>
  </si>
  <si>
    <t>HSPV123</t>
  </si>
  <si>
    <t>AAG37602.1</t>
  </si>
  <si>
    <t>CMP119L</t>
  </si>
  <si>
    <t>AAL73827.1</t>
  </si>
  <si>
    <t>putative virion core protein P4b</t>
  </si>
  <si>
    <t>AAM13576.1</t>
  </si>
  <si>
    <t>CPXV135 protein</t>
  </si>
  <si>
    <t>AAM92410.1</t>
  </si>
  <si>
    <t>EVM106</t>
  </si>
  <si>
    <t>AFH54669.1</t>
  </si>
  <si>
    <t>P4B precursor</t>
  </si>
  <si>
    <t>AAL40572.1</t>
  </si>
  <si>
    <t>A4L</t>
  </si>
  <si>
    <t>AAX09209.1</t>
  </si>
  <si>
    <t>MPXV-COP-108</t>
  </si>
  <si>
    <t>AKJ93751.1</t>
  </si>
  <si>
    <t>AOP31600.1</t>
  </si>
  <si>
    <t>ABD97690.1</t>
  </si>
  <si>
    <t>p4b precursor of core protein 4b</t>
  </si>
  <si>
    <t>AAO89401.1</t>
  </si>
  <si>
    <t>CAA49048.1</t>
  </si>
  <si>
    <t>A3L</t>
  </si>
  <si>
    <t>CAB54707.1</t>
  </si>
  <si>
    <t>A4L protein</t>
  </si>
  <si>
    <t>AOP31811.1</t>
  </si>
  <si>
    <t>ASC55562.1</t>
  </si>
  <si>
    <t>virion core protein P4b precursor-like protein</t>
  </si>
  <si>
    <t>AAR98436.1</t>
  </si>
  <si>
    <t>ORF079 virion core protein P4b precursor</t>
  </si>
  <si>
    <t>AAR98304.1</t>
  </si>
  <si>
    <t>ABA00596.1</t>
  </si>
  <si>
    <t>virion core, P4b precursor</t>
  </si>
  <si>
    <t>AIZ77330.1</t>
  </si>
  <si>
    <t>putative virion core protein P4b precursor</t>
  </si>
  <si>
    <t>ADC53981.1</t>
  </si>
  <si>
    <t>virion core protein P4b precursor</t>
  </si>
  <si>
    <t>AAL69830.1</t>
  </si>
  <si>
    <t>SPV091 putative virion core protein P4b</t>
  </si>
  <si>
    <t>CAC21332.1</t>
  </si>
  <si>
    <t>94L protein</t>
  </si>
  <si>
    <t>AAR07450.1</t>
  </si>
  <si>
    <t>94L</t>
  </si>
  <si>
    <t>AAC97680.1</t>
  </si>
  <si>
    <t>ORF MSV164 putative core protein, fowlpox virus P4b homolog (vaccinia A3L), similar to SW:P17355</t>
  </si>
  <si>
    <t>BAO49491.1</t>
  </si>
  <si>
    <t>putative core protein</t>
  </si>
  <si>
    <t>CCU55503.1</t>
  </si>
  <si>
    <t>AAG02853.1</t>
  </si>
  <si>
    <t>AMV147</t>
  </si>
  <si>
    <t>CCU55762.1</t>
  </si>
  <si>
    <t>CCU56064.1</t>
  </si>
  <si>
    <t>CCU56384.1</t>
  </si>
  <si>
    <t>NP_659666.1</t>
  </si>
  <si>
    <t>Virion core protein P4b</t>
  </si>
  <si>
    <t>YP_001293285.1</t>
  </si>
  <si>
    <t>hypothetical protein GTPV_gp090</t>
  </si>
  <si>
    <t>A32</t>
  </si>
  <si>
    <t>ATPase DNA packaging protein</t>
  </si>
  <si>
    <t>ATI21237.1</t>
  </si>
  <si>
    <t>ATPase/DNA packaging protein</t>
  </si>
  <si>
    <t>AWU47167.1</t>
  </si>
  <si>
    <t>APG58340.1</t>
  </si>
  <si>
    <t>protein A32</t>
  </si>
  <si>
    <t>ADT91147.1</t>
  </si>
  <si>
    <t>DNA packaging protein</t>
  </si>
  <si>
    <t>ANS71211.1</t>
  </si>
  <si>
    <t>AKR04192.1</t>
  </si>
  <si>
    <t>packaging ATPase A32</t>
  </si>
  <si>
    <t>CCD83304.1</t>
  </si>
  <si>
    <t>DNA packaging protein ATPase</t>
  </si>
  <si>
    <t>ASK51330.1</t>
  </si>
  <si>
    <t>AUD40306.1</t>
  </si>
  <si>
    <t>virion assembly protein</t>
  </si>
  <si>
    <t>AID46937.1</t>
  </si>
  <si>
    <t>AID46705.1</t>
  </si>
  <si>
    <t>ALA62519.1</t>
  </si>
  <si>
    <t>AAR83617.1</t>
  </si>
  <si>
    <t>CNPV271 DNA packaging protein</t>
  </si>
  <si>
    <t>AAF44541.1</t>
  </si>
  <si>
    <t>ORF FPV197 Virion assembly protein</t>
  </si>
  <si>
    <t>AAK85082.1</t>
  </si>
  <si>
    <t>LSDV121 putative DNA packaging protein</t>
  </si>
  <si>
    <t>AST09344.1</t>
  </si>
  <si>
    <t>virion protein</t>
  </si>
  <si>
    <t>AEN03726.1</t>
  </si>
  <si>
    <t>ABI99286.1</t>
  </si>
  <si>
    <t>ABJ09045.1</t>
  </si>
  <si>
    <t>ATPase</t>
  </si>
  <si>
    <t>AAF15008.1</t>
  </si>
  <si>
    <t>m120L</t>
  </si>
  <si>
    <t>AFU77384.1</t>
  </si>
  <si>
    <t>AAF18002.1</t>
  </si>
  <si>
    <t>gp120L</t>
  </si>
  <si>
    <t>AAC55268.1</t>
  </si>
  <si>
    <t>MC140L</t>
  </si>
  <si>
    <t>AYN64719.1</t>
  </si>
  <si>
    <t>putative A32L protein</t>
  </si>
  <si>
    <t>AXN74948.1</t>
  </si>
  <si>
    <t>ABH08262.1</t>
  </si>
  <si>
    <t>HSPV153</t>
  </si>
  <si>
    <t>AAG37644.1</t>
  </si>
  <si>
    <t>CMP149L</t>
  </si>
  <si>
    <t>AAL73858.1</t>
  </si>
  <si>
    <t>putative DNA packaging protein</t>
  </si>
  <si>
    <t>AAM13609.1</t>
  </si>
  <si>
    <t>CPXV167 protein</t>
  </si>
  <si>
    <t>AAM92439.1</t>
  </si>
  <si>
    <t>EVM134</t>
  </si>
  <si>
    <t>AFH54701.1</t>
  </si>
  <si>
    <t>DNA packaging and ATPase protein</t>
  </si>
  <si>
    <t>AAL40602.1</t>
  </si>
  <si>
    <t>A34L</t>
  </si>
  <si>
    <t>AAX09239.1</t>
  </si>
  <si>
    <t>MPXV-COP-138</t>
  </si>
  <si>
    <t>AKJ93782.1</t>
  </si>
  <si>
    <t>AOP31631.1</t>
  </si>
  <si>
    <t>ABD97722.1</t>
  </si>
  <si>
    <t>AAO89434.1</t>
  </si>
  <si>
    <t>putative ATPase</t>
  </si>
  <si>
    <t>CAA49080.1</t>
  </si>
  <si>
    <t>A35L</t>
  </si>
  <si>
    <t>CAB54739.1</t>
  </si>
  <si>
    <t>A36L protein</t>
  </si>
  <si>
    <t>AOP31842.1</t>
  </si>
  <si>
    <t>ASC55541.1</t>
  </si>
  <si>
    <t>putative DNA packaging protein-like protein</t>
  </si>
  <si>
    <t>AAR98465.1</t>
  </si>
  <si>
    <t>ORF108 DNA packaging protein/ATPase</t>
  </si>
  <si>
    <t>AAR98333.1</t>
  </si>
  <si>
    <t>ABA00626.1</t>
  </si>
  <si>
    <t>ATPase, DNA packaging</t>
  </si>
  <si>
    <t>AIZ77360.1</t>
  </si>
  <si>
    <t>ADC54011.1</t>
  </si>
  <si>
    <t>DNA packaging protein/ATPase</t>
  </si>
  <si>
    <t>AAL69857.1</t>
  </si>
  <si>
    <t>SPV118 DNA packaging protein</t>
  </si>
  <si>
    <t>CAC21359.1</t>
  </si>
  <si>
    <t>121L protin</t>
  </si>
  <si>
    <t>AAR07478.1</t>
  </si>
  <si>
    <t>121L</t>
  </si>
  <si>
    <t>AAC97775.1</t>
  </si>
  <si>
    <t>ORF MSV171 ATP/GTP binding motif homolog (vaccinia A32L), similar to GB:D11079</t>
  </si>
  <si>
    <t>BAO49495.1</t>
  </si>
  <si>
    <t>putative ATP/GTP-binding protein</t>
  </si>
  <si>
    <t>CCU55501.1</t>
  </si>
  <si>
    <t>AAG02856.1</t>
  </si>
  <si>
    <t>AMV150</t>
  </si>
  <si>
    <t>CCU55764.1</t>
  </si>
  <si>
    <t>CCU56066.1</t>
  </si>
  <si>
    <t>CCU56388.1</t>
  </si>
  <si>
    <t>NP_659693.1</t>
  </si>
  <si>
    <t>DNA packaging, virus assembly</t>
  </si>
  <si>
    <t>YP_001293313.1</t>
  </si>
  <si>
    <t>hypothetical protein GTPV_gp116</t>
  </si>
  <si>
    <t>A7</t>
  </si>
  <si>
    <t>VETF-L</t>
  </si>
  <si>
    <t>ATI21207.1</t>
  </si>
  <si>
    <t>AWU47141.1</t>
  </si>
  <si>
    <t>VETF-large subuni</t>
  </si>
  <si>
    <t>APG58317.1</t>
  </si>
  <si>
    <t>early transcription factor 82 kDa subuni</t>
  </si>
  <si>
    <t>ADT91126.1</t>
  </si>
  <si>
    <t>viral early transcription factor large subuni</t>
  </si>
  <si>
    <t>ANS71185.1</t>
  </si>
  <si>
    <t>large subunit viral early transcription factor</t>
  </si>
  <si>
    <t>AKR04229.1</t>
  </si>
  <si>
    <t>early transcription factor (VETF) large subuni</t>
  </si>
  <si>
    <t>CCD83278.1</t>
  </si>
  <si>
    <t>early transcription factor</t>
  </si>
  <si>
    <t>ASK51304.1</t>
  </si>
  <si>
    <t>Early transcription factor large subunit (VETF-L)</t>
  </si>
  <si>
    <t>AUD40278.1</t>
  </si>
  <si>
    <t>early transcription factor large subuni</t>
  </si>
  <si>
    <t>AID46909.1</t>
  </si>
  <si>
    <t>early transcription factor large subunit VETF-L</t>
  </si>
  <si>
    <t>AID46678.1</t>
  </si>
  <si>
    <t>ALA62500.1</t>
  </si>
  <si>
    <t>AAR83590.1</t>
  </si>
  <si>
    <t>CNPV244 early transcription factor large subunit VETFL</t>
  </si>
  <si>
    <t>AAF44515.1</t>
  </si>
  <si>
    <t>ORF FPV171 Early transcription factor large subunit, VETF-L</t>
  </si>
  <si>
    <t>AAK85059.1</t>
  </si>
  <si>
    <t>LSDV098 putative early transcription factor large subuni</t>
  </si>
  <si>
    <t>AST09317.1</t>
  </si>
  <si>
    <t>early gene transcription factor</t>
  </si>
  <si>
    <t>AEN03697.1</t>
  </si>
  <si>
    <t>VETFL early gene transcription factor 82kDa large subuni</t>
  </si>
  <si>
    <t>ABI99262.1</t>
  </si>
  <si>
    <t>early transcription factor VETFL</t>
  </si>
  <si>
    <t>ABJ09019.1</t>
  </si>
  <si>
    <t>AAF14984.1</t>
  </si>
  <si>
    <t>m96L</t>
  </si>
  <si>
    <t>AFU77360.1</t>
  </si>
  <si>
    <t>AAF17979.1</t>
  </si>
  <si>
    <t>gp096L</t>
  </si>
  <si>
    <t>AAC55238.1</t>
  </si>
  <si>
    <t>MC110L</t>
  </si>
  <si>
    <t>AYN64692.1</t>
  </si>
  <si>
    <t>putative A7L protein</t>
  </si>
  <si>
    <t>AXN74921.1</t>
  </si>
  <si>
    <t>ABH08233.1</t>
  </si>
  <si>
    <t>HSPV127</t>
  </si>
  <si>
    <t>AAG37608.1</t>
  </si>
  <si>
    <t>CMP123L</t>
  </si>
  <si>
    <t>AAL73831.1</t>
  </si>
  <si>
    <t>putative early transcription factor VETFL</t>
  </si>
  <si>
    <t>AAM13580.1</t>
  </si>
  <si>
    <t>CPXV139 protein</t>
  </si>
  <si>
    <t>AAM92414.1</t>
  </si>
  <si>
    <t>EVM110</t>
  </si>
  <si>
    <t>AFH54673.1</t>
  </si>
  <si>
    <t>AAL40576.1</t>
  </si>
  <si>
    <t>A8L</t>
  </si>
  <si>
    <t>AAX09213.1</t>
  </si>
  <si>
    <t>MPXV-COP-112</t>
  </si>
  <si>
    <t>AKJ93755.1</t>
  </si>
  <si>
    <t>AOP31604.1</t>
  </si>
  <si>
    <t>vetf-l</t>
  </si>
  <si>
    <t>ABD97694.1</t>
  </si>
  <si>
    <t>82kDa large subunit of early gene transcription factor VETF</t>
  </si>
  <si>
    <t>AAO89405.1</t>
  </si>
  <si>
    <t>CAA49052.1</t>
  </si>
  <si>
    <t>A7L</t>
  </si>
  <si>
    <t>CAB54711.1</t>
  </si>
  <si>
    <t>A8L protein</t>
  </si>
  <si>
    <t>AOP31815.1</t>
  </si>
  <si>
    <t>ASC55558.1</t>
  </si>
  <si>
    <t>early transcription factor VETFL-like protein</t>
  </si>
  <si>
    <t>AAR98440.1</t>
  </si>
  <si>
    <t>ORF083 early transcription factor VETFL</t>
  </si>
  <si>
    <t>AAR98308.1</t>
  </si>
  <si>
    <t>ABA00600.1</t>
  </si>
  <si>
    <t>AIZ77334.1</t>
  </si>
  <si>
    <t>ADC53985.1</t>
  </si>
  <si>
    <t>AAL69834.1</t>
  </si>
  <si>
    <t>SPV095 putative early transcription factor VETFL</t>
  </si>
  <si>
    <t>CAC21336.1</t>
  </si>
  <si>
    <t>98L protein</t>
  </si>
  <si>
    <t>AAR07454.1</t>
  </si>
  <si>
    <t>98L</t>
  </si>
  <si>
    <t>AAC97622.1</t>
  </si>
  <si>
    <t>ORF MSV063 putative early transcription factor large subunit homolog VETF-L (vaccinia A7L), similar to GB:X76265</t>
  </si>
  <si>
    <t>BAO49547.1</t>
  </si>
  <si>
    <t>putative early transcription factor large subuni</t>
  </si>
  <si>
    <t>CCU55427.1</t>
  </si>
  <si>
    <t>VETF-L early transcription factor large</t>
  </si>
  <si>
    <t>AAG02811.1</t>
  </si>
  <si>
    <t>AMV105</t>
  </si>
  <si>
    <t>CCU55727.1</t>
  </si>
  <si>
    <t>CCU56029.1</t>
  </si>
  <si>
    <t>CCU56319.1</t>
  </si>
  <si>
    <t>NP_659670.1</t>
  </si>
  <si>
    <t>Early transcrition factor VETFl</t>
  </si>
  <si>
    <t>YP_001293289.1</t>
  </si>
  <si>
    <t>hypothetical protein GTPV_gp094</t>
  </si>
  <si>
    <t>D1</t>
  </si>
  <si>
    <t>large capping enzyme</t>
  </si>
  <si>
    <t>ATI21188.1</t>
  </si>
  <si>
    <t>mRNA capping enzyme large subuni</t>
  </si>
  <si>
    <t>AWU47122.1</t>
  </si>
  <si>
    <t>mRNA capping enzyme</t>
  </si>
  <si>
    <t>APG58298.1</t>
  </si>
  <si>
    <t>mRNA-capping enzyme catalytic subuni</t>
  </si>
  <si>
    <t>ADT91109.1</t>
  </si>
  <si>
    <t>capping enzyme large subuni</t>
  </si>
  <si>
    <t>ANS71166.1</t>
  </si>
  <si>
    <t>large subunit mRNA capping enzyme</t>
  </si>
  <si>
    <t>AKR04297.1</t>
  </si>
  <si>
    <t>m-RNA capping enzyme large subuni</t>
  </si>
  <si>
    <t>CCD83255.1</t>
  </si>
  <si>
    <t>large subunit of mRNA capping enzyme,transcription termination factor VTF</t>
  </si>
  <si>
    <t>ASK51284.1</t>
  </si>
  <si>
    <t>AUD40250.1</t>
  </si>
  <si>
    <t>AID46882.1</t>
  </si>
  <si>
    <t>mRNA capping enzyme, large subuni</t>
  </si>
  <si>
    <t>AID46653.1</t>
  </si>
  <si>
    <t>ALA62484.1</t>
  </si>
  <si>
    <t>mRNA-capping enzyme large subuni</t>
  </si>
  <si>
    <t>AAR83538.1</t>
  </si>
  <si>
    <t>CNPV192 mRNA capping enzyme large subuni</t>
  </si>
  <si>
    <t>AAF44490.1</t>
  </si>
  <si>
    <t>ORF FPV146 mRNA Capping enzyme, large subuni</t>
  </si>
  <si>
    <t>AAK85040.1</t>
  </si>
  <si>
    <t>LSDV079 mRNA capping enzyme large subuni</t>
  </si>
  <si>
    <t>AST09297.1</t>
  </si>
  <si>
    <t>AEN03675.1</t>
  </si>
  <si>
    <t>large subunit of mRNA capping enzyme</t>
  </si>
  <si>
    <t>ABI99243.1</t>
  </si>
  <si>
    <t>MRNA capping enzyme large subuni</t>
  </si>
  <si>
    <t>ABJ09000.1</t>
  </si>
  <si>
    <t>AAF14964.1</t>
  </si>
  <si>
    <t>m76R</t>
  </si>
  <si>
    <t>AFU77340.1</t>
  </si>
  <si>
    <t>AAF17958.1</t>
  </si>
  <si>
    <t>gp076R</t>
  </si>
  <si>
    <t>AAC55218.1</t>
  </si>
  <si>
    <t>MC090R</t>
  </si>
  <si>
    <t>AYN64672.1</t>
  </si>
  <si>
    <t>putative D1R protein</t>
  </si>
  <si>
    <t>AXN74900.1</t>
  </si>
  <si>
    <t>ABH08213.1</t>
  </si>
  <si>
    <t>HSPV107</t>
  </si>
  <si>
    <t>AAG37576.1</t>
  </si>
  <si>
    <t>CMP103R</t>
  </si>
  <si>
    <t>AAL73811.1</t>
  </si>
  <si>
    <t>AAM13560.1</t>
  </si>
  <si>
    <t>CPXV118 protein</t>
  </si>
  <si>
    <t>AAM92394.1</t>
  </si>
  <si>
    <t>EVM090</t>
  </si>
  <si>
    <t>AFH54653.1</t>
  </si>
  <si>
    <t>AAL40556.1</t>
  </si>
  <si>
    <t>E1R</t>
  </si>
  <si>
    <t>AAX09193.1</t>
  </si>
  <si>
    <t>MPXV-COP-092</t>
  </si>
  <si>
    <t>AKJ93735.1</t>
  </si>
  <si>
    <t>AOP31584.1</t>
  </si>
  <si>
    <t>ABD97674.1</t>
  </si>
  <si>
    <t>AAO89385.1</t>
  </si>
  <si>
    <t>CAA49032.1</t>
  </si>
  <si>
    <t>F1R</t>
  </si>
  <si>
    <t>CAB54691.1</t>
  </si>
  <si>
    <t>F1R protein</t>
  </si>
  <si>
    <t>AOP31795.1</t>
  </si>
  <si>
    <t>ASC55576.1</t>
  </si>
  <si>
    <t>putative mRNA capping enzyme large subunit-like protein</t>
  </si>
  <si>
    <t>AAR98421.1</t>
  </si>
  <si>
    <t>ORF064 mRNA capping enzyme large subuni</t>
  </si>
  <si>
    <t>AAR98289.1</t>
  </si>
  <si>
    <t>ABA00581.1</t>
  </si>
  <si>
    <t>mRNA capping enzyme subuni</t>
  </si>
  <si>
    <t>AIZ77315.1</t>
  </si>
  <si>
    <t>putative mRNA capping enzyme large subuni</t>
  </si>
  <si>
    <t>ADC53965.1</t>
  </si>
  <si>
    <t>AAL69815.1</t>
  </si>
  <si>
    <t>SPV076 mRNA capping enzyme large subuni</t>
  </si>
  <si>
    <t>CAC21317.1</t>
  </si>
  <si>
    <t>79R protein</t>
  </si>
  <si>
    <t>AAR07435.1</t>
  </si>
  <si>
    <t>79R</t>
  </si>
  <si>
    <t>AAC97815.1</t>
  </si>
  <si>
    <t>ORF MSV067 putative mRNA capping enzyme large subunit homolog (vaccinia D1R), similar to SW:P20979</t>
  </si>
  <si>
    <t>BAO49500.1</t>
  </si>
  <si>
    <t>CCU55511.1</t>
  </si>
  <si>
    <t>AAG02841.1</t>
  </si>
  <si>
    <t>AMV135</t>
  </si>
  <si>
    <t>CCU55754.1</t>
  </si>
  <si>
    <t>CCU56056.1</t>
  </si>
  <si>
    <t>CCU56376.1</t>
  </si>
  <si>
    <t>NP_659651.1</t>
  </si>
  <si>
    <t>YP_001293270.1</t>
  </si>
  <si>
    <t>hypothetical protein GTPV_gp075</t>
  </si>
  <si>
    <t>D11</t>
  </si>
  <si>
    <t>NPH-I</t>
  </si>
  <si>
    <t>ATI21197.1</t>
  </si>
  <si>
    <t>ATPase NPH1</t>
  </si>
  <si>
    <t>AWU47131.1</t>
  </si>
  <si>
    <t>APG58306.1</t>
  </si>
  <si>
    <t>nucleoside triphosphatase I</t>
  </si>
  <si>
    <t>ADT91117.1</t>
  </si>
  <si>
    <t>ANS71175.1</t>
  </si>
  <si>
    <t>AKR04262.1</t>
  </si>
  <si>
    <t>DEAD-like helicases superfamily D11</t>
  </si>
  <si>
    <t>CCD83265.1</t>
  </si>
  <si>
    <t>ATPase/ transcription termination factor</t>
  </si>
  <si>
    <t>ASK51294.1</t>
  </si>
  <si>
    <t>ATPase, NPH1</t>
  </si>
  <si>
    <t>AUD40154.1</t>
  </si>
  <si>
    <t>NPH-1 transcription termination factor</t>
  </si>
  <si>
    <t>AID46794.1</t>
  </si>
  <si>
    <t>AID46565.1</t>
  </si>
  <si>
    <t>ALA62404.1</t>
  </si>
  <si>
    <t>transcription termination factor NPH-I</t>
  </si>
  <si>
    <t>AAR83420.1</t>
  </si>
  <si>
    <t>CNPV074 NPH-I, transcription termination factor</t>
  </si>
  <si>
    <t>AAF44396.1</t>
  </si>
  <si>
    <t>ORF FPV052 NPH-I, trancription termination factor</t>
  </si>
  <si>
    <t>YP_001293279.1</t>
  </si>
  <si>
    <t>hypothetical protein GTPV_gp084</t>
  </si>
  <si>
    <t>AAK85049.1</t>
  </si>
  <si>
    <t>LSDV088 putative transcription termination factor</t>
  </si>
  <si>
    <t>NP_659660.1</t>
  </si>
  <si>
    <t>NPH-I, transcription termination factor</t>
  </si>
  <si>
    <t>AST09307.1</t>
  </si>
  <si>
    <t>ATPase nucleoside triphosphate phosphohydrolase-I NPH-I</t>
  </si>
  <si>
    <t>AEN03686.1</t>
  </si>
  <si>
    <t>ABI99252.1</t>
  </si>
  <si>
    <t>ABJ09009.1</t>
  </si>
  <si>
    <t>NPH-1</t>
  </si>
  <si>
    <t>AAF14974.1</t>
  </si>
  <si>
    <t>m86L</t>
  </si>
  <si>
    <t>AFU77350.1</t>
  </si>
  <si>
    <t>AAF17970.1</t>
  </si>
  <si>
    <t>gp086L</t>
  </si>
  <si>
    <t>AAC55228.1</t>
  </si>
  <si>
    <t>MC100R</t>
  </si>
  <si>
    <t>AYN64682.1</t>
  </si>
  <si>
    <t>putative D11L protein</t>
  </si>
  <si>
    <t>AXN74910.1</t>
  </si>
  <si>
    <t>helicase</t>
  </si>
  <si>
    <t>ABH08223.1</t>
  </si>
  <si>
    <t>HSPV117</t>
  </si>
  <si>
    <t>AAL73821.1</t>
  </si>
  <si>
    <t>putative NPH-I transcription termination factor</t>
  </si>
  <si>
    <t>AAG37591.1</t>
  </si>
  <si>
    <t>CMP113L</t>
  </si>
  <si>
    <t>AAM13570.1</t>
  </si>
  <si>
    <t>CPXV128 protein</t>
  </si>
  <si>
    <t>AAM92404.1</t>
  </si>
  <si>
    <t>EVM100</t>
  </si>
  <si>
    <t>AFH54663.1</t>
  </si>
  <si>
    <t>helicase NPH-I</t>
  </si>
  <si>
    <t>AAL40566.1</t>
  </si>
  <si>
    <t>E11L</t>
  </si>
  <si>
    <t>AAX09203.1</t>
  </si>
  <si>
    <t>MPXV-COP-102</t>
  </si>
  <si>
    <t>AKJ93745.1</t>
  </si>
  <si>
    <t>nucleoside triphosphate phosphohydrolase-I</t>
  </si>
  <si>
    <t>AOP31594.1</t>
  </si>
  <si>
    <t>ABD97684.1</t>
  </si>
  <si>
    <t>AAO89395.1</t>
  </si>
  <si>
    <t>ATPase, nucleoside triphosphate phosphohydrolase-I, NPH-I</t>
  </si>
  <si>
    <t>CAA49042.1</t>
  </si>
  <si>
    <t>N1L</t>
  </si>
  <si>
    <t>CAB54701.1</t>
  </si>
  <si>
    <t>O1L protein</t>
  </si>
  <si>
    <t>AOP31805.1</t>
  </si>
  <si>
    <t>ASC55568.1</t>
  </si>
  <si>
    <t>transcription termination factor NPH-I-like protein</t>
  </si>
  <si>
    <t>AAR98429.1</t>
  </si>
  <si>
    <t>AAR98297.1</t>
  </si>
  <si>
    <t>ORF072 transcription termination factor NPH-I</t>
  </si>
  <si>
    <t>ABA00589.1</t>
  </si>
  <si>
    <t>AIZ77323.1</t>
  </si>
  <si>
    <t>putative transcription termination factor NPH-I</t>
  </si>
  <si>
    <t>ADC53973.1</t>
  </si>
  <si>
    <t>AAL69824.1</t>
  </si>
  <si>
    <t>SPV085 putative NPH-I transcription termination factor</t>
  </si>
  <si>
    <t>CAC21326.1</t>
  </si>
  <si>
    <t>88L protein</t>
  </si>
  <si>
    <t>AAR07444.1</t>
  </si>
  <si>
    <t>88L</t>
  </si>
  <si>
    <t>AAC97824.1</t>
  </si>
  <si>
    <t>ORF MSV053 putative nucleoside triphosphate phosphohydrolase, Choristoneura biennis entomopox virus NPH-1 (vaccinia D11L) homolog, similar to SW:P24486</t>
  </si>
  <si>
    <t>BAO49434.1</t>
  </si>
  <si>
    <t>nucleoside triphosphate phosphohydrolase I</t>
  </si>
  <si>
    <t>CCU55471.1</t>
  </si>
  <si>
    <t>AAG02898.1</t>
  </si>
  <si>
    <t>AMV192</t>
  </si>
  <si>
    <t>CCU55796.1</t>
  </si>
  <si>
    <t>CCU56098.1</t>
  </si>
  <si>
    <t>CCU56420.1</t>
  </si>
  <si>
    <t>D12</t>
  </si>
  <si>
    <t>small capping enzyme</t>
  </si>
  <si>
    <t>ATI21198.1</t>
  </si>
  <si>
    <t>mRNA capping enzyme small subuni</t>
  </si>
  <si>
    <t>AWU47132.1</t>
  </si>
  <si>
    <t>APG58308.1</t>
  </si>
  <si>
    <t>mRNA-capping enzyme small subuni</t>
  </si>
  <si>
    <t>ADT91118.1</t>
  </si>
  <si>
    <t>capping enzyme small subuni</t>
  </si>
  <si>
    <t>ANS71176.1</t>
  </si>
  <si>
    <t>small subunit mRNA capping enzyme</t>
  </si>
  <si>
    <t>AKR04264.1</t>
  </si>
  <si>
    <t>mRNA capping enzyme, small subuni</t>
  </si>
  <si>
    <t>CCD83269.1</t>
  </si>
  <si>
    <t>mRNA capping small sub-uni</t>
  </si>
  <si>
    <t>ASK51295.1</t>
  </si>
  <si>
    <t>AUD40153.1</t>
  </si>
  <si>
    <t>AID46793.1</t>
  </si>
  <si>
    <t>AID46564.1</t>
  </si>
  <si>
    <t>ALA62403.1</t>
  </si>
  <si>
    <t>AAR83417.1</t>
  </si>
  <si>
    <t>CNPV071 mRNA capping enzyme small subuni</t>
  </si>
  <si>
    <t>AAF44395.1</t>
  </si>
  <si>
    <t>ORF FPV051 mRNA capping enzyme, small subuni</t>
  </si>
  <si>
    <t>YP_001293280.1</t>
  </si>
  <si>
    <t>hypothetical protein GTPV_gp085</t>
  </si>
  <si>
    <t>AAK85050.1</t>
  </si>
  <si>
    <t>LSDV089 mRNA capping enzyme small subuni</t>
  </si>
  <si>
    <t>NP_659661.1</t>
  </si>
  <si>
    <t>AST09308.1</t>
  </si>
  <si>
    <t>AEN03688.1</t>
  </si>
  <si>
    <t>small subunit of mRNA capping enzyme</t>
  </si>
  <si>
    <t>ABI99253.1</t>
  </si>
  <si>
    <t>MRNA capping enzyme small subuni</t>
  </si>
  <si>
    <t>ABJ09010.1</t>
  </si>
  <si>
    <t>AAF14975.1</t>
  </si>
  <si>
    <t>m87L</t>
  </si>
  <si>
    <t>AFU77351.1</t>
  </si>
  <si>
    <t>AAF17971.1</t>
  </si>
  <si>
    <t>gp087L</t>
  </si>
  <si>
    <t>AAC55229.1</t>
  </si>
  <si>
    <t>MC101L</t>
  </si>
  <si>
    <t>AYN64683.1</t>
  </si>
  <si>
    <t>putative D12L protein</t>
  </si>
  <si>
    <t>AXN74911.1</t>
  </si>
  <si>
    <t>ABH08224.1</t>
  </si>
  <si>
    <t>HSPV118</t>
  </si>
  <si>
    <t>AAL73822.1</t>
  </si>
  <si>
    <t>AAG37595.1</t>
  </si>
  <si>
    <t>CMP114L</t>
  </si>
  <si>
    <t>AAM13571.1</t>
  </si>
  <si>
    <t>CPXV129 protein</t>
  </si>
  <si>
    <t>AAM92405.1</t>
  </si>
  <si>
    <t>EVM101</t>
  </si>
  <si>
    <t>AFH54664.1</t>
  </si>
  <si>
    <t>AAL40567.1</t>
  </si>
  <si>
    <t>E12L</t>
  </si>
  <si>
    <t>AAX09204.1</t>
  </si>
  <si>
    <t>MPXV-COP-103</t>
  </si>
  <si>
    <t>AKJ93746.1</t>
  </si>
  <si>
    <t>mRNA capping enzyme protein small subuni</t>
  </si>
  <si>
    <t>AOP31595.1</t>
  </si>
  <si>
    <t>ABD97685.1</t>
  </si>
  <si>
    <t>AAO89396.1</t>
  </si>
  <si>
    <t>CAA49043.1</t>
  </si>
  <si>
    <t>N2L</t>
  </si>
  <si>
    <t>CAB54702.1</t>
  </si>
  <si>
    <t>O2L protein</t>
  </si>
  <si>
    <t>AOP31806.1</t>
  </si>
  <si>
    <t>ASC55566.1</t>
  </si>
  <si>
    <t>mRNA capping enzyme small subunit-like protein</t>
  </si>
  <si>
    <t>AAR98431.1</t>
  </si>
  <si>
    <t>ORF074 mRNA capping enzyme small subuni</t>
  </si>
  <si>
    <t>AAR98299.1</t>
  </si>
  <si>
    <t>ABA00591.1</t>
  </si>
  <si>
    <t>AIZ77325.1</t>
  </si>
  <si>
    <t>putative mRNA capping enzyme small subuni</t>
  </si>
  <si>
    <t>ADC53976.1</t>
  </si>
  <si>
    <t>AAL69825.1</t>
  </si>
  <si>
    <t>SPV086 mRNA capping enzyme small subuni</t>
  </si>
  <si>
    <t>CAC21327.1</t>
  </si>
  <si>
    <t>89L protein</t>
  </si>
  <si>
    <t>AAR07445.1</t>
  </si>
  <si>
    <t>89L</t>
  </si>
  <si>
    <t>AAC97664.1</t>
  </si>
  <si>
    <t>ORF MSV124 putative mRNA capping enzyme small subunit homolog (vaccinia D12L), similar to PIR:S42252</t>
  </si>
  <si>
    <t>BAO49409.1</t>
  </si>
  <si>
    <t>CCU55411.1</t>
  </si>
  <si>
    <t>AAG02799.1</t>
  </si>
  <si>
    <t>AMV093</t>
  </si>
  <si>
    <t>CCU55717.1</t>
  </si>
  <si>
    <t>CCU56019.1</t>
  </si>
  <si>
    <t>CCU56313.1</t>
  </si>
  <si>
    <t>D5</t>
  </si>
  <si>
    <t>NTPase</t>
  </si>
  <si>
    <t>ATI21192.1</t>
  </si>
  <si>
    <t>NTPase DNA primase</t>
  </si>
  <si>
    <t>AWU47126.1</t>
  </si>
  <si>
    <t>APG58301.1</t>
  </si>
  <si>
    <t>primase D5</t>
  </si>
  <si>
    <t>ADT91113.1</t>
  </si>
  <si>
    <t>DNA-independent NTPase</t>
  </si>
  <si>
    <t>ANS71170.1</t>
  </si>
  <si>
    <t>ntpase, DNA primase</t>
  </si>
  <si>
    <t>AKR04215.1</t>
  </si>
  <si>
    <t>D5-like helicase-primase</t>
  </si>
  <si>
    <t>CCD83259.1</t>
  </si>
  <si>
    <t>ASK51288.1</t>
  </si>
  <si>
    <t>NTPase, DNA primase</t>
  </si>
  <si>
    <t>AUD40160.1</t>
  </si>
  <si>
    <t>AID46800.1</t>
  </si>
  <si>
    <t>AID46571.1</t>
  </si>
  <si>
    <t>ALA62409.1</t>
  </si>
  <si>
    <t>DNA replication NTPase</t>
  </si>
  <si>
    <t>AAR83428.1</t>
  </si>
  <si>
    <t>CNPV082 NTPase, DNA replication</t>
  </si>
  <si>
    <t>AAF44402.1</t>
  </si>
  <si>
    <t>ORF FPV058 NTPase, DNA replication</t>
  </si>
  <si>
    <t>AAK85044.1</t>
  </si>
  <si>
    <t>LSDV083 putative NTPase</t>
  </si>
  <si>
    <t>AST09301.1</t>
  </si>
  <si>
    <t>AEN03679.1</t>
  </si>
  <si>
    <t>ABI99247.1</t>
  </si>
  <si>
    <t>ABJ09004.1</t>
  </si>
  <si>
    <t>AAF14968.1</t>
  </si>
  <si>
    <t>m80R</t>
  </si>
  <si>
    <t>AFU77344.1</t>
  </si>
  <si>
    <t>AAF17964.1</t>
  </si>
  <si>
    <t>gp080R</t>
  </si>
  <si>
    <t>AAC55222.1</t>
  </si>
  <si>
    <t>MC094R</t>
  </si>
  <si>
    <t>AYN64676.1</t>
  </si>
  <si>
    <t>putative D5R protein</t>
  </si>
  <si>
    <t>AXN74904.1</t>
  </si>
  <si>
    <t>ABH08217.1</t>
  </si>
  <si>
    <t>HSPV111</t>
  </si>
  <si>
    <t>AAG37582.1</t>
  </si>
  <si>
    <t>CMP107R</t>
  </si>
  <si>
    <t>AAL73815.1</t>
  </si>
  <si>
    <t>putative NTPase</t>
  </si>
  <si>
    <t>AAM13564.1</t>
  </si>
  <si>
    <t>CPXV122 protein</t>
  </si>
  <si>
    <t>AAM92398.1</t>
  </si>
  <si>
    <t>EVM094</t>
  </si>
  <si>
    <t>AFH54657.1</t>
  </si>
  <si>
    <t>ntpase and DNA replication protein</t>
  </si>
  <si>
    <t>AAL40560.1</t>
  </si>
  <si>
    <t>E5R</t>
  </si>
  <si>
    <t>AAX09197.1</t>
  </si>
  <si>
    <t>MPXV-COP-096</t>
  </si>
  <si>
    <t>AKJ93739.1</t>
  </si>
  <si>
    <t>AOP31588.1</t>
  </si>
  <si>
    <t>ABD97678.1</t>
  </si>
  <si>
    <t>AAO89389.1</t>
  </si>
  <si>
    <t>NTPase interacts with A20R</t>
  </si>
  <si>
    <t>CAA49036.1</t>
  </si>
  <si>
    <t>F5R</t>
  </si>
  <si>
    <t>CAB54695.1</t>
  </si>
  <si>
    <t>F5R protein</t>
  </si>
  <si>
    <t>AOP31799.1</t>
  </si>
  <si>
    <t>ASC55572.1</t>
  </si>
  <si>
    <t>putative NTPase-like protein</t>
  </si>
  <si>
    <t>AAR98425.1</t>
  </si>
  <si>
    <t>ORF068 NTPase</t>
  </si>
  <si>
    <t>AAR98293.1</t>
  </si>
  <si>
    <t>ABA00585.1</t>
  </si>
  <si>
    <t>AIZ77319.1</t>
  </si>
  <si>
    <t>ADC53969.1</t>
  </si>
  <si>
    <t>AAL69819.1</t>
  </si>
  <si>
    <t>SPV080 putative NTPase</t>
  </si>
  <si>
    <t>CAC21321.1</t>
  </si>
  <si>
    <t>83R protein</t>
  </si>
  <si>
    <t>AAR07439.1</t>
  </si>
  <si>
    <t>83R</t>
  </si>
  <si>
    <t>AAC97809.1</t>
  </si>
  <si>
    <t>ORF MSV089 Putative NTPase, Rabbit fibroma virus C5 (vaccinia D5R) homolog, similar to PIR:G41700</t>
  </si>
  <si>
    <t>BAO49524.1</t>
  </si>
  <si>
    <t>CCU55406.1</t>
  </si>
  <si>
    <t>AAG02793.1</t>
  </si>
  <si>
    <t>AMV087</t>
  </si>
  <si>
    <t>CCU55712.1</t>
  </si>
  <si>
    <t>CCU56014.1</t>
  </si>
  <si>
    <t>CCU56308.1</t>
  </si>
  <si>
    <t>NP_659655.1</t>
  </si>
  <si>
    <t>NTPase; DNA replication</t>
  </si>
  <si>
    <t>YP_001293274.1</t>
  </si>
  <si>
    <t>hypothetical protein GTPV_gp079</t>
  </si>
  <si>
    <t>D6</t>
  </si>
  <si>
    <t>VETF-S</t>
  </si>
  <si>
    <t>ATI21193.1</t>
  </si>
  <si>
    <t>morphogenesis VETF-s</t>
  </si>
  <si>
    <t>AWU47127.1</t>
  </si>
  <si>
    <t>VETF-small subuni</t>
  </si>
  <si>
    <t>APG58302.1</t>
  </si>
  <si>
    <t>early transcription factor 70 kDa subuni</t>
  </si>
  <si>
    <t>ADT91114.1</t>
  </si>
  <si>
    <t>viral early transcription factor small subuni</t>
  </si>
  <si>
    <t>ANS71171.1</t>
  </si>
  <si>
    <t>small subunit viral early transcription factor</t>
  </si>
  <si>
    <t>AKR04214.1</t>
  </si>
  <si>
    <t>DEAD/SNF2-like helicase</t>
  </si>
  <si>
    <t>CCD83260.1</t>
  </si>
  <si>
    <t>ASK51289.1</t>
  </si>
  <si>
    <t>Early transcription factor small subunit (VETF-s)</t>
  </si>
  <si>
    <t>AUD40159.1</t>
  </si>
  <si>
    <t>early transcription factor small subuni</t>
  </si>
  <si>
    <t>AID46799.1</t>
  </si>
  <si>
    <t>early transcription factor VETF</t>
  </si>
  <si>
    <t>AID46570.1</t>
  </si>
  <si>
    <t>ALA62408.1</t>
  </si>
  <si>
    <t>early transcription factor VETF-S</t>
  </si>
  <si>
    <t>AAR83426.1</t>
  </si>
  <si>
    <t>CNPV080 early transcription factor small subunit VETFS</t>
  </si>
  <si>
    <t>AAF44401.1</t>
  </si>
  <si>
    <t>ORF FPV057 Early transcription factor small subuni</t>
  </si>
  <si>
    <t>AAK85045.1</t>
  </si>
  <si>
    <t>LSDV084 putative early transcription factor small subuni</t>
  </si>
  <si>
    <t>AST09302.1</t>
  </si>
  <si>
    <t>AEN03681.1</t>
  </si>
  <si>
    <t>ABI99248.1</t>
  </si>
  <si>
    <t>early transcription factor VETFs</t>
  </si>
  <si>
    <t>ABJ09005.1</t>
  </si>
  <si>
    <t>AAF14969.1</t>
  </si>
  <si>
    <t>m81R</t>
  </si>
  <si>
    <t>AFU77345.1</t>
  </si>
  <si>
    <t>AAF17965.1</t>
  </si>
  <si>
    <t>gp081R</t>
  </si>
  <si>
    <t>AAC55223.1</t>
  </si>
  <si>
    <t>MC095R</t>
  </si>
  <si>
    <t>AYN64677.1</t>
  </si>
  <si>
    <t>putative D6R protein</t>
  </si>
  <si>
    <t>AXN74905.1</t>
  </si>
  <si>
    <t>ABH08218.1</t>
  </si>
  <si>
    <t>HSPV112</t>
  </si>
  <si>
    <t>AAG37586.1</t>
  </si>
  <si>
    <t>CMP108R</t>
  </si>
  <si>
    <t>AAL73816.1</t>
  </si>
  <si>
    <t>putative early transcription factor VETFS</t>
  </si>
  <si>
    <t>AAM13565.1</t>
  </si>
  <si>
    <t>CPXV123 protein</t>
  </si>
  <si>
    <t>AAM92399.1</t>
  </si>
  <si>
    <t>EVM095</t>
  </si>
  <si>
    <t>AFH54658.1</t>
  </si>
  <si>
    <t>AAL40561.1</t>
  </si>
  <si>
    <t>E6R</t>
  </si>
  <si>
    <t>AAX09198.1</t>
  </si>
  <si>
    <t>MPXV-COP-097</t>
  </si>
  <si>
    <t>AKJ93740.1</t>
  </si>
  <si>
    <t>VETF</t>
  </si>
  <si>
    <t>AOP31589.1</t>
  </si>
  <si>
    <t>morph</t>
  </si>
  <si>
    <t>ABD97679.1</t>
  </si>
  <si>
    <t>70kDa small subunit of early transcription initiation factor VETF</t>
  </si>
  <si>
    <t>AAO89390.1</t>
  </si>
  <si>
    <t>70kDa small subunit of early gene transcription factor VETF</t>
  </si>
  <si>
    <t>CAA49037.1</t>
  </si>
  <si>
    <t>F6R</t>
  </si>
  <si>
    <t>CAB54696.1</t>
  </si>
  <si>
    <t>F6R protein</t>
  </si>
  <si>
    <t>AOP31800.1</t>
  </si>
  <si>
    <t>ASC55571.1</t>
  </si>
  <si>
    <t>putative early transcription factor VETF-like protein</t>
  </si>
  <si>
    <t>AAR98426.1</t>
  </si>
  <si>
    <t>ORF069 early transcription factor VETFs</t>
  </si>
  <si>
    <t>AAR98294.1</t>
  </si>
  <si>
    <t>ABA00586.1</t>
  </si>
  <si>
    <t>AIZ77320.1</t>
  </si>
  <si>
    <t>putative early transcription factor VETF</t>
  </si>
  <si>
    <t>ADC53970.1</t>
  </si>
  <si>
    <t>AAL69820.1</t>
  </si>
  <si>
    <t>SPV081 putative early transcription factor VETFS</t>
  </si>
  <si>
    <t>CAC21322.1</t>
  </si>
  <si>
    <t>84R protein</t>
  </si>
  <si>
    <t>AAR07440.1</t>
  </si>
  <si>
    <t>84R</t>
  </si>
  <si>
    <t>AAC97658.1</t>
  </si>
  <si>
    <t>ORF MSV113 putative early transcription factor small subunit VETF-S homolog (vaccinia D6R), similar to SW:P04308</t>
  </si>
  <si>
    <t>BAO49470.1</t>
  </si>
  <si>
    <t>putative early transcription factor small subuni</t>
  </si>
  <si>
    <t>CCU55480.1</t>
  </si>
  <si>
    <t>morph, VETF-s early transcription factor small</t>
  </si>
  <si>
    <t>AAG02880.1</t>
  </si>
  <si>
    <t>AMV174</t>
  </si>
  <si>
    <t>CCU55785.1</t>
  </si>
  <si>
    <t>CCU56087.1</t>
  </si>
  <si>
    <t>CCU56412.1</t>
  </si>
  <si>
    <t>NP_659656.1</t>
  </si>
  <si>
    <t>Early transcription factor VETFs</t>
  </si>
  <si>
    <t>YP_001293275.1</t>
  </si>
  <si>
    <t>hypothetical protein GTPV_gp080</t>
  </si>
  <si>
    <t>E1</t>
  </si>
  <si>
    <t>polyA polymerase large</t>
  </si>
  <si>
    <t>ATI21138.1</t>
  </si>
  <si>
    <t>polymerase catalytic subunit VP55</t>
  </si>
  <si>
    <t>AWU47070.1</t>
  </si>
  <si>
    <t>poly polymerase catalytic subuni</t>
  </si>
  <si>
    <t>APG58240.1</t>
  </si>
  <si>
    <t>polyA polymerase catalytic subuni</t>
  </si>
  <si>
    <t>ADT91067.1</t>
  </si>
  <si>
    <t>polyA polymerase large subuni</t>
  </si>
  <si>
    <t>ANS71113.1</t>
  </si>
  <si>
    <t>poly(a) polymerase catalytic subuni</t>
  </si>
  <si>
    <t>AKR04194.1</t>
  </si>
  <si>
    <t>poly(A) polymerase catalytic subuni</t>
  </si>
  <si>
    <t>CCD83206.1</t>
  </si>
  <si>
    <t>ASK51236.1</t>
  </si>
  <si>
    <t>Poly (A) polymerase catalytic subuni</t>
  </si>
  <si>
    <t>AUD40206.1</t>
  </si>
  <si>
    <t>AID46841.1</t>
  </si>
  <si>
    <t>polyA polymerase large subunit PAP-L</t>
  </si>
  <si>
    <t>AID46612.1</t>
  </si>
  <si>
    <t>ALA62447.1</t>
  </si>
  <si>
    <t>poly(A) polymerase large subunit PAP-L</t>
  </si>
  <si>
    <t>AAR83475.1</t>
  </si>
  <si>
    <t>CNPV129 poly(A) polymerase large subunit PAPL</t>
  </si>
  <si>
    <t>AAF44446.1</t>
  </si>
  <si>
    <t>ORF FPV102 Poly(A) polymerase large subunit, PAP-L</t>
  </si>
  <si>
    <t>AAK84993.1</t>
  </si>
  <si>
    <t>LSDV032 poly(A) polymerase large subuni</t>
  </si>
  <si>
    <t>AST09248.1</t>
  </si>
  <si>
    <t>VP55</t>
  </si>
  <si>
    <t>AEN03624.1</t>
  </si>
  <si>
    <t>ABI99196.1</t>
  </si>
  <si>
    <t>poly(A) polymerase large subuni</t>
  </si>
  <si>
    <t>ABJ08945.1</t>
  </si>
  <si>
    <t>AAF14915.1</t>
  </si>
  <si>
    <t>m27L</t>
  </si>
  <si>
    <t>AFU77292.1</t>
  </si>
  <si>
    <t>AAF17910.1</t>
  </si>
  <si>
    <t>gp027L</t>
  </si>
  <si>
    <t>AAC55159.1</t>
  </si>
  <si>
    <t>MC031L</t>
  </si>
  <si>
    <t>AYN64624.1</t>
  </si>
  <si>
    <t>putative E1L protein</t>
  </si>
  <si>
    <t>AXN74848.1</t>
  </si>
  <si>
    <t>ABH08161.1</t>
  </si>
  <si>
    <t>HSPV058</t>
  </si>
  <si>
    <t>AAG37515.1</t>
  </si>
  <si>
    <t>CMP53L</t>
  </si>
  <si>
    <t>AAL73760.1</t>
  </si>
  <si>
    <t>poly(A) polymerase large subunit PAPL</t>
  </si>
  <si>
    <t>AAM13512.1</t>
  </si>
  <si>
    <t>CPXV067 protein</t>
  </si>
  <si>
    <t>AAM92345.1</t>
  </si>
  <si>
    <t>EVM041</t>
  </si>
  <si>
    <t>AFH54603.1</t>
  </si>
  <si>
    <t>poly(a) polymerase large subuni</t>
  </si>
  <si>
    <t>AAL40508.1</t>
  </si>
  <si>
    <t>F1L</t>
  </si>
  <si>
    <t>AAX09145.1</t>
  </si>
  <si>
    <t>MPXV-COP-044</t>
  </si>
  <si>
    <t>AKJ93685.1</t>
  </si>
  <si>
    <t>Poly-A polymerase catalytic subunit VP55 protein</t>
  </si>
  <si>
    <t>AOP31534.1</t>
  </si>
  <si>
    <t>ABD97624.1</t>
  </si>
  <si>
    <t>poly-A polymerase catalytic subunit VP55</t>
  </si>
  <si>
    <t>AAO89336.1</t>
  </si>
  <si>
    <t>CAA48983.1</t>
  </si>
  <si>
    <t>E1L</t>
  </si>
  <si>
    <t>CAB54642.1</t>
  </si>
  <si>
    <t>C1L protein</t>
  </si>
  <si>
    <t>AOP31745.1</t>
  </si>
  <si>
    <t>ASC55617.1</t>
  </si>
  <si>
    <t>poly(A) polymerase large subunit-like protein</t>
  </si>
  <si>
    <t>AAR98375.1</t>
  </si>
  <si>
    <t>ORF018 poly-A polymerase catalytic subunit PAPL</t>
  </si>
  <si>
    <t>AAR98243.1</t>
  </si>
  <si>
    <t>ABA00535.1</t>
  </si>
  <si>
    <t>poly-A polymerase catalytic subuni</t>
  </si>
  <si>
    <t>AIZ77269.1</t>
  </si>
  <si>
    <t>putative poly-A polymerase catalytic subunit PAPL</t>
  </si>
  <si>
    <t>ADC53919.1</t>
  </si>
  <si>
    <t>poly(A)-polymerase subuni</t>
  </si>
  <si>
    <t>AAL69769.1</t>
  </si>
  <si>
    <t>SPV030 poly(A) polymerase lage subunit PAPL</t>
  </si>
  <si>
    <t>CAC21270.1</t>
  </si>
  <si>
    <t>32L protein</t>
  </si>
  <si>
    <t>AAR07389.1</t>
  </si>
  <si>
    <t>32L</t>
  </si>
  <si>
    <t>AAC97789.1</t>
  </si>
  <si>
    <t>ORF MSV143 putative poly(A) polymerase large subunit PAP-L homolog (vaccinia E1L), similar to SW:P33809</t>
  </si>
  <si>
    <t>BAO49506.1</t>
  </si>
  <si>
    <t>putative poly(A) polymerase large subuni</t>
  </si>
  <si>
    <t>CCU55359.1</t>
  </si>
  <si>
    <t>poly(A) polymerase catalytic subunit VP55</t>
  </si>
  <si>
    <t>AAG02744.1</t>
  </si>
  <si>
    <t>AMV038</t>
  </si>
  <si>
    <t>CCU55653.1</t>
  </si>
  <si>
    <t>CCU55966.1</t>
  </si>
  <si>
    <t>CCU56262.1</t>
  </si>
  <si>
    <t>NP_659604.1</t>
  </si>
  <si>
    <t>Poly(A) polymerase large subuni</t>
  </si>
  <si>
    <t>YP_001293223.1</t>
  </si>
  <si>
    <t>hypothetical protein GTPV_gp028</t>
  </si>
  <si>
    <t>E10</t>
  </si>
  <si>
    <t>sulfhydryl oxidase</t>
  </si>
  <si>
    <t>ATI21146.1</t>
  </si>
  <si>
    <t>AWU47083.1</t>
  </si>
  <si>
    <t>Sulfhydryl oxidase</t>
  </si>
  <si>
    <t>APG58250.1</t>
  </si>
  <si>
    <t>putative FAD-linked sulfhydryl oxidase E10</t>
  </si>
  <si>
    <t>ADT91073.1</t>
  </si>
  <si>
    <t>ANS71127.1</t>
  </si>
  <si>
    <t>AKR04201.1</t>
  </si>
  <si>
    <t>disulfide (thiol) oxidoreductase</t>
  </si>
  <si>
    <t>CCD83216.1</t>
  </si>
  <si>
    <t>putative redox protein</t>
  </si>
  <si>
    <t>ASK51243.1</t>
  </si>
  <si>
    <t>Sulfhydryl oxidase (FAD-linked)</t>
  </si>
  <si>
    <t>AUD40197.1</t>
  </si>
  <si>
    <t>AID46832.1</t>
  </si>
  <si>
    <t>sulfhydryl oxidase ERV1</t>
  </si>
  <si>
    <t>AID46603.1</t>
  </si>
  <si>
    <t>ALA62441.1</t>
  </si>
  <si>
    <t>IMV redox protein</t>
  </si>
  <si>
    <t>AAR83466.1</t>
  </si>
  <si>
    <t>CNPV120 putative IMV redox protein, virus assembly</t>
  </si>
  <si>
    <t>AAF44437.1</t>
  </si>
  <si>
    <t>ORF FPV093</t>
  </si>
  <si>
    <t>AAK85001.1</t>
  </si>
  <si>
    <t>LSDV040 putative redox protein</t>
  </si>
  <si>
    <t>AST09256.1</t>
  </si>
  <si>
    <t>AEN03633.1</t>
  </si>
  <si>
    <t>ABI99204.1</t>
  </si>
  <si>
    <t>ABJ08951.1</t>
  </si>
  <si>
    <t>AAF14923.1</t>
  </si>
  <si>
    <t>m035R</t>
  </si>
  <si>
    <t>AFU77300.1</t>
  </si>
  <si>
    <t>AAF17917.1</t>
  </si>
  <si>
    <t>gp035R</t>
  </si>
  <si>
    <t>AAC55168.1</t>
  </si>
  <si>
    <t>MC040R</t>
  </si>
  <si>
    <t>AYN64633.1</t>
  </si>
  <si>
    <t>putative E10R protein</t>
  </si>
  <si>
    <t>AXN74857.1</t>
  </si>
  <si>
    <t>ABH08170.1</t>
  </si>
  <si>
    <t>HSPV067</t>
  </si>
  <si>
    <t>AAG37528.1</t>
  </si>
  <si>
    <t>CMP62R</t>
  </si>
  <si>
    <t>AAL73769.1</t>
  </si>
  <si>
    <t>potential redox protein</t>
  </si>
  <si>
    <t>AAM13521.1</t>
  </si>
  <si>
    <t>CPXV076 protein</t>
  </si>
  <si>
    <t>AAM92354.1</t>
  </si>
  <si>
    <t>EVM050</t>
  </si>
  <si>
    <t>AFH54612.1</t>
  </si>
  <si>
    <t>disulfide bond formation pathway protein</t>
  </si>
  <si>
    <t>AAL40516.1</t>
  </si>
  <si>
    <t>F9R</t>
  </si>
  <si>
    <t>AAX09153.1</t>
  </si>
  <si>
    <t>MPXV-COP-052</t>
  </si>
  <si>
    <t>AKJ93694.1</t>
  </si>
  <si>
    <t>AOP31543.1</t>
  </si>
  <si>
    <t>ABD97633.1</t>
  </si>
  <si>
    <t>AAO89345.1</t>
  </si>
  <si>
    <t>CAA48992.1</t>
  </si>
  <si>
    <t>E10R</t>
  </si>
  <si>
    <t>CAB54651.1</t>
  </si>
  <si>
    <t>C10R protein</t>
  </si>
  <si>
    <t>AOP31754.1</t>
  </si>
  <si>
    <t>ASF89964.1</t>
  </si>
  <si>
    <t>sulfhydryl oxidase-like protein</t>
  </si>
  <si>
    <t>AAR98383.1</t>
  </si>
  <si>
    <t>ORF026 IMV redox protein</t>
  </si>
  <si>
    <t>AAR98251.1</t>
  </si>
  <si>
    <t>ORF026 putative IMV redox protein</t>
  </si>
  <si>
    <t>ABA00543.1</t>
  </si>
  <si>
    <t>ERV/ALR-like protein</t>
  </si>
  <si>
    <t>AIZ77277.1</t>
  </si>
  <si>
    <t>putative IMV redox protein</t>
  </si>
  <si>
    <t>ADC53927.1</t>
  </si>
  <si>
    <t>AAL69776.1</t>
  </si>
  <si>
    <t>SPV037 potential redox protein</t>
  </si>
  <si>
    <t>CAC21278.1</t>
  </si>
  <si>
    <t>40R protein</t>
  </si>
  <si>
    <t>AAR07397.1</t>
  </si>
  <si>
    <t>40R</t>
  </si>
  <si>
    <t>AAC97808.1</t>
  </si>
  <si>
    <t>ORF MSV093 putative vaccinia E10R homolog, similar to SW:P33821 and yeast ERV1, SW:P27882</t>
  </si>
  <si>
    <t>BAO49428.1</t>
  </si>
  <si>
    <t>CCU55424.1</t>
  </si>
  <si>
    <t>sulfhydryl oxidase FAD-linked (Cop-E10R)</t>
  </si>
  <si>
    <t>AAG02820.1</t>
  </si>
  <si>
    <t>AMV114</t>
  </si>
  <si>
    <t>CCU55729.1</t>
  </si>
  <si>
    <t>CCU56031.1</t>
  </si>
  <si>
    <t>CCU56368.1</t>
  </si>
  <si>
    <t>NP_659612.1</t>
  </si>
  <si>
    <t>IMV redox protein, virus assembly</t>
  </si>
  <si>
    <t>YP_001293231.1</t>
  </si>
  <si>
    <t>hypothetical protein GTPV_gp036</t>
  </si>
  <si>
    <t>E9</t>
  </si>
  <si>
    <t>DNA-polymerase</t>
  </si>
  <si>
    <t>ATI21145.1</t>
  </si>
  <si>
    <t>DNA polymerase</t>
  </si>
  <si>
    <t>AWU47082.1</t>
  </si>
  <si>
    <t>APG58249.1</t>
  </si>
  <si>
    <t>ADT91072.1</t>
  </si>
  <si>
    <t>DNA-dependent DNA polymerase</t>
  </si>
  <si>
    <t>ANS71126.1</t>
  </si>
  <si>
    <t>AKR04200.1</t>
  </si>
  <si>
    <t>DNA polymerase elongation subunit family B</t>
  </si>
  <si>
    <t>CCD83215.1</t>
  </si>
  <si>
    <t>ASK51242.1</t>
  </si>
  <si>
    <t>AUD40198.1</t>
  </si>
  <si>
    <t>AID46833.1</t>
  </si>
  <si>
    <t>AID46604.1</t>
  </si>
  <si>
    <t>ALA62442.1</t>
  </si>
  <si>
    <t>AAR83467.1</t>
  </si>
  <si>
    <t>CNPV121 DNA polymerase</t>
  </si>
  <si>
    <t>AAF44438.1</t>
  </si>
  <si>
    <t>ORF FPV094 DNA polymerase</t>
  </si>
  <si>
    <t>AAK85000.1</t>
  </si>
  <si>
    <t>LSDV039 DNA polymerase</t>
  </si>
  <si>
    <t>AST09255.1</t>
  </si>
  <si>
    <t>AEN03632.1</t>
  </si>
  <si>
    <t>ABI99203.1</t>
  </si>
  <si>
    <t>ABJ08950.1</t>
  </si>
  <si>
    <t>AAF14922.1</t>
  </si>
  <si>
    <t>m34L</t>
  </si>
  <si>
    <t>AFU77299.1</t>
  </si>
  <si>
    <t>AAF17916.1</t>
  </si>
  <si>
    <t>gp034L</t>
  </si>
  <si>
    <t>AAC55167.1</t>
  </si>
  <si>
    <t>MC039L</t>
  </si>
  <si>
    <t>AYN64632.1</t>
  </si>
  <si>
    <t>putative E9L protein</t>
  </si>
  <si>
    <t>AXN74856.1</t>
  </si>
  <si>
    <t>ABH08169.1</t>
  </si>
  <si>
    <t>HSPV066</t>
  </si>
  <si>
    <t>AAG37526.1</t>
  </si>
  <si>
    <t>CMP61L</t>
  </si>
  <si>
    <t>AAL73768.1</t>
  </si>
  <si>
    <t>AAM13520.1</t>
  </si>
  <si>
    <t>CPXV075 protein</t>
  </si>
  <si>
    <t>AAM92353.1</t>
  </si>
  <si>
    <t>EVM049</t>
  </si>
  <si>
    <t>AFH54611.1</t>
  </si>
  <si>
    <t>AAL40515.1</t>
  </si>
  <si>
    <t>F8L</t>
  </si>
  <si>
    <t>AAX09152.1</t>
  </si>
  <si>
    <t>MPXV-COP-051</t>
  </si>
  <si>
    <t>AKJ93693.1</t>
  </si>
  <si>
    <t>AOP31542.1</t>
  </si>
  <si>
    <t>ABD97632.1</t>
  </si>
  <si>
    <t>AAO89344.1</t>
  </si>
  <si>
    <t>CAA48991.1</t>
  </si>
  <si>
    <t>E9L</t>
  </si>
  <si>
    <t>CAB54650.1</t>
  </si>
  <si>
    <t>C9L protein</t>
  </si>
  <si>
    <t>AOP31753.1</t>
  </si>
  <si>
    <t>ASC55610.1</t>
  </si>
  <si>
    <t>putative DNA polymerase-like protein</t>
  </si>
  <si>
    <t>AAR98382.1</t>
  </si>
  <si>
    <t>ORF025 DNA polymerase</t>
  </si>
  <si>
    <t>AAR98250.1</t>
  </si>
  <si>
    <t>ABA00542.1</t>
  </si>
  <si>
    <t>AIZ77276.1</t>
  </si>
  <si>
    <t>putative DNA polymerase</t>
  </si>
  <si>
    <t>ADC53926.1</t>
  </si>
  <si>
    <t>AAL69775.1</t>
  </si>
  <si>
    <t>SPV036 DNA polymerase</t>
  </si>
  <si>
    <t>CAC21277.1</t>
  </si>
  <si>
    <t>39L protein</t>
  </si>
  <si>
    <t>AAR07396.1</t>
  </si>
  <si>
    <t>39L</t>
  </si>
  <si>
    <t>AAC97837.1</t>
  </si>
  <si>
    <t>ORF MSV036 putative DNA polymerase, Choristoneura biennis entomopox virus DPOL homolog (vaccinia E9L), similar to SW:P30319</t>
  </si>
  <si>
    <t>BAO49586.1</t>
  </si>
  <si>
    <t>CCU55370.1</t>
  </si>
  <si>
    <t>AAG02756.1</t>
  </si>
  <si>
    <t>AMV050</t>
  </si>
  <si>
    <t>CCU55637.1</t>
  </si>
  <si>
    <t>CCU55950.1</t>
  </si>
  <si>
    <t>CCU56273.1</t>
  </si>
  <si>
    <t>NP_659611.1</t>
  </si>
  <si>
    <t>YP_001293230.1</t>
  </si>
  <si>
    <t>hypothetical protein GTPV_gp035</t>
  </si>
  <si>
    <t>G5</t>
  </si>
  <si>
    <t>FEN1</t>
  </si>
  <si>
    <t>ATI21162.1</t>
  </si>
  <si>
    <t>FEN1-like nuclease</t>
  </si>
  <si>
    <t>AWU47099.1</t>
  </si>
  <si>
    <t>APG58269.1</t>
  </si>
  <si>
    <t>putative nuclease G5</t>
  </si>
  <si>
    <t>ADT91086.2</t>
  </si>
  <si>
    <t>Flap endonuclease FEN-1</t>
  </si>
  <si>
    <t>ANS71143.1</t>
  </si>
  <si>
    <t>fen1-like nuclease</t>
  </si>
  <si>
    <t>AKR04270.1</t>
  </si>
  <si>
    <t>G5 protein</t>
  </si>
  <si>
    <t>CCD83231.1</t>
  </si>
  <si>
    <t>predicted FEN-1 endonuclease</t>
  </si>
  <si>
    <t>ASK51259.1</t>
  </si>
  <si>
    <t>AUD40221.1</t>
  </si>
  <si>
    <t>flap endonuclease</t>
  </si>
  <si>
    <t>AID46855.1</t>
  </si>
  <si>
    <t>hypothetical protein pepv_123</t>
  </si>
  <si>
    <t>AID46626.1</t>
  </si>
  <si>
    <t>hypothetical protein fep_120</t>
  </si>
  <si>
    <t>ALA62460.1</t>
  </si>
  <si>
    <t>AAR83491.1</t>
  </si>
  <si>
    <t>CNPV145 conserved hypothetical protein</t>
  </si>
  <si>
    <t>AAF44461.1</t>
  </si>
  <si>
    <t>ORF FPV117</t>
  </si>
  <si>
    <t>AAK85015.1</t>
  </si>
  <si>
    <t>LSDV054 hypothetical protein</t>
  </si>
  <si>
    <t>AST09273.1</t>
  </si>
  <si>
    <t>AEN03650.1</t>
  </si>
  <si>
    <t>ABI99218.1</t>
  </si>
  <si>
    <t>hypothetical protein DpV83gp063</t>
  </si>
  <si>
    <t>ABJ08967.1</t>
  </si>
  <si>
    <t>virion core protein</t>
  </si>
  <si>
    <t>AAF14937.1</t>
  </si>
  <si>
    <t>m049R</t>
  </si>
  <si>
    <t>AFU77313.1</t>
  </si>
  <si>
    <t>AAF17931.1</t>
  </si>
  <si>
    <t>gp049R</t>
  </si>
  <si>
    <t>AAC55188.1</t>
  </si>
  <si>
    <t>MC60R</t>
  </si>
  <si>
    <t>AYN64648.1</t>
  </si>
  <si>
    <t>putative G5R protein</t>
  </si>
  <si>
    <t>AXN74874.1</t>
  </si>
  <si>
    <t>ABH08189.1</t>
  </si>
  <si>
    <t>HSPV083</t>
  </si>
  <si>
    <t>AAG37549.1</t>
  </si>
  <si>
    <t>CMP79R</t>
  </si>
  <si>
    <t>AAL73787.1</t>
  </si>
  <si>
    <t>AAM13537.1</t>
  </si>
  <si>
    <t>CPXV092 protein</t>
  </si>
  <si>
    <t>AAM92370.1</t>
  </si>
  <si>
    <t>EVM066</t>
  </si>
  <si>
    <t>AFH54629.1</t>
  </si>
  <si>
    <t>hypothetical protein ERPV_069</t>
  </si>
  <si>
    <t>AAL40532.1</t>
  </si>
  <si>
    <t>G5R</t>
  </si>
  <si>
    <t>AAX09169.1</t>
  </si>
  <si>
    <t>MPXV-COP-068</t>
  </si>
  <si>
    <t>AKJ93711.1</t>
  </si>
  <si>
    <t>AOP31560.1</t>
  </si>
  <si>
    <t>ABD97651.1</t>
  </si>
  <si>
    <t>AAO89361.1</t>
  </si>
  <si>
    <t>CAA49008.1</t>
  </si>
  <si>
    <t>H5R</t>
  </si>
  <si>
    <t>CAB54667.1</t>
  </si>
  <si>
    <t>I5R protein</t>
  </si>
  <si>
    <t>AOP31771.1</t>
  </si>
  <si>
    <t>ASC55597.1</t>
  </si>
  <si>
    <t>hypothetical protein SePPVgORF032</t>
  </si>
  <si>
    <t>AAR98398.1</t>
  </si>
  <si>
    <t>ORF041 hypothetical protein</t>
  </si>
  <si>
    <t>AAR98266.1</t>
  </si>
  <si>
    <t>ABA00558.1</t>
  </si>
  <si>
    <t>AIZ77292.1</t>
  </si>
  <si>
    <t>putative FEN-1 like endonuclease</t>
  </si>
  <si>
    <t>ADC53942.1</t>
  </si>
  <si>
    <t>AAL69790.1</t>
  </si>
  <si>
    <t>SPV051 hypothetical protein</t>
  </si>
  <si>
    <t>CAC21292.1</t>
  </si>
  <si>
    <t>54R protein</t>
  </si>
  <si>
    <t>AAR07410.1</t>
  </si>
  <si>
    <t>54R</t>
  </si>
  <si>
    <t>AAC97659.1</t>
  </si>
  <si>
    <t>ORF MSV115 putative vaccinia G5R homolog, similar to GB:J03399</t>
  </si>
  <si>
    <t>BAO49469.1</t>
  </si>
  <si>
    <t>CCU55478.1</t>
  </si>
  <si>
    <t>FEN1-like nuclease (Cop-G5R)</t>
  </si>
  <si>
    <t>AAG02885.1</t>
  </si>
  <si>
    <t>AMV179</t>
  </si>
  <si>
    <t>CCU55786.1</t>
  </si>
  <si>
    <t>CCU56088.1</t>
  </si>
  <si>
    <t>CCU56413.1</t>
  </si>
  <si>
    <t>NP_659626.1</t>
  </si>
  <si>
    <t>hypothetical protein SPPV_50</t>
  </si>
  <si>
    <t>YP_001293245.1</t>
  </si>
  <si>
    <t>hypothetical protein GTPV_gp050</t>
  </si>
  <si>
    <t>H2</t>
  </si>
  <si>
    <t>IMV entry-fusion</t>
  </si>
  <si>
    <t>ATI21181.1</t>
  </si>
  <si>
    <t>AWU47116.1</t>
  </si>
  <si>
    <t>Entry/fusion IMV membrane protein</t>
  </si>
  <si>
    <t>APG58290.1</t>
  </si>
  <si>
    <t>protein H2</t>
  </si>
  <si>
    <t>ADT91103.1</t>
  </si>
  <si>
    <t>ANS71160.1</t>
  </si>
  <si>
    <t>entry/fusion imv membrane protein</t>
  </si>
  <si>
    <t>AKR04292.1</t>
  </si>
  <si>
    <t>viral late protein H2</t>
  </si>
  <si>
    <t>CCD83249.1</t>
  </si>
  <si>
    <t>subunit of the poxvirus multiprotein entry-fusion complex</t>
  </si>
  <si>
    <t>ASK51278.1</t>
  </si>
  <si>
    <t>Entry/fusion IMV protein</t>
  </si>
  <si>
    <t>AUD40243.1</t>
  </si>
  <si>
    <t>hypothetical protein fgpv_145</t>
  </si>
  <si>
    <t>AID46875.1</t>
  </si>
  <si>
    <t>hypothetical protein pepv_147</t>
  </si>
  <si>
    <t>AID46646.1</t>
  </si>
  <si>
    <t>hypothetical protein fep_140</t>
  </si>
  <si>
    <t>ALA62476.1</t>
  </si>
  <si>
    <t>AAR83530.1</t>
  </si>
  <si>
    <t>CNPV184 conserved hypothetical protein</t>
  </si>
  <si>
    <t>AAF44483.1</t>
  </si>
  <si>
    <t>ORF FPV139</t>
  </si>
  <si>
    <t>YP_001293264.1</t>
  </si>
  <si>
    <t>hypothetical protein GTPV_gp069</t>
  </si>
  <si>
    <t>AAK85034.1</t>
  </si>
  <si>
    <t>LSDV073 hypothetical protein</t>
  </si>
  <si>
    <t>NP_659645.1</t>
  </si>
  <si>
    <t>hypothetical protein SPPV_69</t>
  </si>
  <si>
    <t>AST09291.1</t>
  </si>
  <si>
    <t>essential component of virus entry complex</t>
  </si>
  <si>
    <t>AEN03669.1</t>
  </si>
  <si>
    <t>ABI99237.1</t>
  </si>
  <si>
    <t>hypothetical protein DpV83gp082</t>
  </si>
  <si>
    <t>ABJ08992.1</t>
  </si>
  <si>
    <t>AAF14958.1</t>
  </si>
  <si>
    <t>m070R</t>
  </si>
  <si>
    <t>AFU77334.1</t>
  </si>
  <si>
    <t>AAF17952.1</t>
  </si>
  <si>
    <t>gp070R</t>
  </si>
  <si>
    <t>AAC55211.1</t>
  </si>
  <si>
    <t>MC083R</t>
  </si>
  <si>
    <t>AYN64666.1</t>
  </si>
  <si>
    <t>putative H2R protein</t>
  </si>
  <si>
    <t>AXN74893.1</t>
  </si>
  <si>
    <t>putative viral membrane protein</t>
  </si>
  <si>
    <t>ABH08207.1</t>
  </si>
  <si>
    <t>HSPV101</t>
  </si>
  <si>
    <t>AAL73805.1</t>
  </si>
  <si>
    <t>AAG37570.1</t>
  </si>
  <si>
    <t>CMP97R</t>
  </si>
  <si>
    <t>AAM13554.1</t>
  </si>
  <si>
    <t>CPXV111 protein</t>
  </si>
  <si>
    <t>AAM92388.1</t>
  </si>
  <si>
    <t>EVM084</t>
  </si>
  <si>
    <t>AFH54647.1</t>
  </si>
  <si>
    <t>entry and cell to cell fusion protein</t>
  </si>
  <si>
    <t>AAL40550.1</t>
  </si>
  <si>
    <t>H2R</t>
  </si>
  <si>
    <t>AAX09187.1</t>
  </si>
  <si>
    <t>MPXV-COP-086</t>
  </si>
  <si>
    <t>AKJ93729.1</t>
  </si>
  <si>
    <t>Entry-fusion complex essential componen</t>
  </si>
  <si>
    <t>AOP31578.1</t>
  </si>
  <si>
    <t>entry-fusion complex essential componen</t>
  </si>
  <si>
    <t>ABD97668.1</t>
  </si>
  <si>
    <t>AAO89379.1</t>
  </si>
  <si>
    <t>CAA49026.1</t>
  </si>
  <si>
    <t>I2R</t>
  </si>
  <si>
    <t>CAB54685.1</t>
  </si>
  <si>
    <t>J2R protein</t>
  </si>
  <si>
    <t>AOP31789.1</t>
  </si>
  <si>
    <t>ASF89969.1</t>
  </si>
  <si>
    <t>hypothetical protein SePPVgORF049</t>
  </si>
  <si>
    <t>AAR98415.1</t>
  </si>
  <si>
    <t>ORF058 hypothetical protein</t>
  </si>
  <si>
    <t>AAR98283.1</t>
  </si>
  <si>
    <t>ABA00575.1</t>
  </si>
  <si>
    <t>IMV, viral entry</t>
  </si>
  <si>
    <t>AIZ77309.1</t>
  </si>
  <si>
    <t>ADC53959.1</t>
  </si>
  <si>
    <t>IMV viral entry protein</t>
  </si>
  <si>
    <t>AAL69809.1</t>
  </si>
  <si>
    <t>SPV070 hypothetical protein</t>
  </si>
  <si>
    <t>CAC21311.1</t>
  </si>
  <si>
    <t>73R protein</t>
  </si>
  <si>
    <t>AAR07429.1</t>
  </si>
  <si>
    <t>73R</t>
  </si>
  <si>
    <t>AAC97818.1</t>
  </si>
  <si>
    <t>ORF MSV060 putative vaccinia H2R homolog, similar to SW:P20496</t>
  </si>
  <si>
    <t>BAO49538.1</t>
  </si>
  <si>
    <t>CCU55515.1</t>
  </si>
  <si>
    <t>entry-fusion complex essential component (Cop-H2R)</t>
  </si>
  <si>
    <t>AAG02833.1</t>
  </si>
  <si>
    <t>AMV127</t>
  </si>
  <si>
    <t>CCU55749.1</t>
  </si>
  <si>
    <t>CCU56051.1</t>
  </si>
  <si>
    <t>CCU56354.1</t>
  </si>
  <si>
    <t>H4</t>
  </si>
  <si>
    <t>RAP94</t>
  </si>
  <si>
    <t>ATI21183.1</t>
  </si>
  <si>
    <t>AWU47118.1</t>
  </si>
  <si>
    <t>RNA polymerase associated protein</t>
  </si>
  <si>
    <t>APG58293.1</t>
  </si>
  <si>
    <t>RNA polymerase-associated transcription-specificity factor RAP94</t>
  </si>
  <si>
    <t>ADT91105.1</t>
  </si>
  <si>
    <t>DNA-dependent RNA polymerase associated protein RAP94</t>
  </si>
  <si>
    <t>ANS71162.1</t>
  </si>
  <si>
    <t>AKR04293.1</t>
  </si>
  <si>
    <t>RNA polymerase-associated transcription specificity factor Rap94</t>
  </si>
  <si>
    <t>CCD83251.1</t>
  </si>
  <si>
    <t>DNA-dependent RNA polymerase subunit RAP94</t>
  </si>
  <si>
    <t>ASK51280.1</t>
  </si>
  <si>
    <t>RNA polymerase-associated protein</t>
  </si>
  <si>
    <t>AUD40245.1</t>
  </si>
  <si>
    <t>RNA polymerase-associated protein 94</t>
  </si>
  <si>
    <t>AID46877.1</t>
  </si>
  <si>
    <t>RNA polymerase-associated protein RAP94</t>
  </si>
  <si>
    <t>AID46648.1</t>
  </si>
  <si>
    <t>ALA62479.1</t>
  </si>
  <si>
    <t>RNA polymerase associated protein RAP94</t>
  </si>
  <si>
    <t>AAR83533.1</t>
  </si>
  <si>
    <t>CNPV187 RNA polymerase associated protein RAP94</t>
  </si>
  <si>
    <t>AAF44485.1</t>
  </si>
  <si>
    <t>ORF FPV141 RNA polymerase associated protein RAP94</t>
  </si>
  <si>
    <t>AAK85036.1</t>
  </si>
  <si>
    <t>LSDV075 RNA polymerase-associated protein</t>
  </si>
  <si>
    <t>AST09293.1</t>
  </si>
  <si>
    <t>RPO-associated proteinRAP94</t>
  </si>
  <si>
    <t>AEN03671.1</t>
  </si>
  <si>
    <t>RPO-associated protein,RAP94</t>
  </si>
  <si>
    <t>ABI99239.1</t>
  </si>
  <si>
    <t>RNA polymerase-associated RAP94</t>
  </si>
  <si>
    <t>ABJ08995.1</t>
  </si>
  <si>
    <t>RNA-polymerase associated protein</t>
  </si>
  <si>
    <t>AAF14960.1</t>
  </si>
  <si>
    <t>m72L</t>
  </si>
  <si>
    <t>AFU77336.1</t>
  </si>
  <si>
    <t>AAF17954.1</t>
  </si>
  <si>
    <t>gp072L</t>
  </si>
  <si>
    <t>AAC55213.1</t>
  </si>
  <si>
    <t>MC085L</t>
  </si>
  <si>
    <t>AYN64668.1</t>
  </si>
  <si>
    <t>putative H4L protein</t>
  </si>
  <si>
    <t>AXN74895.1</t>
  </si>
  <si>
    <t>ABH08209.1</t>
  </si>
  <si>
    <t>HSPV103</t>
  </si>
  <si>
    <t>AAL73807.1</t>
  </si>
  <si>
    <t>AAG37572.1</t>
  </si>
  <si>
    <t>CMP99L</t>
  </si>
  <si>
    <t>AAM13556.1</t>
  </si>
  <si>
    <t>CPXV113 protein</t>
  </si>
  <si>
    <t>AAM92390.1</t>
  </si>
  <si>
    <t>EVM086</t>
  </si>
  <si>
    <t>AFH54649.1</t>
  </si>
  <si>
    <t>RNA polymerase associated protein rap94</t>
  </si>
  <si>
    <t>AAL40552.1</t>
  </si>
  <si>
    <t>H4L</t>
  </si>
  <si>
    <t>AAX09189.1</t>
  </si>
  <si>
    <t>MPXV-COP-088</t>
  </si>
  <si>
    <t>AKJ93731.1</t>
  </si>
  <si>
    <t>AOP31580.1</t>
  </si>
  <si>
    <t>rap94</t>
  </si>
  <si>
    <t>ABD97670.1</t>
  </si>
  <si>
    <t>RNA polymerase subunit RAP94</t>
  </si>
  <si>
    <t>AAO89381.1</t>
  </si>
  <si>
    <t>CAA49028.1</t>
  </si>
  <si>
    <t>I4L</t>
  </si>
  <si>
    <t>CAB54687.1</t>
  </si>
  <si>
    <t>J4L protein</t>
  </si>
  <si>
    <t>AOP31791.1</t>
  </si>
  <si>
    <t>ASC55580.1</t>
  </si>
  <si>
    <t>RNA polymerase-associated protein RAP94-like protein</t>
  </si>
  <si>
    <t>AAR98417.1</t>
  </si>
  <si>
    <t>ORF060 RNA polymerase-associated protein RAP94</t>
  </si>
  <si>
    <t>AAR98285.1</t>
  </si>
  <si>
    <t>ABA00577.1</t>
  </si>
  <si>
    <t>RNA-polymerase associated RAP94</t>
  </si>
  <si>
    <t>AIZ77311.1</t>
  </si>
  <si>
    <t>putative RNA polymerase-associated protein RAP94</t>
  </si>
  <si>
    <t>ADC53961.1</t>
  </si>
  <si>
    <t>AAL69811.1</t>
  </si>
  <si>
    <t>SPV072 RNA polymerase-associated protein RAP94</t>
  </si>
  <si>
    <t>CAC21313.1</t>
  </si>
  <si>
    <t>75L protein</t>
  </si>
  <si>
    <t>AAR07431.1</t>
  </si>
  <si>
    <t>75L</t>
  </si>
  <si>
    <t>AAC97801.1</t>
  </si>
  <si>
    <t>ORF MSV119 putative RNA polymerase associated vaccinia RAP94 homolog (vaccinia H4L), similar to SW:P33067</t>
  </si>
  <si>
    <t>BAO49510.1</t>
  </si>
  <si>
    <t>putative RNA polymerase associated transcriptional specificity factor</t>
  </si>
  <si>
    <t>CCU55375.1</t>
  </si>
  <si>
    <t>RAP94 RNA pol assoc protein</t>
  </si>
  <si>
    <t>AAG02760.1</t>
  </si>
  <si>
    <t>AMV054</t>
  </si>
  <si>
    <t>CCU55665.1</t>
  </si>
  <si>
    <t>CCU55975.1</t>
  </si>
  <si>
    <t>CCU56277.1</t>
  </si>
  <si>
    <t>YP_001293266.1</t>
  </si>
  <si>
    <t>hypothetical protein GTPV_gp071</t>
  </si>
  <si>
    <t>NP_659647.1</t>
  </si>
  <si>
    <t>RNA polymerase-associated protein, RAP94</t>
  </si>
  <si>
    <t>H6</t>
  </si>
  <si>
    <t>DNA topoisomerase</t>
  </si>
  <si>
    <t>ATI21185.1</t>
  </si>
  <si>
    <t>DNA topoisomerase type I</t>
  </si>
  <si>
    <t>AWU47120.1</t>
  </si>
  <si>
    <t>APG58296.1</t>
  </si>
  <si>
    <t>DNA topoisomerase 1</t>
  </si>
  <si>
    <t>ADT91107.1</t>
  </si>
  <si>
    <t>ANS71164.1</t>
  </si>
  <si>
    <t>AKR04295.1</t>
  </si>
  <si>
    <t>DNA topoisomerase I</t>
  </si>
  <si>
    <t>CCD83253.1</t>
  </si>
  <si>
    <t>topoisomerase</t>
  </si>
  <si>
    <t>ASK51282.1</t>
  </si>
  <si>
    <t>AUD40247.1</t>
  </si>
  <si>
    <t>AID46879.1</t>
  </si>
  <si>
    <t>AID46650.1</t>
  </si>
  <si>
    <t>ALA62481.1</t>
  </si>
  <si>
    <t>AAR83535.1</t>
  </si>
  <si>
    <t>CNPV189 DNA topoisomerase</t>
  </si>
  <si>
    <t>AAF44487.1</t>
  </si>
  <si>
    <t>ORF FPV143 DNA topoisomerase</t>
  </si>
  <si>
    <t>AAK85038.1</t>
  </si>
  <si>
    <t>LSDV077 DNA topoisomerase</t>
  </si>
  <si>
    <t>AST09295.1</t>
  </si>
  <si>
    <t>AEN03673.1</t>
  </si>
  <si>
    <t>ABI99241.1</t>
  </si>
  <si>
    <t>ABJ08997.1</t>
  </si>
  <si>
    <t>DNA topoisomerase IB</t>
  </si>
  <si>
    <t>AAF14962.1</t>
  </si>
  <si>
    <t>m74R</t>
  </si>
  <si>
    <t>AFU77338.1</t>
  </si>
  <si>
    <t>AAF17956.1</t>
  </si>
  <si>
    <t>gp074R</t>
  </si>
  <si>
    <t>AAC55215.1</t>
  </si>
  <si>
    <t>MC087R</t>
  </si>
  <si>
    <t>AYN64670.1</t>
  </si>
  <si>
    <t>putative H6R protein</t>
  </si>
  <si>
    <t>AXN74897.1</t>
  </si>
  <si>
    <t>DNA topoisomerase type-1</t>
  </si>
  <si>
    <t>ABH08211.1</t>
  </si>
  <si>
    <t>HSPV105</t>
  </si>
  <si>
    <t>AAG37574.1</t>
  </si>
  <si>
    <t>CMP101R</t>
  </si>
  <si>
    <t>AAL73809.1</t>
  </si>
  <si>
    <t>AAM13558.1</t>
  </si>
  <si>
    <t>CPXV115 protein</t>
  </si>
  <si>
    <t>AAM92392.1</t>
  </si>
  <si>
    <t>EVM088</t>
  </si>
  <si>
    <t>AFH54651.1</t>
  </si>
  <si>
    <t>topoisomerase type I</t>
  </si>
  <si>
    <t>AAL40554.1</t>
  </si>
  <si>
    <t>H6R</t>
  </si>
  <si>
    <t>AAX09191.1</t>
  </si>
  <si>
    <t>MPXV-COP-090</t>
  </si>
  <si>
    <t>AKJ93733.1</t>
  </si>
  <si>
    <t>DNA Topoisomerase type I</t>
  </si>
  <si>
    <t>AOP31582.1</t>
  </si>
  <si>
    <t>ABD97672.1</t>
  </si>
  <si>
    <t>topoisomerase type IB</t>
  </si>
  <si>
    <t>AAO89383.1</t>
  </si>
  <si>
    <t>CAA49030.1</t>
  </si>
  <si>
    <t>I6R</t>
  </si>
  <si>
    <t>CAB54689.1</t>
  </si>
  <si>
    <t>J6R protein</t>
  </si>
  <si>
    <t>AOP31793.1</t>
  </si>
  <si>
    <t>ASC55578.1</t>
  </si>
  <si>
    <t>DNA topoisomerase type I-like protein</t>
  </si>
  <si>
    <t>AAR98419.1</t>
  </si>
  <si>
    <t>ORF062 DNA topoisomerase type I</t>
  </si>
  <si>
    <t>AAR98287.1</t>
  </si>
  <si>
    <t>ABA00579.1</t>
  </si>
  <si>
    <t>topoisomerase I</t>
  </si>
  <si>
    <t>AIZ77313.1</t>
  </si>
  <si>
    <t>putative DNA topoisomerase type I</t>
  </si>
  <si>
    <t>ADC53963.1</t>
  </si>
  <si>
    <t>AAL69813.1</t>
  </si>
  <si>
    <t>SPV074 DNA topoisomerase</t>
  </si>
  <si>
    <t>CAC21315.1</t>
  </si>
  <si>
    <t>77R protein</t>
  </si>
  <si>
    <t>AAR07433.1</t>
  </si>
  <si>
    <t>77R</t>
  </si>
  <si>
    <t>AAC97665.1</t>
  </si>
  <si>
    <t>ORF MSV130 putative DNA topoisomerase I, Amsacta moorei entomopoxvirus topoisomerase (vaccinia H6R) homolog, similar to GB:U80056</t>
  </si>
  <si>
    <t>BAO49512.1</t>
  </si>
  <si>
    <t>CCU55373.1</t>
  </si>
  <si>
    <t>AAG02758.1</t>
  </si>
  <si>
    <t>AMV052</t>
  </si>
  <si>
    <t>CCU55663.1</t>
  </si>
  <si>
    <t>CCU55973.1</t>
  </si>
  <si>
    <t>CCU56275.1</t>
  </si>
  <si>
    <t>NP_659649.1</t>
  </si>
  <si>
    <t>YP_001293268.1</t>
  </si>
  <si>
    <t>hypothetical protein GTPV_gp073</t>
  </si>
  <si>
    <t>I8</t>
  </si>
  <si>
    <t>NPH-II</t>
  </si>
  <si>
    <t>ATI21157.1</t>
  </si>
  <si>
    <t>RNA helicase DExH-NPH-II domain</t>
  </si>
  <si>
    <t>AWU47094.1</t>
  </si>
  <si>
    <t>RNA helicase</t>
  </si>
  <si>
    <t>APG58264.1</t>
  </si>
  <si>
    <t>RNA helicase NPH-II</t>
  </si>
  <si>
    <t>ADT91081.1</t>
  </si>
  <si>
    <t>ANS71138.1</t>
  </si>
  <si>
    <t>RNA helicase, dexh-nph-ii domain</t>
  </si>
  <si>
    <t>AKR04274.1</t>
  </si>
  <si>
    <t>RNA-helicase DExH-NPH-II</t>
  </si>
  <si>
    <t>CCD83226.1</t>
  </si>
  <si>
    <t>encapsidated ATP-dependent RNA helicase</t>
  </si>
  <si>
    <t>ASK51254.1</t>
  </si>
  <si>
    <t>RNA-helicase, DExH-NPH-II</t>
  </si>
  <si>
    <t>AUD40185.1</t>
  </si>
  <si>
    <t>DNA/RNA helicase/NPH-11</t>
  </si>
  <si>
    <t>AID46820.1</t>
  </si>
  <si>
    <t>AID46591.1</t>
  </si>
  <si>
    <t>ALA62429.1</t>
  </si>
  <si>
    <t>NPH-II RNA helicase</t>
  </si>
  <si>
    <t>AAR83455.1</t>
  </si>
  <si>
    <t>CNPV109 NPH-II, RNA helicase</t>
  </si>
  <si>
    <t>AAF44426.1</t>
  </si>
  <si>
    <t>ORF FPV082 RNA helicase/NPH-II</t>
  </si>
  <si>
    <t>AAK85010.1</t>
  </si>
  <si>
    <t>LSDV049 putative RNA helicase</t>
  </si>
  <si>
    <t>AST09268.1</t>
  </si>
  <si>
    <t>RNA-helicase DExH-NPH-II domain</t>
  </si>
  <si>
    <t>AEN03645.1</t>
  </si>
  <si>
    <t>RNA-helicase, DExH-NPH-II domain</t>
  </si>
  <si>
    <t>ABI99213.1</t>
  </si>
  <si>
    <t>ABJ08962.1</t>
  </si>
  <si>
    <t>AAF14932.1</t>
  </si>
  <si>
    <t>m44R</t>
  </si>
  <si>
    <t>AFU77309.1</t>
  </si>
  <si>
    <t>AAF17926.1</t>
  </si>
  <si>
    <t>gp044R</t>
  </si>
  <si>
    <t>AAC55178.1</t>
  </si>
  <si>
    <t>MC050R</t>
  </si>
  <si>
    <t>AYN64644.1</t>
  </si>
  <si>
    <t>putative I8R protein</t>
  </si>
  <si>
    <t>AXN74869.1</t>
  </si>
  <si>
    <t>ABH08184.1</t>
  </si>
  <si>
    <t>HSPV078</t>
  </si>
  <si>
    <t>AAG37544.1</t>
  </si>
  <si>
    <t>CMP74R</t>
  </si>
  <si>
    <t>AAL73782.1</t>
  </si>
  <si>
    <t>putative NPH-II RNA helicase</t>
  </si>
  <si>
    <t>AAM13532.1</t>
  </si>
  <si>
    <t>CPXV087 protein</t>
  </si>
  <si>
    <t>AAM92365.1</t>
  </si>
  <si>
    <t>EVM061</t>
  </si>
  <si>
    <t>AFH54624.1</t>
  </si>
  <si>
    <t>AAL40527.1</t>
  </si>
  <si>
    <t>I8R</t>
  </si>
  <si>
    <t>AAX09164.1</t>
  </si>
  <si>
    <t>MPXV-COP-063</t>
  </si>
  <si>
    <t>AKJ93706.1</t>
  </si>
  <si>
    <t>AOP31555.1</t>
  </si>
  <si>
    <t>ABD97646.1</t>
  </si>
  <si>
    <t>RNA-helicase</t>
  </si>
  <si>
    <t>AAO89356.1</t>
  </si>
  <si>
    <t>CAA49003.1</t>
  </si>
  <si>
    <t>K8R</t>
  </si>
  <si>
    <t>CAB54662.1</t>
  </si>
  <si>
    <t>L8R protein</t>
  </si>
  <si>
    <t>AOP31766.1</t>
  </si>
  <si>
    <t>ASC55602.1</t>
  </si>
  <si>
    <t>RNA helicase NPH-II-like protein</t>
  </si>
  <si>
    <t>AAR98393.1</t>
  </si>
  <si>
    <t>ORF036 RNA helicase NPH-II</t>
  </si>
  <si>
    <t>AAR98261.1</t>
  </si>
  <si>
    <t>ABA00553.1</t>
  </si>
  <si>
    <t>AIZ77287.1</t>
  </si>
  <si>
    <t>putative RNA helicase NPH-II</t>
  </si>
  <si>
    <t>ADC53937.1</t>
  </si>
  <si>
    <t>AAL69785.1</t>
  </si>
  <si>
    <t>SPV046 putative NPH-II RNA helicase</t>
  </si>
  <si>
    <t>CAC21287.1</t>
  </si>
  <si>
    <t>49R protein</t>
  </si>
  <si>
    <t>AAR07405.1</t>
  </si>
  <si>
    <t>49R</t>
  </si>
  <si>
    <t>AAC97810.1</t>
  </si>
  <si>
    <t>ORF MSV086 putative RNA helicase (vaccinia I8R), similar to GB:L22579</t>
  </si>
  <si>
    <t>BAO49530.1</t>
  </si>
  <si>
    <t>CCU55400.1</t>
  </si>
  <si>
    <t>RNA helicase, DExH-NPH-II domain</t>
  </si>
  <si>
    <t>AAG02787.1</t>
  </si>
  <si>
    <t>AMV081</t>
  </si>
  <si>
    <t>CCU55706.1</t>
  </si>
  <si>
    <t>CCU56008.1</t>
  </si>
  <si>
    <t>CCU56302.1</t>
  </si>
  <si>
    <t>NP_659621.1</t>
  </si>
  <si>
    <t>NPH-II, RNA helicase</t>
  </si>
  <si>
    <t>YP_001293240.1</t>
  </si>
  <si>
    <t>hypothetical protein GTPV_gp045</t>
  </si>
  <si>
    <t>J3</t>
  </si>
  <si>
    <t>polyA polymerase small</t>
  </si>
  <si>
    <t>ATI21175.1</t>
  </si>
  <si>
    <t>polymerase small subunit VP39</t>
  </si>
  <si>
    <t>AWU47111.1</t>
  </si>
  <si>
    <t>poly polymerase small subuni</t>
  </si>
  <si>
    <t>APG58285.1</t>
  </si>
  <si>
    <t>cap-specific mRNA nucleoside-2'-O--methyltransferase</t>
  </si>
  <si>
    <t>ADT91098.1</t>
  </si>
  <si>
    <t>polyA polymerase small subuni</t>
  </si>
  <si>
    <t>ANS71155.1</t>
  </si>
  <si>
    <t>poly(a) polymerase small subuni</t>
  </si>
  <si>
    <t>AKR04186.1</t>
  </si>
  <si>
    <t>poly(A) polymerase small subunit PAPS</t>
  </si>
  <si>
    <t>CCD83243.1</t>
  </si>
  <si>
    <t>poly(A) polymerase and RNA methyltransferase</t>
  </si>
  <si>
    <t>ASK51273.1</t>
  </si>
  <si>
    <t>Poly (A) polymerase small subuni</t>
  </si>
  <si>
    <t>AUD40238.1</t>
  </si>
  <si>
    <t>AID46870.1</t>
  </si>
  <si>
    <t>polyA polymerase PAPs</t>
  </si>
  <si>
    <t>AID46641.1</t>
  </si>
  <si>
    <t>ALA62471.1</t>
  </si>
  <si>
    <t>AAR83525.1</t>
  </si>
  <si>
    <t>CNPV179 poly(A) polymerase small subunit PAPS</t>
  </si>
  <si>
    <t>AAF44478.1</t>
  </si>
  <si>
    <t>ORF FPV134 Poly(A) polymerase small subunit PAP-S</t>
  </si>
  <si>
    <t>AAK85029.1</t>
  </si>
  <si>
    <t>LSDV068 poly(A) polymerase small subuni</t>
  </si>
  <si>
    <t>AST09286.1</t>
  </si>
  <si>
    <t>VP39</t>
  </si>
  <si>
    <t>AEN03664.1</t>
  </si>
  <si>
    <t>ABI99232.1</t>
  </si>
  <si>
    <t>poly(A) polymerase small subuni</t>
  </si>
  <si>
    <t>ABJ08987.1</t>
  </si>
  <si>
    <t>AAF14953.1</t>
  </si>
  <si>
    <t>m65R</t>
  </si>
  <si>
    <t>AFU77329.1</t>
  </si>
  <si>
    <t>AAF17947.1</t>
  </si>
  <si>
    <t>gp065R</t>
  </si>
  <si>
    <t>AAC55204.1</t>
  </si>
  <si>
    <t>MC076R</t>
  </si>
  <si>
    <t>AYN64661.1</t>
  </si>
  <si>
    <t>putative J3R protein</t>
  </si>
  <si>
    <t>AXN74888.1</t>
  </si>
  <si>
    <t>Poly(A) polymerase small subuni</t>
  </si>
  <si>
    <t>ABH08202.1</t>
  </si>
  <si>
    <t>HSPV096</t>
  </si>
  <si>
    <t>AAG37564.1</t>
  </si>
  <si>
    <t>CMP92R</t>
  </si>
  <si>
    <t>AAL73800.1</t>
  </si>
  <si>
    <t>AAM13549.1</t>
  </si>
  <si>
    <t>CPXV106 protein</t>
  </si>
  <si>
    <t>AAM92383.1</t>
  </si>
  <si>
    <t>EVM079</t>
  </si>
  <si>
    <t>AFH54642.1</t>
  </si>
  <si>
    <t>AAL40545.1</t>
  </si>
  <si>
    <t>L3R</t>
  </si>
  <si>
    <t>AAX09182.1</t>
  </si>
  <si>
    <t>MPXV-COP-081</t>
  </si>
  <si>
    <t>AKJ93724.1</t>
  </si>
  <si>
    <t>Multifunctional poly-A polymerase small subunit protein VP39</t>
  </si>
  <si>
    <t>AOP31573.1</t>
  </si>
  <si>
    <t>ABD97664.1</t>
  </si>
  <si>
    <t>poly-A polymerase subuni</t>
  </si>
  <si>
    <t>AAO89374.1</t>
  </si>
  <si>
    <t>multifunctional poly-A polymerase subuni</t>
  </si>
  <si>
    <t>CAA49021.1</t>
  </si>
  <si>
    <t>CAB54680.1</t>
  </si>
  <si>
    <t>M3R protein</t>
  </si>
  <si>
    <t>AOP31784.1</t>
  </si>
  <si>
    <t>ASC55587.1</t>
  </si>
  <si>
    <t>poly(A) polymerase small subunit-like protein</t>
  </si>
  <si>
    <t>AAR98410.1</t>
  </si>
  <si>
    <t>ORF053 poly-A polymerase small subunit VP39 PAPS</t>
  </si>
  <si>
    <t>AAR98278.1</t>
  </si>
  <si>
    <t>ABA00570.1</t>
  </si>
  <si>
    <t>poly(A) polymerase subuni</t>
  </si>
  <si>
    <t>AIZ77304.1</t>
  </si>
  <si>
    <t>putative poly-A polymerase small subunit VP39 PAPS</t>
  </si>
  <si>
    <t>ADC53954.1</t>
  </si>
  <si>
    <t>AAL69804.1</t>
  </si>
  <si>
    <t>SPV065 poly(A) polymerase small subunit PAPS</t>
  </si>
  <si>
    <t>CAC21306.1</t>
  </si>
  <si>
    <t>68R protein</t>
  </si>
  <si>
    <t>AAR07424.1</t>
  </si>
  <si>
    <t>68R</t>
  </si>
  <si>
    <t>AAC97833.1</t>
  </si>
  <si>
    <t>ORF MSV041 putative poly(A) polymerase small subunit PAP-S homolog (vaccinia J3R), similar to GB:L22579</t>
  </si>
  <si>
    <t>BAO49540.1</t>
  </si>
  <si>
    <t>putative poly(A) polymerase small subuni</t>
  </si>
  <si>
    <t>CCU55378.1</t>
  </si>
  <si>
    <t>poly(A) polymerase small subunit VP39</t>
  </si>
  <si>
    <t>AAG02766.1</t>
  </si>
  <si>
    <t>AMV060</t>
  </si>
  <si>
    <t>CCU55673.1</t>
  </si>
  <si>
    <t>CCU55984.1</t>
  </si>
  <si>
    <t>CCU56281.1</t>
  </si>
  <si>
    <t>NP_659640.1</t>
  </si>
  <si>
    <t>Poly(A) polymerase small subunit PAPs</t>
  </si>
  <si>
    <t>YP_001293259.1</t>
  </si>
  <si>
    <t>hypothetical protein GTPV_gp064</t>
  </si>
  <si>
    <t>J6</t>
  </si>
  <si>
    <t>RPO147</t>
  </si>
  <si>
    <t>ATI21178.1</t>
  </si>
  <si>
    <t>AWU47114.1</t>
  </si>
  <si>
    <t>APG58288.1</t>
  </si>
  <si>
    <t>DNA-directed RNA polymerase 147 kDa polypeptide</t>
  </si>
  <si>
    <t>ADT91101.1</t>
  </si>
  <si>
    <t>DNA-dependent RNA polymerase subunit RPO147</t>
  </si>
  <si>
    <t>ANS71158.1</t>
  </si>
  <si>
    <t>AKR04289.1</t>
  </si>
  <si>
    <t>DNA-directed RNA polymerase subunit alpha</t>
  </si>
  <si>
    <t>CCD83246.1</t>
  </si>
  <si>
    <t>DNA-dependent RNA polymerase subunit rpo147</t>
  </si>
  <si>
    <t>ASK51276.1</t>
  </si>
  <si>
    <t>RNA polymerase subuni</t>
  </si>
  <si>
    <t>AUD40241.1</t>
  </si>
  <si>
    <t>RNA polymerase subunit 147</t>
  </si>
  <si>
    <t>AID46873.1</t>
  </si>
  <si>
    <t>RNA polymerase subunit RPO147</t>
  </si>
  <si>
    <t>AID46644.1</t>
  </si>
  <si>
    <t>ALA62474.1</t>
  </si>
  <si>
    <t>AAR83528.1</t>
  </si>
  <si>
    <t>CNPV182 RNA polymerase subunit RPO147</t>
  </si>
  <si>
    <t>AAF44481.1</t>
  </si>
  <si>
    <t>ORF FPV137 RNA polymerase subunit, RPO147</t>
  </si>
  <si>
    <t>AAK85032.1</t>
  </si>
  <si>
    <t>LSDV071 RNA polymerase subuni</t>
  </si>
  <si>
    <t>AST09289.1</t>
  </si>
  <si>
    <t>AEN03667.1</t>
  </si>
  <si>
    <t>ABI99235.1</t>
  </si>
  <si>
    <t>ABJ08990.1</t>
  </si>
  <si>
    <t>AAF14956.1</t>
  </si>
  <si>
    <t>m68R</t>
  </si>
  <si>
    <t>AFU77332.1</t>
  </si>
  <si>
    <t>AAF17950.1</t>
  </si>
  <si>
    <t>gp068R</t>
  </si>
  <si>
    <t>AAC55207.1</t>
  </si>
  <si>
    <t>MC079R</t>
  </si>
  <si>
    <t>AYN64664.1</t>
  </si>
  <si>
    <t>putative J6R protein</t>
  </si>
  <si>
    <t>AXN74891.1</t>
  </si>
  <si>
    <t>ABH08205.1</t>
  </si>
  <si>
    <t>HSPV099</t>
  </si>
  <si>
    <t>AAG37567.1</t>
  </si>
  <si>
    <t>CMP95R</t>
  </si>
  <si>
    <t>AAL73803.1</t>
  </si>
  <si>
    <t>AAM13552.1</t>
  </si>
  <si>
    <t>CPXV109 protein</t>
  </si>
  <si>
    <t>AAM92386.1</t>
  </si>
  <si>
    <t>EVM082</t>
  </si>
  <si>
    <t>AFH54645.1</t>
  </si>
  <si>
    <t>RNA polymerase 147 subuni</t>
  </si>
  <si>
    <t>AAL40548.1</t>
  </si>
  <si>
    <t>L6R</t>
  </si>
  <si>
    <t>AAX09185.1</t>
  </si>
  <si>
    <t>MPXV-COP-084</t>
  </si>
  <si>
    <t>AKJ93727.1</t>
  </si>
  <si>
    <t>RNA polymerase subunit RPO147 protein</t>
  </si>
  <si>
    <t>AOP31576.1</t>
  </si>
  <si>
    <t>ABD97666.1</t>
  </si>
  <si>
    <t>AAO89377.1</t>
  </si>
  <si>
    <t>CAA49024.1</t>
  </si>
  <si>
    <t>CAB54683.1</t>
  </si>
  <si>
    <t>M6R protein</t>
  </si>
  <si>
    <t>AOP31787.1</t>
  </si>
  <si>
    <t>ASC55584.1</t>
  </si>
  <si>
    <t>RNA polymerase subunit RPO147-like protein</t>
  </si>
  <si>
    <t>AAR98413.1</t>
  </si>
  <si>
    <t>ORF056 RNA polymerase subunit RPO147</t>
  </si>
  <si>
    <t>AAR98281.1</t>
  </si>
  <si>
    <t>ABA00573.1</t>
  </si>
  <si>
    <t>AIZ77307.1</t>
  </si>
  <si>
    <t>putative RNA polymerase subunit RPO147</t>
  </si>
  <si>
    <t>ADC53957.1</t>
  </si>
  <si>
    <t>RNA-polymerase subunit RPO147</t>
  </si>
  <si>
    <t>AAL69807.1</t>
  </si>
  <si>
    <t>SPV068 RNA polymerase subunit RPO147</t>
  </si>
  <si>
    <t>CAC21309.1</t>
  </si>
  <si>
    <t>71R protein</t>
  </si>
  <si>
    <t>AAR07427.1</t>
  </si>
  <si>
    <t>71R</t>
  </si>
  <si>
    <t>AAC97832.1</t>
  </si>
  <si>
    <t>ORF MSV043 putative RNA polymerase largest subunit RPO147 homolog (vaccinia J6R), similar to SW:P20504</t>
  </si>
  <si>
    <t>BAO49590.1</t>
  </si>
  <si>
    <t>putative RNA polymerase largest subuni</t>
  </si>
  <si>
    <t>CCU55520.1</t>
  </si>
  <si>
    <t>RNA polymerase RPO147</t>
  </si>
  <si>
    <t>AAG02927.1</t>
  </si>
  <si>
    <t>AMV221</t>
  </si>
  <si>
    <t>CCU55824.1</t>
  </si>
  <si>
    <t>CCU56124.1</t>
  </si>
  <si>
    <t>CCU56442.1</t>
  </si>
  <si>
    <t>NP_659643.1</t>
  </si>
  <si>
    <t>YP_001293262.1</t>
  </si>
  <si>
    <t>hypothetical protein GTPV_gp067</t>
  </si>
  <si>
    <t>L1</t>
  </si>
  <si>
    <t>ATI21168.1</t>
  </si>
  <si>
    <t>AWU47105.1</t>
  </si>
  <si>
    <t>IMV myristylated membrane protein</t>
  </si>
  <si>
    <t>APG58277.1</t>
  </si>
  <si>
    <t>protein L1</t>
  </si>
  <si>
    <t>ADT91092.1</t>
  </si>
  <si>
    <t>myristylated MV membrane protein</t>
  </si>
  <si>
    <t>ANS71149.1</t>
  </si>
  <si>
    <t>imv membrane protein</t>
  </si>
  <si>
    <t>AKR04221.1</t>
  </si>
  <si>
    <t>myristylated IMV envelope protein L1R</t>
  </si>
  <si>
    <t>CCD83237.1</t>
  </si>
  <si>
    <t>myristylprotein / IMV protein</t>
  </si>
  <si>
    <t>ASK51265.1</t>
  </si>
  <si>
    <t>Myristylated IMV envelope protein</t>
  </si>
  <si>
    <t>AUD40232.1</t>
  </si>
  <si>
    <t>AID46864.1</t>
  </si>
  <si>
    <t>myristylated protein</t>
  </si>
  <si>
    <t>AID46635.1</t>
  </si>
  <si>
    <t>ALA62465.1</t>
  </si>
  <si>
    <t>myristylated membrane protein</t>
  </si>
  <si>
    <t>AAR83519.1</t>
  </si>
  <si>
    <t>CNPV173 putative myristylated IMV envelope protein</t>
  </si>
  <si>
    <t>AAF44472.1</t>
  </si>
  <si>
    <t>ORF FPV128 Myristylated membrane protein</t>
  </si>
  <si>
    <t>YP_001293251.1</t>
  </si>
  <si>
    <t>hypothetical protein GTPV_gp056</t>
  </si>
  <si>
    <t>AAK85021.1</t>
  </si>
  <si>
    <t>LSDV060 putative myristylated IMV envelope protein</t>
  </si>
  <si>
    <t>NP_659632.1</t>
  </si>
  <si>
    <t>AST09279.1</t>
  </si>
  <si>
    <t>AEN03657.1</t>
  </si>
  <si>
    <t>ABI99224.1</t>
  </si>
  <si>
    <t>myristylated IMV envelope protein</t>
  </si>
  <si>
    <t>ABJ08973.1</t>
  </si>
  <si>
    <t>AAF14943.1</t>
  </si>
  <si>
    <t>m55R</t>
  </si>
  <si>
    <t>AFU77319.1</t>
  </si>
  <si>
    <t>AAF17937.1</t>
  </si>
  <si>
    <t>gp055R</t>
  </si>
  <si>
    <t>AAC55197.1</t>
  </si>
  <si>
    <t>MC069R</t>
  </si>
  <si>
    <t>AYN64654.1</t>
  </si>
  <si>
    <t>putative L1R protein</t>
  </si>
  <si>
    <t>AXN74881.1</t>
  </si>
  <si>
    <t>ABH08195.1</t>
  </si>
  <si>
    <t>HSPV089</t>
  </si>
  <si>
    <t>AAG37557.1</t>
  </si>
  <si>
    <t>CMP85R</t>
  </si>
  <si>
    <t>AAL73793.1</t>
  </si>
  <si>
    <t>putative myristylated IMV envelope protein</t>
  </si>
  <si>
    <t>AAM13543.1</t>
  </si>
  <si>
    <t>CPXV099 protein</t>
  </si>
  <si>
    <t>AAM92376.1</t>
  </si>
  <si>
    <t>EVM072</t>
  </si>
  <si>
    <t>AFH54635.1</t>
  </si>
  <si>
    <t>AAL40538.1</t>
  </si>
  <si>
    <t>M1R</t>
  </si>
  <si>
    <t>AAX09175.1</t>
  </si>
  <si>
    <t>MPXV-COP-074</t>
  </si>
  <si>
    <t>AKJ93717.1</t>
  </si>
  <si>
    <t>AOP31566.1</t>
  </si>
  <si>
    <t>ABD97657.1</t>
  </si>
  <si>
    <t>AAO89367.1</t>
  </si>
  <si>
    <t>CAA49014.1</t>
  </si>
  <si>
    <t>CAB54673.1</t>
  </si>
  <si>
    <t>N1R protein</t>
  </si>
  <si>
    <t>AOP31777.1</t>
  </si>
  <si>
    <t>ASC55592.1</t>
  </si>
  <si>
    <t>myristylated IMV envelope protein-like protein</t>
  </si>
  <si>
    <t>AAR98404.1</t>
  </si>
  <si>
    <t>ORF047 myristylated IMV envelope protein</t>
  </si>
  <si>
    <t>AAR98272.1</t>
  </si>
  <si>
    <t>ORF047 putative myristylated IMV envelope protein</t>
  </si>
  <si>
    <t>ABA00564.1</t>
  </si>
  <si>
    <t>IMV protein</t>
  </si>
  <si>
    <t>AIZ77298.1</t>
  </si>
  <si>
    <t>ADC53948.1</t>
  </si>
  <si>
    <t>AAL69796.1</t>
  </si>
  <si>
    <t>SPV057 putative myristylated IMV envelope protein</t>
  </si>
  <si>
    <t>CAC21298.1</t>
  </si>
  <si>
    <t>60R protein</t>
  </si>
  <si>
    <t>AAR07416.1</t>
  </si>
  <si>
    <t>60R</t>
  </si>
  <si>
    <t>AAC97691.1</t>
  </si>
  <si>
    <t>ORF MSV183 putative myristylated membrane protein, Molluscum contagiosum virus MC069R (vaccinia L1R) homolog, similar to GB:U60315</t>
  </si>
  <si>
    <t>BAO49457.1</t>
  </si>
  <si>
    <t>putative myristylated membrane protein</t>
  </si>
  <si>
    <t>CCU55456.1</t>
  </si>
  <si>
    <t>IMV membrane protein (Cop-L1R)</t>
  </si>
  <si>
    <t>AAG02923.1</t>
  </si>
  <si>
    <t>AMV217</t>
  </si>
  <si>
    <t>CCU55814.1</t>
  </si>
  <si>
    <t>CCU56113.1</t>
  </si>
  <si>
    <t>CCU56438.1</t>
  </si>
  <si>
    <t>ATI21056.1</t>
  </si>
  <si>
    <t>Western grey kangaroopox virus</t>
  </si>
  <si>
    <t>MF467280</t>
  </si>
  <si>
    <t>ATI21060.1</t>
  </si>
  <si>
    <t>ATI21061.1</t>
  </si>
  <si>
    <t>ATI21062.1</t>
  </si>
  <si>
    <t>ATI21067.1</t>
  </si>
  <si>
    <t>ATI21037.1</t>
  </si>
  <si>
    <t>ATI21073.1</t>
  </si>
  <si>
    <t>ATI21039.1</t>
  </si>
  <si>
    <t>ATI21043.1</t>
  </si>
  <si>
    <t>ATI21033.1</t>
  </si>
  <si>
    <t>ATI21034.1</t>
  </si>
  <si>
    <t>ATI21024.1</t>
  </si>
  <si>
    <t>ATI21028.1</t>
  </si>
  <si>
    <t>ATI21029.1</t>
  </si>
  <si>
    <t>ATI20982.1</t>
  </si>
  <si>
    <t>ATI20974.1</t>
  </si>
  <si>
    <t>ATI20981.1</t>
  </si>
  <si>
    <t>ATI20998.1</t>
  </si>
  <si>
    <t>ATI21017.1</t>
  </si>
  <si>
    <t>ATI21019.1</t>
  </si>
  <si>
    <t>ATI21021.1</t>
  </si>
  <si>
    <t>ATI20993.1</t>
  </si>
  <si>
    <t>ATI21011.1</t>
  </si>
  <si>
    <t>ATI21014.1</t>
  </si>
  <si>
    <t>ATI21004.1</t>
  </si>
  <si>
    <t>Row Labels</t>
  </si>
  <si>
    <t>Sum of IsolateAccession</t>
  </si>
  <si>
    <t>Sum of GroupNameGood</t>
  </si>
  <si>
    <t>Monkeypox virus</t>
  </si>
  <si>
    <t>Monkeypox virus Zaire-96-I-16</t>
  </si>
  <si>
    <t>Variola virus</t>
  </si>
  <si>
    <t>(blank)</t>
  </si>
  <si>
    <t>Grand Total</t>
  </si>
  <si>
    <t>GenomeAccession</t>
  </si>
  <si>
    <t>GenomeLink</t>
  </si>
  <si>
    <t>GenomeName</t>
  </si>
  <si>
    <t>inAllGenes</t>
  </si>
  <si>
    <t>Fig4</t>
  </si>
  <si>
    <t>proteinAlign</t>
  </si>
  <si>
    <t>Species</t>
  </si>
  <si>
    <t>orthopoxvirus Abatino</t>
  </si>
  <si>
    <t>Y</t>
  </si>
  <si>
    <t>bovine papular stomatitis virus</t>
  </si>
  <si>
    <t>N</t>
  </si>
  <si>
    <t>canarypox virus</t>
  </si>
  <si>
    <t>cowpox virus</t>
  </si>
  <si>
    <t>ectromelia virus</t>
  </si>
  <si>
    <t>JQ401350</t>
  </si>
  <si>
    <t>eptesipox virus</t>
  </si>
  <si>
    <t>fowlpox virus</t>
  </si>
  <si>
    <t>seal parapoxvirus</t>
  </si>
  <si>
    <t>horsepox virus</t>
  </si>
  <si>
    <t>Myxoma virus  strain Lausanne</t>
  </si>
  <si>
    <t>JX565564</t>
  </si>
  <si>
    <t>Myxoma virus isolate BRK 897</t>
  </si>
  <si>
    <t>orf virus</t>
  </si>
  <si>
    <t>DQ184476</t>
  </si>
  <si>
    <t>Orf virus strain NZ2</t>
  </si>
  <si>
    <t>pseudocowpox virus</t>
  </si>
  <si>
    <t>pigeonpox virus</t>
  </si>
  <si>
    <t>penguinpox virus</t>
  </si>
  <si>
    <t>pteropox virus</t>
  </si>
  <si>
    <t>raccoonpox virus</t>
  </si>
  <si>
    <t>rabbit fibroma virus</t>
  </si>
  <si>
    <t>sheeppox virus</t>
  </si>
  <si>
    <t>skunkpox virus</t>
  </si>
  <si>
    <t>salmon gill poxvirus</t>
  </si>
  <si>
    <t>sea otter poxvirus</t>
  </si>
  <si>
    <t>swinepox virus</t>
  </si>
  <si>
    <t>taterapox virus</t>
  </si>
  <si>
    <t>turkeypox virus</t>
  </si>
  <si>
    <t>variola minor virus</t>
  </si>
  <si>
    <t>volepox virus</t>
  </si>
  <si>
    <t>yokapox virus</t>
  </si>
  <si>
    <t xml:space="preserve">Yatapoxvirus tanapox </t>
  </si>
  <si>
    <t>yaba monkey tumor virus</t>
  </si>
  <si>
    <t>GroupOrder</t>
  </si>
  <si>
    <t>ProteinFunction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</si>
</sst>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1"/>
      <color rgb="FF000000"/>
      <name val="Menlo"/>
      <family val="2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/>
    <xf numFmtId="0" fontId="3" fillId="0" borderId="0" xfId="1"/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urtish" refreshedDate="46006.680704050923" createdVersion="8" refreshedVersion="8" minRefreshableVersion="3" recordCount="1451" xr:uid="{00000000-000A-0000-FFFF-FFFF11000000}">
  <cacheSource type="worksheet">
    <worksheetSource ref="A1:I1048576" sheet="AllProtiens"/>
  </cacheSource>
  <cacheFields count="8">
    <cacheField name="GroupName" numFmtId="0">
      <sharedItems containsBlank="1"/>
    </cacheField>
    <cacheField name="GroupProteinFunction" numFmtId="0">
      <sharedItems containsBlank="1"/>
    </cacheField>
    <cacheField name="GeneAccession" numFmtId="0">
      <sharedItems containsBlank="1"/>
    </cacheField>
    <cacheField name="GeneProteinFunction" numFmtId="0">
      <sharedItems containsBlank="1"/>
    </cacheField>
    <cacheField name="IsolateName" numFmtId="0">
      <sharedItems containsBlank="1" count="57">
        <s v="Eastern grey kangaroopox virus"/>
        <s v="Sea otter poxvirus"/>
        <s v="BeAn 58058 virus"/>
        <s v="Cotia virus SPAn232"/>
        <s v="Pteropox virus"/>
        <s v="Salmon gill poxvirus"/>
        <s v="Squirrelpox virus"/>
        <s v="Eptesipox virus"/>
        <s v="Flamingopox virus FGPVKD09"/>
        <s v="Penguinpox virus"/>
        <s v="Pigeonpox virus"/>
        <s v="Turkeypox virus"/>
        <s v="Canarypox virus"/>
        <s v="Fowlpox virus"/>
        <s v="Lumpy skin disease virus NI-2490"/>
        <s v="Murmansk poxvirus"/>
        <s v="Yokapox virus"/>
        <s v="Deerpox virus W-848-83"/>
        <s v="Nile crocodilepox virus"/>
        <s v="Myxoma virus"/>
        <s v="Rabbit fibroma virus"/>
        <s v="Molluscum contagiosum virus subtype 1"/>
        <s v="Orthopoxvirus Abatino"/>
        <s v="Akhmeta virus"/>
        <s v="Horsepox virus"/>
        <s v="Camelpox virus CMS"/>
        <s v="Camelpox virus M-96"/>
        <s v="Cowpox virus"/>
        <s v="Ectromelia virus"/>
        <s v="Ectromelia virus ERPV"/>
        <s v="Monkeypox virus Zaire-96-I-16"/>
        <s v="Monkeypox virus"/>
        <s v="Raccoonpox virus"/>
        <s v="Skunkpox virus"/>
        <s v="Taterapox virus"/>
        <s v="Vaccinia virus WR"/>
        <s v="Variola virus"/>
        <s v="Variola minor virus"/>
        <s v="Volepox virus"/>
        <s v="Seal parapoxvirus"/>
        <s v="Bovine papular stomatitis virus"/>
        <s v="Orf virus"/>
        <s v="Parapoxvirus red deer/HL953"/>
        <s v="Pseudocowpox virus"/>
        <s v="Swinepox virus"/>
        <s v="Yaba-like disease virus"/>
        <s v="Yaba monkey tumor virus"/>
        <s v="Melanoplus sanguinipes entomopoxvirus 'O'"/>
        <s v="Anomala cuprea entomopoxvirus"/>
        <s v="Adoxophyes honmai entomopoxvirus 'L'"/>
        <s v="Amsacta moorei entomopoxvirus"/>
        <s v="Choristoneura biennis entomopoxvirus"/>
        <s v="Choristoneura rosaceana entomopoxvirus 'L'"/>
        <s v="Mythimna separata entomopoxvirus 'L'"/>
        <s v="Sheeppox virus"/>
        <s v="Goatpox virus Pellor"/>
        <m/>
      </sharedItems>
    </cacheField>
    <cacheField name="IsolateAccession" numFmtId="0">
      <sharedItems containsString="0" containsBlank="1" containsNumber="1" containsInteger="1" minValue="0" maxValue="1"/>
    </cacheField>
    <cacheField name="GroupNameGood" numFmtId="0">
      <sharedItems containsString="0" containsBlank="1" containsNumber="1" containsInteger="1" minValue="1" maxValue="1"/>
    </cacheField>
    <cacheField name="Fenc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451">
  <r>
    <s v="A18"/>
    <s v="DNA helicase"/>
    <s v="ATI21220.1"/>
    <s v="DNA helicase transcript release factor"/>
    <x v="0"/>
    <n v="1"/>
    <n v="1"/>
    <m/>
  </r>
  <r>
    <s v="A18"/>
    <s v="DNA helicase"/>
    <s v="AWU47153.1"/>
    <s v="DNA helicase"/>
    <x v="1"/>
    <n v="1"/>
    <n v="1"/>
    <m/>
  </r>
  <r>
    <s v="A18"/>
    <s v="DNA helicase"/>
    <s v="APG58328.1"/>
    <s v="transcript termination protein A18"/>
    <x v="2"/>
    <n v="0"/>
    <n v="1"/>
    <m/>
  </r>
  <r>
    <s v="A18"/>
    <s v="DNA helicase"/>
    <s v="ADT91137.1"/>
    <s v="DNA helicase-transcription elongation factor"/>
    <x v="3"/>
    <n v="0"/>
    <n v="1"/>
    <m/>
  </r>
  <r>
    <s v="A18"/>
    <s v="DNA helicase"/>
    <s v="ANS71197.1"/>
    <s v="DNA helicase transcript release factor"/>
    <x v="4"/>
    <n v="1"/>
    <n v="1"/>
    <m/>
  </r>
  <r>
    <s v="A18"/>
    <s v="DNA helicase"/>
    <s v="AKR04244.1"/>
    <s v="DNA or RNA helicases of superfamily II"/>
    <x v="5"/>
    <n v="1"/>
    <n v="1"/>
    <m/>
  </r>
  <r>
    <s v="A18"/>
    <s v="DNA helicase"/>
    <s v="CCD83290.1"/>
    <s v="transcript release/DNA helicase"/>
    <x v="6"/>
    <n v="0"/>
    <n v="1"/>
    <m/>
  </r>
  <r>
    <s v="A18"/>
    <s v="DNA helicase"/>
    <s v="ASK51316.1"/>
    <s v="DNA helicase, transcript release factor"/>
    <x v="7"/>
    <n v="1"/>
    <n v="1"/>
    <m/>
  </r>
  <r>
    <s v="A18"/>
    <s v="DNA helicase"/>
    <s v="AUD40291.1"/>
    <s v="DNA helicase"/>
    <x v="8"/>
    <n v="0"/>
    <n v="1"/>
    <m/>
  </r>
  <r>
    <s v="A18"/>
    <s v="DNA helicase"/>
    <s v="AID46922.1"/>
    <s v="DNA helicase"/>
    <x v="9"/>
    <n v="1"/>
    <n v="1"/>
    <m/>
  </r>
  <r>
    <s v="A18"/>
    <s v="DNA helicase"/>
    <s v="AID46690.1"/>
    <s v="DNA helicase"/>
    <x v="10"/>
    <n v="1"/>
    <n v="1"/>
    <m/>
  </r>
  <r>
    <s v="A18"/>
    <s v="DNA helicase"/>
    <s v="ALA62507.1"/>
    <s v="transcriptional elongation DNA helicase"/>
    <x v="11"/>
    <n v="1"/>
    <n v="1"/>
    <m/>
  </r>
  <r>
    <s v="A18"/>
    <s v="DNA helicase"/>
    <s v="AAR83603.1"/>
    <s v="CNPV257 DNA helicase, transcriptional elongation"/>
    <x v="12"/>
    <n v="1"/>
    <n v="1"/>
    <m/>
  </r>
  <r>
    <s v="A18"/>
    <s v="DNA helicase"/>
    <s v="AAF44527.1"/>
    <s v="ORF FPV183 DNA helicase, transcriptional elongation"/>
    <x v="13"/>
    <n v="1"/>
    <n v="1"/>
    <m/>
  </r>
  <r>
    <s v="A18"/>
    <s v="DNA helicase"/>
    <s v="AAK85071.1"/>
    <s v="LSDV110 putative DNA helicase transcriptional elongation factor"/>
    <x v="14"/>
    <n v="0"/>
    <n v="1"/>
    <m/>
  </r>
  <r>
    <s v="A18"/>
    <s v="DNA helicase"/>
    <s v="AST09329.1"/>
    <s v="DNA helicase"/>
    <x v="15"/>
    <n v="1"/>
    <n v="1"/>
    <m/>
  </r>
  <r>
    <s v="A18"/>
    <s v="DNA helicase"/>
    <s v="AEN03711.1"/>
    <s v="DNA helicase"/>
    <x v="16"/>
    <n v="1"/>
    <n v="1"/>
    <m/>
  </r>
  <r>
    <s v="A18"/>
    <s v="DNA helicase"/>
    <s v="ABI99274.1"/>
    <s v="DNA helicase"/>
    <x v="17"/>
    <n v="0"/>
    <n v="1"/>
    <m/>
  </r>
  <r>
    <s v="A18"/>
    <s v="DNA helicase"/>
    <s v="ABJ09032.1"/>
    <s v="DNA helicase"/>
    <x v="18"/>
    <n v="1"/>
    <n v="1"/>
    <m/>
  </r>
  <r>
    <s v="A18"/>
    <s v="DNA helicase"/>
    <s v="AAF14996.1"/>
    <s v="m108R"/>
    <x v="19"/>
    <n v="1"/>
    <n v="1"/>
    <m/>
  </r>
  <r>
    <s v="A18"/>
    <s v="DNA helicase"/>
    <s v="AFU77372.1"/>
    <s v="m108R"/>
    <x v="19"/>
    <n v="1"/>
    <n v="1"/>
    <m/>
  </r>
  <r>
    <s v="A18"/>
    <s v="DNA helicase"/>
    <s v="AAF17991.1"/>
    <s v="gp108R"/>
    <x v="20"/>
    <n v="1"/>
    <n v="1"/>
    <m/>
  </r>
  <r>
    <s v="A18"/>
    <s v="DNA helicase"/>
    <s v="AAC55251.1"/>
    <s v="MC123R"/>
    <x v="21"/>
    <n v="0"/>
    <n v="1"/>
    <m/>
  </r>
  <r>
    <s v="A18"/>
    <s v="DNA helicase"/>
    <s v="AYN64703.1"/>
    <s v="putative A18R protein"/>
    <x v="22"/>
    <n v="1"/>
    <n v="1"/>
    <m/>
  </r>
  <r>
    <s v="A18"/>
    <s v="DNA helicase"/>
    <s v="AXN74933.1"/>
    <s v="DNA helicase"/>
    <x v="23"/>
    <n v="1"/>
    <n v="1"/>
    <m/>
  </r>
  <r>
    <s v="A18"/>
    <s v="DNA helicase"/>
    <s v="ABH08245.1"/>
    <s v="HSPV139"/>
    <x v="24"/>
    <n v="1"/>
    <n v="1"/>
    <m/>
  </r>
  <r>
    <s v="A18"/>
    <s v="DNA helicase"/>
    <s v="AAG37625.1"/>
    <s v="CMP135R"/>
    <x v="25"/>
    <n v="0"/>
    <n v="1"/>
    <m/>
  </r>
  <r>
    <s v="A18"/>
    <s v="DNA helicase"/>
    <s v="AAL73843.1"/>
    <s v="putative DNA helicase transcriptional elongation factor"/>
    <x v="26"/>
    <n v="0"/>
    <n v="1"/>
    <m/>
  </r>
  <r>
    <s v="A18"/>
    <s v="DNA helicase"/>
    <s v="AAM13592.1"/>
    <s v="CPXV151 protein"/>
    <x v="27"/>
    <n v="1"/>
    <n v="1"/>
    <m/>
  </r>
  <r>
    <s v="A18"/>
    <s v="DNA helicase"/>
    <s v="AAM92426.1"/>
    <s v="EVM121"/>
    <x v="28"/>
    <n v="1"/>
    <n v="1"/>
    <m/>
  </r>
  <r>
    <s v="A18"/>
    <s v="DNA helicase"/>
    <s v="AFH54685.1"/>
    <s v="DNA helicase"/>
    <x v="29"/>
    <n v="0"/>
    <n v="1"/>
    <m/>
  </r>
  <r>
    <s v="A18"/>
    <s v="DNA helicase"/>
    <s v="AAL40587.1"/>
    <s v="A19R"/>
    <x v="30"/>
    <n v="0"/>
    <n v="1"/>
    <m/>
  </r>
  <r>
    <s v="A18"/>
    <s v="DNA helicase"/>
    <s v="AAX09225.1"/>
    <s v="MPXV-COP-124"/>
    <x v="31"/>
    <n v="0"/>
    <n v="1"/>
    <m/>
  </r>
  <r>
    <s v="A18"/>
    <s v="DNA helicase"/>
    <s v="AKJ93767.1"/>
    <s v="DNA helicase"/>
    <x v="32"/>
    <n v="1"/>
    <n v="1"/>
    <m/>
  </r>
  <r>
    <s v="A18"/>
    <s v="DNA helicase"/>
    <s v="AOP31616.1"/>
    <s v="DNA helicase"/>
    <x v="33"/>
    <n v="1"/>
    <n v="1"/>
    <m/>
  </r>
  <r>
    <s v="A18"/>
    <s v="DNA helicase"/>
    <s v="ABD97706.1"/>
    <s v="DNA helicase"/>
    <x v="34"/>
    <n v="1"/>
    <n v="1"/>
    <m/>
  </r>
  <r>
    <s v="A18"/>
    <s v="DNA helicase"/>
    <s v="AAO89417.1"/>
    <s v="DNA helicase"/>
    <x v="35"/>
    <n v="0"/>
    <n v="1"/>
    <m/>
  </r>
  <r>
    <s v="A18"/>
    <s v="DNA helicase"/>
    <s v="CAA49063.1"/>
    <s v="A18R"/>
    <x v="36"/>
    <n v="0"/>
    <n v="1"/>
    <m/>
  </r>
  <r>
    <s v="A18"/>
    <s v="DNA helicase"/>
    <s v="CAB54722.1"/>
    <s v="A19R protein"/>
    <x v="37"/>
    <n v="1"/>
    <n v="1"/>
    <m/>
  </r>
  <r>
    <s v="A18"/>
    <s v="DNA helicase"/>
    <s v="AOP31827.1"/>
    <s v="DNA helicase"/>
    <x v="38"/>
    <n v="1"/>
    <n v="1"/>
    <m/>
  </r>
  <r>
    <s v="A18"/>
    <s v="DNA helicase"/>
    <s v="ASC55551.1"/>
    <s v="DNA helicase-like protein"/>
    <x v="39"/>
    <n v="1"/>
    <n v="1"/>
    <m/>
  </r>
  <r>
    <s v="A18"/>
    <s v="DNA helicase"/>
    <s v="AAR98452.1"/>
    <s v="ORF095 DNA helicase"/>
    <x v="40"/>
    <n v="1"/>
    <n v="1"/>
    <m/>
  </r>
  <r>
    <s v="A18"/>
    <s v="DNA helicase"/>
    <s v="AAR98320.1"/>
    <s v="ORF095 DNA helicase"/>
    <x v="41"/>
    <n v="1"/>
    <n v="1"/>
    <m/>
  </r>
  <r>
    <s v="A18"/>
    <s v="DNA helicase"/>
    <s v="ABA00612.1"/>
    <s v="DNA helicase"/>
    <x v="41"/>
    <n v="1"/>
    <n v="1"/>
    <m/>
  </r>
  <r>
    <s v="A18"/>
    <s v="DNA helicase"/>
    <s v="AIZ77346.1"/>
    <s v="putative DNA helicase"/>
    <x v="42"/>
    <n v="0"/>
    <n v="1"/>
    <m/>
  </r>
  <r>
    <s v="A18"/>
    <s v="DNA helicase"/>
    <s v="ADC53997.1"/>
    <s v="DNA helicase"/>
    <x v="43"/>
    <n v="1"/>
    <n v="1"/>
    <m/>
  </r>
  <r>
    <s v="A18"/>
    <s v="DNA helicase"/>
    <s v="AAL69846.1"/>
    <s v="SPV107 putative DNA helicase transcriptional elongation factor"/>
    <x v="44"/>
    <n v="1"/>
    <n v="1"/>
    <m/>
  </r>
  <r>
    <s v="A18"/>
    <s v="DNA helicase"/>
    <s v="CAC21348.1"/>
    <s v="110R protein"/>
    <x v="45"/>
    <n v="0"/>
    <n v="1"/>
    <m/>
  </r>
  <r>
    <s v="A18"/>
    <s v="DNA helicase"/>
    <s v="AAR07466.1"/>
    <s v="110R"/>
    <x v="46"/>
    <n v="1"/>
    <n v="1"/>
    <m/>
  </r>
  <r>
    <s v="A18"/>
    <s v="DNA helicase"/>
    <s v="AAC97786.1"/>
    <s v="ORF MSV148 putative DNA helicase (vaccinia A18R), similar to SW:P20534"/>
    <x v="47"/>
    <n v="0"/>
    <n v="1"/>
    <m/>
  </r>
  <r>
    <s v="A18"/>
    <s v="DNA helicase"/>
    <s v="BAO49508.1"/>
    <s v="DNA helicase, transcriptional elongation"/>
    <x v="48"/>
    <n v="1"/>
    <n v="1"/>
    <m/>
  </r>
  <r>
    <s v="A18"/>
    <s v="DNA helicase"/>
    <s v="CCU55377.1"/>
    <s v="DNA helicase, transcript release factor"/>
    <x v="49"/>
    <n v="0"/>
    <n v="1"/>
    <m/>
  </r>
  <r>
    <s v="A18"/>
    <s v="DNA helicase"/>
    <s v="AAG02765.1"/>
    <s v="AMV059"/>
    <x v="50"/>
    <n v="1"/>
    <n v="1"/>
    <m/>
  </r>
  <r>
    <s v="A18"/>
    <s v="DNA helicase"/>
    <s v="CCU55672.1"/>
    <s v="DNA helicase, transcript release factor"/>
    <x v="51"/>
    <n v="1"/>
    <n v="1"/>
    <m/>
  </r>
  <r>
    <s v="A18"/>
    <s v="DNA helicase"/>
    <s v="CCU55983.1"/>
    <s v="DNA helicase, transcript release factor"/>
    <x v="52"/>
    <n v="0"/>
    <n v="1"/>
    <m/>
  </r>
  <r>
    <s v="A18"/>
    <s v="DNA helicase"/>
    <s v="CCU56280.1"/>
    <s v="DNA helicase, transcript release factor"/>
    <x v="53"/>
    <n v="0"/>
    <n v="1"/>
    <m/>
  </r>
  <r>
    <s v="A18"/>
    <s v="DNA helicase"/>
    <s v="NP_659682.1"/>
    <s v="DNA helicase, transcritional elongation"/>
    <x v="54"/>
    <n v="1"/>
    <n v="1"/>
    <m/>
  </r>
  <r>
    <s v="A18"/>
    <s v="DNA helicase"/>
    <s v="YP_001293301.1"/>
    <s v="hypothetical protein GTPV_gp105"/>
    <x v="55"/>
    <n v="0"/>
    <n v="1"/>
    <m/>
  </r>
  <r>
    <s v="A2"/>
    <s v="VLTF-3"/>
    <s v="ATI21201.1"/>
    <s v="VLTF-3"/>
    <x v="0"/>
    <n v="1"/>
    <n v="1"/>
    <m/>
  </r>
  <r>
    <s v="A2"/>
    <s v="VLTF-3"/>
    <s v="AWU47135.1"/>
    <s v="VLTF-3"/>
    <x v="1"/>
    <n v="1"/>
    <n v="1"/>
    <m/>
  </r>
  <r>
    <s v="A2"/>
    <s v="VLTF-3"/>
    <s v="APG58311.1"/>
    <s v="viral late gene transcription factor 3"/>
    <x v="2"/>
    <n v="0"/>
    <n v="1"/>
    <m/>
  </r>
  <r>
    <s v="A2"/>
    <s v="VLTF-3"/>
    <s v="ADT91121.1"/>
    <s v="viral late transcription factor VLTF-3"/>
    <x v="3"/>
    <n v="0"/>
    <n v="1"/>
    <m/>
  </r>
  <r>
    <s v="A2"/>
    <s v="VLTF-3"/>
    <s v="ANS71179.1"/>
    <s v="viral late transcription factor"/>
    <x v="4"/>
    <n v="1"/>
    <n v="1"/>
    <m/>
  </r>
  <r>
    <s v="A2"/>
    <s v="VLTF-3"/>
    <s v="AKR04224.1"/>
    <s v="late transcription factor VLTF3-like protein"/>
    <x v="5"/>
    <n v="1"/>
    <n v="1"/>
    <m/>
  </r>
  <r>
    <s v="A2"/>
    <s v="VLTF-3"/>
    <s v="CCD83272.1"/>
    <s v="late transcription factor VLTF3"/>
    <x v="6"/>
    <n v="0"/>
    <n v="1"/>
    <m/>
  </r>
  <r>
    <s v="A2"/>
    <s v="VLTF-3"/>
    <s v="ASK51298.1"/>
    <s v="Late transcription factor (VLTF-3)"/>
    <x v="7"/>
    <n v="1"/>
    <n v="1"/>
    <m/>
  </r>
  <r>
    <s v="A2"/>
    <s v="VLTF-3"/>
    <s v="AUD40272.1"/>
    <s v="late transcription factor 3"/>
    <x v="8"/>
    <n v="0"/>
    <n v="1"/>
    <m/>
  </r>
  <r>
    <s v="A2"/>
    <s v="VLTF-3"/>
    <s v="AID46903.1"/>
    <s v="late transcription factor VLTF-3"/>
    <x v="9"/>
    <n v="1"/>
    <n v="1"/>
    <m/>
  </r>
  <r>
    <s v="A2"/>
    <s v="VLTF-3"/>
    <s v="AID46672.1"/>
    <s v="late transcription factor VLTF-3"/>
    <x v="10"/>
    <n v="1"/>
    <n v="1"/>
    <m/>
  </r>
  <r>
    <s v="A2"/>
    <s v="VLTF-3"/>
    <s v="ALA62495.1"/>
    <s v="late transcription factor VLTF-3"/>
    <x v="11"/>
    <n v="1"/>
    <n v="1"/>
    <m/>
  </r>
  <r>
    <s v="A2"/>
    <s v="VLTF-3"/>
    <s v="AAR83584.1"/>
    <s v="CNPV238 late transcription factor VLTF-3"/>
    <x v="12"/>
    <n v="1"/>
    <n v="1"/>
    <m/>
  </r>
  <r>
    <s v="A2"/>
    <s v="VLTF-3"/>
    <s v="AAF44509.1"/>
    <s v="ORF FPV165 Late transcription factor, VLTF-3"/>
    <x v="13"/>
    <n v="1"/>
    <n v="1"/>
    <m/>
  </r>
  <r>
    <s v="A2"/>
    <s v="VLTF-3"/>
    <s v="AAK85053.1"/>
    <s v="LSDV092 putative late transcription factor"/>
    <x v="14"/>
    <n v="0"/>
    <n v="1"/>
    <m/>
  </r>
  <r>
    <s v="A2"/>
    <s v="VLTF-3"/>
    <s v="AST09311.1"/>
    <s v="late gene transcription factor"/>
    <x v="15"/>
    <n v="1"/>
    <n v="1"/>
    <m/>
  </r>
  <r>
    <s v="A2"/>
    <s v="VLTF-3"/>
    <s v="AEN03691.1"/>
    <s v="late gene transcription factor VLTF-3"/>
    <x v="16"/>
    <n v="1"/>
    <n v="1"/>
    <m/>
  </r>
  <r>
    <s v="A2"/>
    <s v="VLTF-3"/>
    <s v="ABI99256.1"/>
    <s v="late transcription factor VLTF-3"/>
    <x v="17"/>
    <n v="0"/>
    <n v="1"/>
    <m/>
  </r>
  <r>
    <s v="A2"/>
    <s v="VLTF-3"/>
    <s v="ABJ09013.1"/>
    <s v="late transcription factor VLTF-3"/>
    <x v="18"/>
    <n v="1"/>
    <n v="1"/>
    <m/>
  </r>
  <r>
    <s v="A2"/>
    <s v="VLTF-3"/>
    <s v="AAF14978.1"/>
    <s v="m90L"/>
    <x v="19"/>
    <n v="1"/>
    <n v="1"/>
    <m/>
  </r>
  <r>
    <s v="A2"/>
    <s v="VLTF-3"/>
    <s v="AFU77354.1"/>
    <s v="m90L"/>
    <x v="19"/>
    <n v="1"/>
    <n v="1"/>
    <m/>
  </r>
  <r>
    <s v="A2"/>
    <s v="VLTF-3"/>
    <s v="AAF17974.1"/>
    <s v="gp090L"/>
    <x v="20"/>
    <n v="1"/>
    <n v="1"/>
    <m/>
  </r>
  <r>
    <s v="A2"/>
    <s v="VLTF-3"/>
    <s v="AAC55232.1"/>
    <s v="MC104L"/>
    <x v="21"/>
    <n v="0"/>
    <n v="1"/>
    <m/>
  </r>
  <r>
    <s v="A2"/>
    <s v="VLTF-3"/>
    <s v="AYN64686.1"/>
    <s v="putative A2L protein"/>
    <x v="22"/>
    <n v="1"/>
    <n v="1"/>
    <m/>
  </r>
  <r>
    <s v="A2"/>
    <s v="VLTF-3"/>
    <s v="AXN74915.1"/>
    <s v="late transcription factor VLTF-3"/>
    <x v="23"/>
    <n v="1"/>
    <n v="1"/>
    <m/>
  </r>
  <r>
    <s v="A2"/>
    <s v="VLTF-3"/>
    <s v="ABH08227.1"/>
    <s v="HSPV121"/>
    <x v="24"/>
    <n v="1"/>
    <n v="1"/>
    <m/>
  </r>
  <r>
    <s v="A2"/>
    <s v="VLTF-3"/>
    <s v="AAG37600.1"/>
    <s v="CMP117L"/>
    <x v="25"/>
    <n v="0"/>
    <n v="1"/>
    <m/>
  </r>
  <r>
    <s v="A2"/>
    <s v="VLTF-3"/>
    <s v="AAL73825.1"/>
    <s v="putative late transcription factor VLTF-3"/>
    <x v="26"/>
    <n v="0"/>
    <n v="1"/>
    <m/>
  </r>
  <r>
    <s v="A2"/>
    <s v="VLTF-3"/>
    <s v="AAM13574.1"/>
    <s v="CPXV133 protein"/>
    <x v="27"/>
    <n v="1"/>
    <n v="1"/>
    <m/>
  </r>
  <r>
    <s v="A2"/>
    <s v="VLTF-3"/>
    <s v="AAM92408.1"/>
    <s v="EVM104"/>
    <x v="28"/>
    <n v="1"/>
    <n v="1"/>
    <m/>
  </r>
  <r>
    <s v="A2"/>
    <s v="VLTF-3"/>
    <s v="AFH54667.1"/>
    <s v="viral late transcription factor 3"/>
    <x v="29"/>
    <n v="0"/>
    <n v="1"/>
    <m/>
  </r>
  <r>
    <s v="A2"/>
    <s v="VLTF-3"/>
    <s v="AAL40570.1"/>
    <s v="A2L"/>
    <x v="30"/>
    <n v="0"/>
    <n v="1"/>
    <m/>
  </r>
  <r>
    <s v="A2"/>
    <s v="VLTF-3"/>
    <s v="AAX09207.1"/>
    <s v="MPXV-COP-106"/>
    <x v="31"/>
    <n v="0"/>
    <n v="1"/>
    <m/>
  </r>
  <r>
    <s v="A2"/>
    <s v="VLTF-3"/>
    <s v="AKJ93749.1"/>
    <s v="VLTF-3"/>
    <x v="32"/>
    <n v="1"/>
    <n v="1"/>
    <m/>
  </r>
  <r>
    <s v="A2"/>
    <s v="VLTF-3"/>
    <s v="AOP31598.1"/>
    <s v="vltf-3"/>
    <x v="33"/>
    <n v="1"/>
    <n v="1"/>
    <m/>
  </r>
  <r>
    <s v="A2"/>
    <s v="VLTF-3"/>
    <s v="ABD97688.1"/>
    <s v="late gene transcription factor VLTF-3"/>
    <x v="34"/>
    <n v="1"/>
    <n v="1"/>
    <m/>
  </r>
  <r>
    <s v="A2"/>
    <s v="VLTF-3"/>
    <s v="AAO89399.1"/>
    <s v="late gene transcription factor VLTF-3"/>
    <x v="35"/>
    <n v="0"/>
    <n v="1"/>
    <m/>
  </r>
  <r>
    <s v="A2"/>
    <s v="VLTF-3"/>
    <s v="CAA49046.1"/>
    <s v="A2L"/>
    <x v="36"/>
    <n v="0"/>
    <n v="1"/>
    <m/>
  </r>
  <r>
    <s v="A2"/>
    <s v="VLTF-3"/>
    <s v="CAB54705.1"/>
    <s v="A2L protein"/>
    <x v="37"/>
    <n v="1"/>
    <n v="1"/>
    <m/>
  </r>
  <r>
    <s v="A2"/>
    <s v="VLTF-3"/>
    <s v="AOP31809.1"/>
    <s v="vltf-3"/>
    <x v="38"/>
    <n v="1"/>
    <n v="1"/>
    <m/>
  </r>
  <r>
    <s v="A2"/>
    <s v="VLTF-3"/>
    <s v="ASC55563.1"/>
    <s v="late transcription factor VLTF-3-like protein"/>
    <x v="39"/>
    <n v="1"/>
    <n v="1"/>
    <m/>
  </r>
  <r>
    <s v="A2"/>
    <s v="VLTF-3"/>
    <s v="AAR98434.1"/>
    <s v="ORF077 late transcription factor VLTF-3"/>
    <x v="40"/>
    <n v="1"/>
    <n v="1"/>
    <m/>
  </r>
  <r>
    <s v="A2"/>
    <s v="VLTF-3"/>
    <s v="AAR98302.1"/>
    <s v="ORF077 late transcription factor VLTF-3"/>
    <x v="41"/>
    <n v="1"/>
    <n v="1"/>
    <m/>
  </r>
  <r>
    <s v="A2"/>
    <s v="VLTF-3"/>
    <s v="ABA00594.1"/>
    <s v="late transcription factor VLTF3"/>
    <x v="41"/>
    <n v="1"/>
    <n v="1"/>
    <m/>
  </r>
  <r>
    <s v="A2"/>
    <s v="VLTF-3"/>
    <s v="AIZ77328.1"/>
    <s v="putative late transcription factor VLTF-3"/>
    <x v="42"/>
    <n v="0"/>
    <n v="1"/>
    <m/>
  </r>
  <r>
    <s v="A2"/>
    <s v="VLTF-3"/>
    <s v="ADC53979.1"/>
    <s v="late transcription factor VLTF3"/>
    <x v="43"/>
    <n v="1"/>
    <n v="1"/>
    <m/>
  </r>
  <r>
    <s v="A2"/>
    <s v="VLTF-3"/>
    <s v="AAL69828.1"/>
    <s v="SPV089 putative late transcription factor VLTF-3"/>
    <x v="44"/>
    <n v="1"/>
    <n v="1"/>
    <m/>
  </r>
  <r>
    <s v="A2"/>
    <s v="VLTF-3"/>
    <s v="CAC21330.1"/>
    <s v="92L protein"/>
    <x v="45"/>
    <n v="0"/>
    <n v="1"/>
    <m/>
  </r>
  <r>
    <s v="A2"/>
    <s v="VLTF-3"/>
    <s v="AAR07448.1"/>
    <s v="92L"/>
    <x v="46"/>
    <n v="1"/>
    <n v="1"/>
    <m/>
  </r>
  <r>
    <s v="A2"/>
    <s v="VLTF-3"/>
    <s v="AAC97623.1"/>
    <s v="ORF MSV065 putative late transcription factor VLTF-3 homolog (vaccinia A2L), similar to SW:P07609"/>
    <x v="47"/>
    <n v="0"/>
    <n v="1"/>
    <m/>
  </r>
  <r>
    <s v="A2"/>
    <s v="VLTF-3"/>
    <s v="BAO49552.1"/>
    <s v="late transcription factor VLTF-3"/>
    <x v="48"/>
    <n v="1"/>
    <n v="1"/>
    <m/>
  </r>
  <r>
    <s v="A2"/>
    <s v="VLTF-3"/>
    <s v="CCU55463.1"/>
    <s v="VLTF-3 late transcription factor 3"/>
    <x v="49"/>
    <n v="0"/>
    <n v="1"/>
    <m/>
  </r>
  <r>
    <s v="A2"/>
    <s v="VLTF-3"/>
    <s v="AAG02911.1"/>
    <s v="AMV205"/>
    <x v="50"/>
    <n v="1"/>
    <n v="1"/>
    <m/>
  </r>
  <r>
    <s v="A2"/>
    <s v="VLTF-3"/>
    <s v="CCU55803.1"/>
    <s v="VLTF-3 late transcription factor 3"/>
    <x v="51"/>
    <n v="1"/>
    <n v="1"/>
    <m/>
  </r>
  <r>
    <s v="A2"/>
    <s v="VLTF-3"/>
    <s v="CCU56105.1"/>
    <s v="VLTF-3 late transcription factor 3"/>
    <x v="52"/>
    <n v="0"/>
    <n v="1"/>
    <m/>
  </r>
  <r>
    <s v="A2"/>
    <s v="VLTF-3"/>
    <s v="CCU56429.1"/>
    <s v="VLTF-3 late transcription factor 3"/>
    <x v="53"/>
    <n v="0"/>
    <n v="1"/>
    <m/>
  </r>
  <r>
    <s v="A2"/>
    <s v="VLTF-3"/>
    <s v="NP_659664.1"/>
    <s v="Late transcrition factor VLTF-3"/>
    <x v="54"/>
    <n v="1"/>
    <n v="1"/>
    <m/>
  </r>
  <r>
    <s v="A2"/>
    <s v="VLTF-3"/>
    <s v="YP_001293283.1"/>
    <s v="hypothetical protein GTPV_gp088"/>
    <x v="55"/>
    <n v="0"/>
    <n v="1"/>
    <m/>
  </r>
  <r>
    <s v="A22"/>
    <s v="holliday junction resolvase"/>
    <s v="ATI21224.1"/>
    <s v="Holliday junction resolvase"/>
    <x v="0"/>
    <n v="1"/>
    <n v="1"/>
    <m/>
  </r>
  <r>
    <s v="A22"/>
    <s v="holliday junction resolvase"/>
    <s v="AWU47157.1"/>
    <s v="Holliday junction resolvase"/>
    <x v="1"/>
    <n v="1"/>
    <n v="1"/>
    <m/>
  </r>
  <r>
    <s v="A22"/>
    <s v="holliday junction resolvase"/>
    <s v="APG58332.1"/>
    <s v="resolvase A22"/>
    <x v="2"/>
    <n v="0"/>
    <n v="1"/>
    <m/>
  </r>
  <r>
    <s v="A22"/>
    <s v="holliday junction resolvase"/>
    <s v="ADT91141.1"/>
    <s v="Holliday junction resolvase"/>
    <x v="3"/>
    <n v="0"/>
    <n v="1"/>
    <m/>
  </r>
  <r>
    <s v="A22"/>
    <s v="holliday junction resolvase"/>
    <s v="ANS71201.1"/>
    <s v="holliday junction resolvase"/>
    <x v="4"/>
    <n v="1"/>
    <n v="1"/>
    <m/>
  </r>
  <r>
    <s v="A22"/>
    <s v="holliday junction resolvase"/>
    <s v="AKR04248.1"/>
    <s v="RuvC"/>
    <x v="5"/>
    <n v="1"/>
    <n v="1"/>
    <m/>
  </r>
  <r>
    <s v="A22"/>
    <s v="holliday junction resolvase"/>
    <s v="CCD83294.1"/>
    <s v="Holliday protein resolvase"/>
    <x v="6"/>
    <n v="0"/>
    <n v="1"/>
    <m/>
  </r>
  <r>
    <s v="A22"/>
    <s v="holliday junction resolvase"/>
    <s v="ASK51320.1"/>
    <s v="Holliday junction resolvase"/>
    <x v="7"/>
    <n v="1"/>
    <n v="1"/>
    <m/>
  </r>
  <r>
    <s v="A22"/>
    <s v="holliday junction resolvase"/>
    <s v="AUD40295.1"/>
    <s v="Holliday junction resolvase"/>
    <x v="8"/>
    <n v="0"/>
    <n v="1"/>
    <m/>
  </r>
  <r>
    <s v="A22"/>
    <s v="holliday junction resolvase"/>
    <s v="AID46926.1"/>
    <s v="hypothetical protein pepv_200"/>
    <x v="9"/>
    <n v="1"/>
    <n v="1"/>
    <m/>
  </r>
  <r>
    <s v="A22"/>
    <s v="holliday junction resolvase"/>
    <s v="AID46694.1"/>
    <s v="hypothetical protein fep_192"/>
    <x v="10"/>
    <n v="1"/>
    <n v="1"/>
    <m/>
  </r>
  <r>
    <s v="A22"/>
    <s v="holliday junction resolvase"/>
    <s v="ALA62511.1"/>
    <s v="hypothetical protein"/>
    <x v="11"/>
    <n v="1"/>
    <n v="1"/>
    <m/>
  </r>
  <r>
    <s v="A22"/>
    <s v="holliday junction resolvase"/>
    <s v="AAR83607.1"/>
    <s v="CNPV261 Holliday junction resolvase protein"/>
    <x v="12"/>
    <n v="1"/>
    <n v="1"/>
    <m/>
  </r>
  <r>
    <s v="A22"/>
    <s v="holliday junction resolvase"/>
    <s v="AAF44531.1"/>
    <s v="ORF FPV187"/>
    <x v="13"/>
    <n v="1"/>
    <n v="1"/>
    <m/>
  </r>
  <r>
    <s v="A22"/>
    <s v="holliday junction resolvase"/>
    <s v="AAK85075.1"/>
    <s v="LSDV114 hypothetical protein"/>
    <x v="14"/>
    <n v="0"/>
    <n v="1"/>
    <m/>
  </r>
  <r>
    <s v="A22"/>
    <s v="holliday junction resolvase"/>
    <s v="AST09333.1"/>
    <s v="holliday junction resolvase"/>
    <x v="15"/>
    <n v="1"/>
    <n v="1"/>
    <m/>
  </r>
  <r>
    <s v="A22"/>
    <s v="holliday junction resolvase"/>
    <s v="AEN03715.1"/>
    <s v="holliday junction resolvase"/>
    <x v="16"/>
    <n v="1"/>
    <n v="1"/>
    <m/>
  </r>
  <r>
    <s v="A22"/>
    <s v="holliday junction resolvase"/>
    <s v="ABI99278.1"/>
    <s v="holliday junction resolvase"/>
    <x v="17"/>
    <n v="0"/>
    <n v="1"/>
    <m/>
  </r>
  <r>
    <s v="A22"/>
    <s v="holliday junction resolvase"/>
    <s v="ABJ09036.1"/>
    <s v="holliday junction resolvase"/>
    <x v="18"/>
    <n v="1"/>
    <n v="1"/>
    <m/>
  </r>
  <r>
    <s v="A22"/>
    <s v="holliday junction resolvase"/>
    <s v="AAF15000.1"/>
    <s v="m112R"/>
    <x v="19"/>
    <n v="1"/>
    <n v="1"/>
    <m/>
  </r>
  <r>
    <s v="A22"/>
    <s v="holliday junction resolvase"/>
    <s v="AFU77376.1"/>
    <s v="m112R"/>
    <x v="19"/>
    <n v="1"/>
    <n v="1"/>
    <m/>
  </r>
  <r>
    <s v="A22"/>
    <s v="holliday junction resolvase"/>
    <s v="AAF17995.1"/>
    <s v="gp112R"/>
    <x v="20"/>
    <n v="1"/>
    <n v="1"/>
    <m/>
  </r>
  <r>
    <s v="A22"/>
    <s v="holliday junction resolvase"/>
    <s v="AAC55255.1"/>
    <s v="MC127R"/>
    <x v="21"/>
    <n v="0"/>
    <n v="1"/>
    <m/>
  </r>
  <r>
    <s v="A22"/>
    <s v="holliday junction resolvase"/>
    <s v="AYN64707.1"/>
    <s v="putative A22R protein"/>
    <x v="22"/>
    <n v="1"/>
    <n v="1"/>
    <m/>
  </r>
  <r>
    <s v="A22"/>
    <s v="holliday junction resolvase"/>
    <s v="AXN74938.1"/>
    <s v="holliday junction endonuclease"/>
    <x v="23"/>
    <n v="1"/>
    <n v="1"/>
    <m/>
  </r>
  <r>
    <s v="A22"/>
    <s v="holliday junction resolvase"/>
    <s v="ABH08249.1"/>
    <s v="HSPV143"/>
    <x v="24"/>
    <n v="1"/>
    <n v="1"/>
    <m/>
  </r>
  <r>
    <s v="A22"/>
    <s v="holliday junction resolvase"/>
    <s v="AAG37631.1"/>
    <s v="CMP139R"/>
    <x v="25"/>
    <n v="0"/>
    <n v="1"/>
    <m/>
  </r>
  <r>
    <s v="A22"/>
    <s v="holliday junction resolvase"/>
    <s v="AAL73847.1"/>
    <s v="putative DNA processing protein"/>
    <x v="26"/>
    <n v="0"/>
    <n v="1"/>
    <m/>
  </r>
  <r>
    <s v="A22"/>
    <s v="holliday junction resolvase"/>
    <s v="AAM13597.1"/>
    <s v="CPXV155 protein"/>
    <x v="27"/>
    <n v="1"/>
    <n v="1"/>
    <m/>
  </r>
  <r>
    <s v="A22"/>
    <s v="holliday junction resolvase"/>
    <s v="AAM92430.1"/>
    <s v="EVM125"/>
    <x v="28"/>
    <n v="1"/>
    <n v="1"/>
    <m/>
  </r>
  <r>
    <s v="A22"/>
    <s v="holliday junction resolvase"/>
    <s v="AFH54689.1"/>
    <s v="holliday junction resolvase"/>
    <x v="29"/>
    <n v="0"/>
    <n v="1"/>
    <m/>
  </r>
  <r>
    <s v="A22"/>
    <s v="holliday junction resolvase"/>
    <s v="AAL40591.1"/>
    <s v="A23R"/>
    <x v="30"/>
    <n v="0"/>
    <n v="1"/>
    <m/>
  </r>
  <r>
    <s v="A22"/>
    <s v="holliday junction resolvase"/>
    <s v="AAX09229.1"/>
    <s v="MPXV-COP-128"/>
    <x v="31"/>
    <n v="0"/>
    <n v="1"/>
    <m/>
  </r>
  <r>
    <s v="A22"/>
    <s v="holliday junction resolvase"/>
    <s v="AKJ93771.1"/>
    <s v="Holliday junction endonuclease"/>
    <x v="32"/>
    <n v="1"/>
    <n v="1"/>
    <m/>
  </r>
  <r>
    <s v="A22"/>
    <s v="holliday junction resolvase"/>
    <s v="AOP31620.1"/>
    <s v="holliday junction resolvase"/>
    <x v="33"/>
    <n v="1"/>
    <n v="1"/>
    <m/>
  </r>
  <r>
    <s v="A22"/>
    <s v="holliday junction resolvase"/>
    <s v="ABD97710.1"/>
    <s v="Holiday junction resolvase palmitylprotein"/>
    <x v="34"/>
    <n v="1"/>
    <n v="1"/>
    <m/>
  </r>
  <r>
    <s v="A22"/>
    <s v="holliday junction resolvase"/>
    <s v="AAO89421.1"/>
    <s v="palmitylprotein"/>
    <x v="35"/>
    <n v="0"/>
    <n v="1"/>
    <m/>
  </r>
  <r>
    <s v="A22"/>
    <s v="holliday junction resolvase"/>
    <s v="CAA49067.1"/>
    <s v="A22R"/>
    <x v="36"/>
    <n v="0"/>
    <n v="1"/>
    <m/>
  </r>
  <r>
    <s v="A22"/>
    <s v="holliday junction resolvase"/>
    <s v="CAB54726.1"/>
    <s v="A23R protein"/>
    <x v="37"/>
    <n v="1"/>
    <n v="1"/>
    <m/>
  </r>
  <r>
    <s v="A22"/>
    <s v="holliday junction resolvase"/>
    <s v="AOP31831.1"/>
    <s v="holliday junction resolvase"/>
    <x v="38"/>
    <n v="1"/>
    <n v="1"/>
    <m/>
  </r>
  <r>
    <s v="A22"/>
    <s v="holliday junction resolvase"/>
    <s v="ASC55548.1"/>
    <s v="Holliday junction resolvase-like protein"/>
    <x v="39"/>
    <n v="1"/>
    <n v="1"/>
    <m/>
  </r>
  <r>
    <s v="A22"/>
    <s v="holliday junction resolvase"/>
    <s v="AAR98456.1"/>
    <s v="ORF099 Holliday junction resolvase"/>
    <x v="40"/>
    <n v="1"/>
    <n v="1"/>
    <m/>
  </r>
  <r>
    <s v="A22"/>
    <s v="holliday junction resolvase"/>
    <s v="AAR98324.1"/>
    <s v="ORF099 Holliday junction resolvase"/>
    <x v="41"/>
    <n v="1"/>
    <n v="1"/>
    <m/>
  </r>
  <r>
    <s v="A22"/>
    <s v="holliday junction resolvase"/>
    <s v="ABA00616.1"/>
    <s v="resolvase"/>
    <x v="41"/>
    <n v="1"/>
    <n v="1"/>
    <m/>
  </r>
  <r>
    <s v="A22"/>
    <s v="holliday junction resolvase"/>
    <s v="AIZ77350.1"/>
    <s v="putative Holliday junction resolvase"/>
    <x v="42"/>
    <n v="0"/>
    <n v="1"/>
    <m/>
  </r>
  <r>
    <s v="A22"/>
    <s v="holliday junction resolvase"/>
    <s v="ADC54001.1"/>
    <s v="resolvase"/>
    <x v="43"/>
    <n v="1"/>
    <n v="1"/>
    <m/>
  </r>
  <r>
    <s v="A22"/>
    <s v="holliday junction resolvase"/>
    <s v="AAL69850.1"/>
    <s v="SPV111 putative DNA processing protein"/>
    <x v="44"/>
    <n v="1"/>
    <n v="1"/>
    <m/>
  </r>
  <r>
    <s v="A22"/>
    <s v="holliday junction resolvase"/>
    <s v="CAC21352.1"/>
    <s v="114R protein"/>
    <x v="45"/>
    <n v="0"/>
    <n v="1"/>
    <m/>
  </r>
  <r>
    <s v="A22"/>
    <s v="holliday junction resolvase"/>
    <s v="AAR07470.1"/>
    <s v="114R"/>
    <x v="46"/>
    <n v="1"/>
    <n v="1"/>
    <m/>
  </r>
  <r>
    <s v="A22"/>
    <s v="holliday junction resolvase"/>
    <s v="AAC97652.1"/>
    <s v="ORF MSV106 putative vaccinia A22R homolog, similar to SW:P20997"/>
    <x v="47"/>
    <n v="0"/>
    <n v="1"/>
    <m/>
  </r>
  <r>
    <s v="A22"/>
    <s v="holliday junction resolvase"/>
    <s v="BAO49463.1"/>
    <s v="holliday junction resolvase"/>
    <x v="48"/>
    <n v="1"/>
    <n v="1"/>
    <m/>
  </r>
  <r>
    <s v="A22"/>
    <s v="holliday junction resolvase"/>
    <s v="CCU55493.1"/>
    <s v="holliday junction resolvase"/>
    <x v="49"/>
    <n v="0"/>
    <n v="1"/>
    <m/>
  </r>
  <r>
    <s v="A22"/>
    <s v="holliday junction resolvase"/>
    <s v="AAG02868.1"/>
    <s v="AMV162"/>
    <x v="50"/>
    <n v="1"/>
    <n v="1"/>
    <m/>
  </r>
  <r>
    <s v="A22"/>
    <s v="holliday junction resolvase"/>
    <s v="CCU55772.1"/>
    <s v="holliday junction resolvase"/>
    <x v="51"/>
    <n v="1"/>
    <n v="1"/>
    <m/>
  </r>
  <r>
    <s v="A22"/>
    <s v="holliday junction resolvase"/>
    <s v="CCU56074.1"/>
    <s v="holliday junction resolvase"/>
    <x v="52"/>
    <n v="0"/>
    <n v="1"/>
    <m/>
  </r>
  <r>
    <s v="A22"/>
    <s v="holliday junction resolvase"/>
    <s v="CCU56396.1"/>
    <s v="holliday junction resolvase"/>
    <x v="53"/>
    <n v="0"/>
    <n v="1"/>
    <m/>
  </r>
  <r>
    <s v="A22"/>
    <s v="holliday junction resolvase"/>
    <s v="NP_659686.1"/>
    <s v="Holiday junction resolvase"/>
    <x v="54"/>
    <n v="1"/>
    <n v="1"/>
    <m/>
  </r>
  <r>
    <s v="A22"/>
    <s v="holliday junction resolvase"/>
    <s v="YP_001293305.1"/>
    <s v="hypothetical protein GTPV_gp109"/>
    <x v="55"/>
    <n v="0"/>
    <n v="1"/>
    <m/>
  </r>
  <r>
    <s v="A23"/>
    <s v="VITF-3"/>
    <s v="ATI21225.1"/>
    <s v="VITF-3 45kda subuni"/>
    <x v="0"/>
    <n v="1"/>
    <n v="1"/>
    <m/>
  </r>
  <r>
    <s v="A23"/>
    <s v="VITF-3"/>
    <s v="AWU47158.1"/>
    <s v="VITF-3"/>
    <x v="1"/>
    <n v="1"/>
    <n v="1"/>
    <m/>
  </r>
  <r>
    <s v="A23"/>
    <s v="VITF-3"/>
    <s v="APG58333.1"/>
    <s v="intermediate transcription factor 3 large subuni"/>
    <x v="2"/>
    <n v="0"/>
    <n v="1"/>
    <m/>
  </r>
  <r>
    <s v="A23"/>
    <s v="VITF-3"/>
    <s v="ADT91142.1"/>
    <s v="viral intermediate transcription factor VITF-3"/>
    <x v="3"/>
    <n v="0"/>
    <n v="1"/>
    <m/>
  </r>
  <r>
    <s v="A23"/>
    <s v="VITF-3"/>
    <s v="ANS71202.1"/>
    <s v="large subunit viral intermediate transcription factor"/>
    <x v="4"/>
    <n v="1"/>
    <n v="1"/>
    <m/>
  </r>
  <r>
    <s v="A23"/>
    <s v="VITF-3"/>
    <s v="AKR04249.1"/>
    <s v="intermediate transcription factor"/>
    <x v="5"/>
    <n v="1"/>
    <n v="1"/>
    <m/>
  </r>
  <r>
    <s v="A23"/>
    <s v="VITF-3"/>
    <s v="CCD83295.1"/>
    <s v="transcription subunit (intermediate) large subuni"/>
    <x v="6"/>
    <n v="0"/>
    <n v="1"/>
    <m/>
  </r>
  <r>
    <s v="A23"/>
    <s v="VITF-3"/>
    <s v="ASK51321.1"/>
    <s v="Intermediate transcription factor (VITF-3L)"/>
    <x v="7"/>
    <n v="1"/>
    <n v="1"/>
    <m/>
  </r>
  <r>
    <s v="A23"/>
    <s v="VITF-3"/>
    <s v="AUD40296.1"/>
    <s v="intermediate transcription factor 3"/>
    <x v="8"/>
    <n v="0"/>
    <n v="1"/>
    <m/>
  </r>
  <r>
    <s v="A23"/>
    <s v="VITF-3"/>
    <s v="AID46927.1"/>
    <s v="intermediate transcription factor VITF-3"/>
    <x v="9"/>
    <n v="1"/>
    <n v="1"/>
    <m/>
  </r>
  <r>
    <s v="A23"/>
    <s v="VITF-3"/>
    <s v="AID46695.1"/>
    <s v="intermediate transcription factor VITF-3"/>
    <x v="10"/>
    <n v="1"/>
    <n v="1"/>
    <m/>
  </r>
  <r>
    <s v="A23"/>
    <s v="VITF-3"/>
    <s v="ALA62512.1"/>
    <s v="intermediate transcription factor VITF-3"/>
    <x v="11"/>
    <n v="1"/>
    <n v="1"/>
    <m/>
  </r>
  <r>
    <s v="A23"/>
    <s v="VITF-3"/>
    <s v="AAR83608.1"/>
    <s v="CNPV262 intermediate transcription factor VITF-3"/>
    <x v="12"/>
    <n v="1"/>
    <n v="1"/>
    <m/>
  </r>
  <r>
    <s v="A23"/>
    <s v="VITF-3"/>
    <s v="AAF44532.1"/>
    <s v="ORF FPV188 Intermediate transcription factor, VITF-3"/>
    <x v="13"/>
    <n v="1"/>
    <n v="1"/>
    <m/>
  </r>
  <r>
    <s v="A23"/>
    <s v="VITF-3"/>
    <s v="YP_001293306.1"/>
    <s v="hypothetical protein GTPV_gp110"/>
    <x v="55"/>
    <n v="0"/>
    <n v="1"/>
    <m/>
  </r>
  <r>
    <s v="A23"/>
    <s v="VITF-3"/>
    <s v="AAK85076.1"/>
    <s v="LSDV115 putative intermediate transcription factor subuni"/>
    <x v="14"/>
    <n v="0"/>
    <n v="1"/>
    <m/>
  </r>
  <r>
    <s v="A23"/>
    <s v="VITF-3"/>
    <s v="NP_659687.1"/>
    <s v="Intermediate transcription factor VITF-3"/>
    <x v="54"/>
    <n v="1"/>
    <n v="1"/>
    <m/>
  </r>
  <r>
    <s v="A23"/>
    <s v="VITF-3"/>
    <s v="AST09334.1"/>
    <s v="intermediate transcription factor"/>
    <x v="15"/>
    <n v="1"/>
    <n v="1"/>
    <m/>
  </r>
  <r>
    <s v="A23"/>
    <s v="VITF-3"/>
    <s v="AEN03716.1"/>
    <s v="45kDa large subunit of intermediate gene transcription factor VITF-3"/>
    <x v="16"/>
    <n v="1"/>
    <n v="1"/>
    <m/>
  </r>
  <r>
    <s v="A23"/>
    <s v="VITF-3"/>
    <s v="ABI99279.1"/>
    <s v="intermediate transcription factor VITF-3"/>
    <x v="17"/>
    <n v="0"/>
    <n v="1"/>
    <m/>
  </r>
  <r>
    <s v="A23"/>
    <s v="VITF-3"/>
    <s v="ABJ09037.1"/>
    <s v="intermediate transcription factor VITF-3"/>
    <x v="18"/>
    <n v="1"/>
    <n v="1"/>
    <m/>
  </r>
  <r>
    <s v="A23"/>
    <s v="VITF-3"/>
    <s v="AAF15001.1"/>
    <s v="m113R"/>
    <x v="19"/>
    <n v="1"/>
    <n v="1"/>
    <m/>
  </r>
  <r>
    <s v="A23"/>
    <s v="VITF-3"/>
    <s v="AFU77377.1"/>
    <s v="m113R"/>
    <x v="19"/>
    <n v="1"/>
    <n v="1"/>
    <m/>
  </r>
  <r>
    <s v="A23"/>
    <s v="VITF-3"/>
    <s v="AAF17996.1"/>
    <s v="gp113R"/>
    <x v="20"/>
    <n v="1"/>
    <n v="1"/>
    <m/>
  </r>
  <r>
    <s v="A23"/>
    <s v="VITF-3"/>
    <s v="AAC55256.1"/>
    <s v="MC128R"/>
    <x v="21"/>
    <n v="0"/>
    <n v="1"/>
    <m/>
  </r>
  <r>
    <s v="A23"/>
    <s v="VITF-3"/>
    <s v="AYN64708.1"/>
    <s v="putative A23R protein"/>
    <x v="22"/>
    <n v="1"/>
    <n v="1"/>
    <m/>
  </r>
  <r>
    <s v="A23"/>
    <s v="VITF-3"/>
    <s v="AXN74939.1"/>
    <s v="VITF-3 large subuni"/>
    <x v="23"/>
    <n v="1"/>
    <n v="1"/>
    <m/>
  </r>
  <r>
    <s v="A23"/>
    <s v="VITF-3"/>
    <s v="ABH08250.1"/>
    <s v="HSPV144"/>
    <x v="24"/>
    <n v="1"/>
    <n v="1"/>
    <m/>
  </r>
  <r>
    <s v="A23"/>
    <s v="VITF-3"/>
    <s v="AAG37632.1"/>
    <s v="CMP140R"/>
    <x v="25"/>
    <n v="0"/>
    <n v="1"/>
    <m/>
  </r>
  <r>
    <s v="A23"/>
    <s v="VITF-3"/>
    <s v="AAL73848.1"/>
    <s v="putative intermediate transcription factor"/>
    <x v="26"/>
    <n v="0"/>
    <n v="1"/>
    <m/>
  </r>
  <r>
    <s v="A23"/>
    <s v="VITF-3"/>
    <s v="AAM13598.1"/>
    <s v="CPXV156 protein"/>
    <x v="27"/>
    <n v="1"/>
    <n v="1"/>
    <m/>
  </r>
  <r>
    <s v="A23"/>
    <s v="VITF-3"/>
    <s v="AAM92431.1"/>
    <s v="EVM126"/>
    <x v="28"/>
    <n v="1"/>
    <n v="1"/>
    <m/>
  </r>
  <r>
    <s v="A23"/>
    <s v="VITF-3"/>
    <s v="AFH54690.1"/>
    <s v="viral intermediate transcription factor 3"/>
    <x v="29"/>
    <n v="0"/>
    <n v="1"/>
    <m/>
  </r>
  <r>
    <s v="A23"/>
    <s v="VITF-3"/>
    <s v="AAL40592.1"/>
    <s v="A24R"/>
    <x v="30"/>
    <n v="0"/>
    <n v="1"/>
    <m/>
  </r>
  <r>
    <s v="A23"/>
    <s v="VITF-3"/>
    <s v="AAX09230.1"/>
    <s v="MPXV-COP-129"/>
    <x v="31"/>
    <n v="0"/>
    <n v="1"/>
    <m/>
  </r>
  <r>
    <s v="A23"/>
    <s v="VITF-3"/>
    <s v="AKJ93772.1"/>
    <s v="VITF-3 45 kDA large subuni"/>
    <x v="32"/>
    <n v="1"/>
    <n v="1"/>
    <m/>
  </r>
  <r>
    <s v="A23"/>
    <s v="VITF-3"/>
    <s v="AOP31621.1"/>
    <s v="vitf-3 45kDa subuni"/>
    <x v="33"/>
    <n v="1"/>
    <n v="1"/>
    <m/>
  </r>
  <r>
    <s v="A23"/>
    <s v="VITF-3"/>
    <s v="ABD97711.1"/>
    <s v="45kDa large subunit of intermediate gene transcription factor VITF-3"/>
    <x v="34"/>
    <n v="1"/>
    <n v="1"/>
    <m/>
  </r>
  <r>
    <s v="A23"/>
    <s v="VITF-3"/>
    <s v="AAO89422.1"/>
    <s v="45kDa large subunit of intermediate gene transcription factor VITF-3"/>
    <x v="35"/>
    <n v="0"/>
    <n v="1"/>
    <m/>
  </r>
  <r>
    <s v="A23"/>
    <s v="VITF-3"/>
    <s v="CAA49068.1"/>
    <s v="A23R"/>
    <x v="36"/>
    <n v="0"/>
    <n v="1"/>
    <m/>
  </r>
  <r>
    <s v="A23"/>
    <s v="VITF-3"/>
    <s v="CAB54727.1"/>
    <s v="A24R protein"/>
    <x v="37"/>
    <n v="1"/>
    <n v="1"/>
    <m/>
  </r>
  <r>
    <s v="A23"/>
    <s v="VITF-3"/>
    <s v="AOP31832.1"/>
    <s v="vitf-3 45kDa subuni"/>
    <x v="38"/>
    <n v="1"/>
    <n v="1"/>
    <m/>
  </r>
  <r>
    <s v="A23"/>
    <s v="VITF-3"/>
    <s v="ASC55547.1"/>
    <s v="intermediate transcription factor VITF-3-like protein"/>
    <x v="39"/>
    <n v="1"/>
    <n v="1"/>
    <m/>
  </r>
  <r>
    <s v="A23"/>
    <s v="VITF-3"/>
    <s v="AAR98457.1"/>
    <s v="ORF100 intermediate transcription factor VITF-3"/>
    <x v="40"/>
    <n v="1"/>
    <n v="1"/>
    <m/>
  </r>
  <r>
    <s v="A23"/>
    <s v="VITF-3"/>
    <s v="AAR98325.1"/>
    <s v="ORF100 intermediate transcription factor VITF-3"/>
    <x v="41"/>
    <n v="1"/>
    <n v="1"/>
    <m/>
  </r>
  <r>
    <s v="A23"/>
    <s v="VITF-3"/>
    <s v="ABA00617.1"/>
    <s v="intermediate transcription factor VITF3"/>
    <x v="41"/>
    <n v="1"/>
    <n v="1"/>
    <m/>
  </r>
  <r>
    <s v="A23"/>
    <s v="VITF-3"/>
    <s v="AIZ77351.1"/>
    <s v="putative intermediate transcription factor VITF-3"/>
    <x v="42"/>
    <n v="0"/>
    <n v="1"/>
    <m/>
  </r>
  <r>
    <s v="A23"/>
    <s v="VITF-3"/>
    <s v="ADC54002.1"/>
    <s v="intermediate transcription factor VITF3"/>
    <x v="43"/>
    <n v="1"/>
    <n v="1"/>
    <m/>
  </r>
  <r>
    <s v="A23"/>
    <s v="VITF-3"/>
    <s v="AAL69851.1"/>
    <s v="SPV112 putative intermediate transcription factor VITF-3"/>
    <x v="44"/>
    <n v="1"/>
    <n v="1"/>
    <m/>
  </r>
  <r>
    <s v="A23"/>
    <s v="VITF-3"/>
    <s v="CAC21353.1"/>
    <s v="115R protein"/>
    <x v="45"/>
    <n v="0"/>
    <n v="1"/>
    <m/>
  </r>
  <r>
    <s v="A23"/>
    <s v="VITF-3"/>
    <s v="AAR07471.1"/>
    <s v="115R"/>
    <x v="46"/>
    <n v="1"/>
    <n v="1"/>
    <m/>
  </r>
  <r>
    <s v="A23"/>
    <s v="VITF-3"/>
    <s v="AAC97825.1"/>
    <s v="ORF MSV052 putative vaccina A23R homolog, similar to SW:P20998"/>
    <x v="47"/>
    <n v="0"/>
    <n v="1"/>
    <m/>
  </r>
  <r>
    <s v="A23"/>
    <s v="VITF-3"/>
    <s v="BAO49550.1"/>
    <s v="DNA-directed RNA polymerase beta chain"/>
    <x v="48"/>
    <n v="1"/>
    <n v="1"/>
    <m/>
  </r>
  <r>
    <s v="A23"/>
    <s v="VITF-3"/>
    <s v="CCU55410.1"/>
    <s v="VITF-3 45kda subunit (Cop-A23R)"/>
    <x v="49"/>
    <n v="0"/>
    <n v="1"/>
    <m/>
  </r>
  <r>
    <s v="A23"/>
    <s v="VITF-3"/>
    <s v="AAG02797.1"/>
    <s v="AMV091"/>
    <x v="50"/>
    <n v="1"/>
    <n v="1"/>
    <m/>
  </r>
  <r>
    <s v="A23"/>
    <s v="VITF-3"/>
    <s v="CCU55716.1"/>
    <s v="VITF-3 45kda subunit (Cop-A23R)"/>
    <x v="51"/>
    <n v="1"/>
    <n v="1"/>
    <m/>
  </r>
  <r>
    <s v="A23"/>
    <s v="VITF-3"/>
    <s v="CCU56018.1"/>
    <s v="VITF-3 45kda subunit (Cop-A23R)"/>
    <x v="52"/>
    <n v="0"/>
    <n v="1"/>
    <m/>
  </r>
  <r>
    <s v="A23"/>
    <s v="VITF-3"/>
    <s v="CCU56312.1"/>
    <s v="VITF-3 45kda subunit (Cop-A23R)"/>
    <x v="53"/>
    <n v="0"/>
    <n v="1"/>
    <m/>
  </r>
  <r>
    <s v="A24"/>
    <s v="RPO132"/>
    <s v="ATI21226.1"/>
    <s v="RNA polymerase"/>
    <x v="0"/>
    <n v="1"/>
    <n v="1"/>
    <m/>
  </r>
  <r>
    <s v="A24"/>
    <s v="RPO132"/>
    <s v="AWU47159.1"/>
    <s v="RNA polymerase"/>
    <x v="1"/>
    <n v="1"/>
    <n v="1"/>
    <m/>
  </r>
  <r>
    <s v="A24"/>
    <s v="RPO132"/>
    <s v="APG58334.1"/>
    <s v="DNA-directed RNA polymerase 132 kDa polypeptide"/>
    <x v="2"/>
    <n v="0"/>
    <n v="1"/>
    <m/>
  </r>
  <r>
    <s v="A24"/>
    <s v="RPO132"/>
    <s v="ADT91143.1"/>
    <s v="DNA-dependent RNA polymerase subunit RPO132"/>
    <x v="3"/>
    <n v="0"/>
    <n v="1"/>
    <m/>
  </r>
  <r>
    <s v="A24"/>
    <s v="RPO132"/>
    <s v="ANS71203.1"/>
    <s v="RNA polymerase"/>
    <x v="4"/>
    <n v="1"/>
    <n v="1"/>
    <m/>
  </r>
  <r>
    <s v="A24"/>
    <s v="RPO132"/>
    <s v="AKR04250.1"/>
    <s v="DNA-directed RNA polymerase subunit beta"/>
    <x v="5"/>
    <n v="1"/>
    <n v="1"/>
    <m/>
  </r>
  <r>
    <s v="A24"/>
    <s v="RPO132"/>
    <s v="CCD83296.1"/>
    <s v="DNA-dependent RNA polymerase subunit rpo132"/>
    <x v="6"/>
    <n v="0"/>
    <n v="1"/>
    <m/>
  </r>
  <r>
    <s v="A24"/>
    <s v="RPO132"/>
    <s v="ASK51322.1"/>
    <s v="RNA polymerase subunit (RPO132)"/>
    <x v="7"/>
    <n v="1"/>
    <n v="1"/>
    <m/>
  </r>
  <r>
    <s v="A24"/>
    <s v="RPO132"/>
    <s v="AUD40297.1"/>
    <s v="RNA polymerase subunit 132"/>
    <x v="8"/>
    <n v="0"/>
    <n v="1"/>
    <m/>
  </r>
  <r>
    <s v="A24"/>
    <s v="RPO132"/>
    <s v="AID46928.1"/>
    <s v="RNA polymerase subunit RPO132"/>
    <x v="9"/>
    <n v="1"/>
    <n v="1"/>
    <m/>
  </r>
  <r>
    <s v="A24"/>
    <s v="RPO132"/>
    <s v="AID46696.1"/>
    <s v="RNA polymerase subunit RPO132"/>
    <x v="10"/>
    <n v="1"/>
    <n v="1"/>
    <m/>
  </r>
  <r>
    <s v="A24"/>
    <s v="RPO132"/>
    <s v="ALA62513.1"/>
    <s v="RNA polymerase subunit RPO132"/>
    <x v="11"/>
    <n v="1"/>
    <n v="1"/>
    <m/>
  </r>
  <r>
    <s v="A24"/>
    <s v="RPO132"/>
    <s v="AAR83609.1"/>
    <s v="CNPV263 RNA polymerase subunit RPO132"/>
    <x v="12"/>
    <n v="1"/>
    <n v="1"/>
    <m/>
  </r>
  <r>
    <s v="A24"/>
    <s v="RPO132"/>
    <s v="AAF44533.1"/>
    <s v="ORF FPV189 RNA polymerase subunit, RPO132"/>
    <x v="13"/>
    <n v="1"/>
    <n v="1"/>
    <m/>
  </r>
  <r>
    <s v="A24"/>
    <s v="RPO132"/>
    <s v="AAK85077.1"/>
    <s v="LSDV116 RNA polymerase subuni"/>
    <x v="14"/>
    <n v="0"/>
    <n v="1"/>
    <m/>
  </r>
  <r>
    <s v="A24"/>
    <s v="RPO132"/>
    <s v="AST09335.1"/>
    <s v="DNA-dependent RNA polymerase subunit rpo132"/>
    <x v="15"/>
    <n v="1"/>
    <n v="1"/>
    <m/>
  </r>
  <r>
    <s v="A24"/>
    <s v="RPO132"/>
    <s v="AEN03717.1"/>
    <s v="DNA-dependent RNA polymerase subunit rpo132"/>
    <x v="16"/>
    <n v="1"/>
    <n v="1"/>
    <m/>
  </r>
  <r>
    <s v="A24"/>
    <s v="RPO132"/>
    <s v="ABI99280.1"/>
    <s v="RNA polymerase subunit RPO132"/>
    <x v="17"/>
    <n v="0"/>
    <n v="1"/>
    <m/>
  </r>
  <r>
    <s v="A24"/>
    <s v="RPO132"/>
    <s v="ABJ09038.1"/>
    <s v="RNA polymerase subunit RPO132"/>
    <x v="18"/>
    <n v="1"/>
    <n v="1"/>
    <m/>
  </r>
  <r>
    <s v="A24"/>
    <s v="RPO132"/>
    <s v="AAF15002.1"/>
    <s v="m114R"/>
    <x v="19"/>
    <n v="1"/>
    <n v="1"/>
    <m/>
  </r>
  <r>
    <s v="A24"/>
    <s v="RPO132"/>
    <s v="AFU77378.1"/>
    <s v="m114R"/>
    <x v="19"/>
    <n v="1"/>
    <n v="1"/>
    <m/>
  </r>
  <r>
    <s v="A24"/>
    <s v="RPO132"/>
    <s v="AAF17997.1"/>
    <s v="gp114R"/>
    <x v="20"/>
    <n v="1"/>
    <n v="1"/>
    <m/>
  </r>
  <r>
    <s v="A24"/>
    <s v="RPO132"/>
    <s v="AAC55257.1"/>
    <s v="MC129R"/>
    <x v="21"/>
    <n v="0"/>
    <n v="1"/>
    <m/>
  </r>
  <r>
    <s v="A24"/>
    <s v="RPO132"/>
    <s v="AYN64709.1"/>
    <s v="putative A24R protein"/>
    <x v="22"/>
    <n v="1"/>
    <n v="1"/>
    <m/>
  </r>
  <r>
    <s v="A24"/>
    <s v="RPO132"/>
    <s v="AXN74940.1"/>
    <s v="DNA-directed RNA polymerase"/>
    <x v="23"/>
    <n v="1"/>
    <n v="1"/>
    <m/>
  </r>
  <r>
    <s v="A24"/>
    <s v="RPO132"/>
    <s v="ABH08251.1"/>
    <s v="HSPV145"/>
    <x v="24"/>
    <n v="1"/>
    <n v="1"/>
    <m/>
  </r>
  <r>
    <s v="A24"/>
    <s v="RPO132"/>
    <s v="AAG37633.1"/>
    <s v="CMP141R"/>
    <x v="25"/>
    <n v="0"/>
    <n v="1"/>
    <m/>
  </r>
  <r>
    <s v="A24"/>
    <s v="RPO132"/>
    <s v="AAL73849.1"/>
    <s v="RNA polymerase subunit RPO132"/>
    <x v="26"/>
    <n v="0"/>
    <n v="1"/>
    <m/>
  </r>
  <r>
    <s v="A24"/>
    <s v="RPO132"/>
    <s v="AAM13599.1"/>
    <s v="Rpo132 or CPXV157 protein"/>
    <x v="27"/>
    <n v="1"/>
    <n v="1"/>
    <m/>
  </r>
  <r>
    <s v="A24"/>
    <s v="RPO132"/>
    <s v="AAM92432.1"/>
    <s v="EVM127"/>
    <x v="28"/>
    <n v="1"/>
    <n v="1"/>
    <m/>
  </r>
  <r>
    <s v="A24"/>
    <s v="RPO132"/>
    <s v="AFH54691.1"/>
    <s v="RNA polymerase 132 subuni"/>
    <x v="29"/>
    <n v="0"/>
    <n v="1"/>
    <m/>
  </r>
  <r>
    <s v="A24"/>
    <s v="RPO132"/>
    <s v="AAL40593.1"/>
    <s v="A25R"/>
    <x v="30"/>
    <n v="0"/>
    <n v="1"/>
    <m/>
  </r>
  <r>
    <s v="A24"/>
    <s v="RPO132"/>
    <s v="AAX09231.1"/>
    <s v="MPXV-COP-130"/>
    <x v="31"/>
    <n v="0"/>
    <n v="1"/>
    <m/>
  </r>
  <r>
    <s v="A24"/>
    <s v="RPO132"/>
    <s v="AKJ93773.1"/>
    <s v="RNA polymerase subunit RPO132 protein"/>
    <x v="32"/>
    <n v="1"/>
    <n v="1"/>
    <m/>
  </r>
  <r>
    <s v="A24"/>
    <s v="RPO132"/>
    <s v="AOP31622.1"/>
    <s v="RNA polymerase"/>
    <x v="33"/>
    <n v="1"/>
    <n v="1"/>
    <m/>
  </r>
  <r>
    <s v="A24"/>
    <s v="RPO132"/>
    <s v="ABD97712.1"/>
    <s v="DNA-dependent RNA polymerase subunit rpo132"/>
    <x v="34"/>
    <n v="1"/>
    <n v="1"/>
    <m/>
  </r>
  <r>
    <s v="A24"/>
    <s v="RPO132"/>
    <s v="AAO89423.1"/>
    <s v="DNA-dependent RNA polymerase subunit rpo132"/>
    <x v="35"/>
    <n v="0"/>
    <n v="1"/>
    <m/>
  </r>
  <r>
    <s v="A24"/>
    <s v="RPO132"/>
    <s v="CAA49069.1"/>
    <s v="A24R"/>
    <x v="36"/>
    <n v="0"/>
    <n v="1"/>
    <m/>
  </r>
  <r>
    <s v="A24"/>
    <s v="RPO132"/>
    <s v="CAB54728.1"/>
    <s v="A25R protein"/>
    <x v="37"/>
    <n v="1"/>
    <n v="1"/>
    <m/>
  </r>
  <r>
    <s v="A24"/>
    <s v="RPO132"/>
    <s v="AOP31833.1"/>
    <s v="RNA polymerase"/>
    <x v="38"/>
    <n v="1"/>
    <n v="1"/>
    <m/>
  </r>
  <r>
    <s v="A24"/>
    <s v="RPO132"/>
    <s v="ASC55546.1"/>
    <s v="RNA polymerase subunit RPO132-like protein"/>
    <x v="39"/>
    <n v="1"/>
    <n v="1"/>
    <m/>
  </r>
  <r>
    <s v="A24"/>
    <s v="RPO132"/>
    <s v="AAR98458.1"/>
    <s v="ORF101 RNA polymerase subunit RPO132"/>
    <x v="40"/>
    <n v="1"/>
    <n v="1"/>
    <m/>
  </r>
  <r>
    <s v="A24"/>
    <s v="RPO132"/>
    <s v="AAR98326.1"/>
    <s v="ORF101 RNA polymerase subunit RPO132"/>
    <x v="41"/>
    <n v="1"/>
    <n v="1"/>
    <m/>
  </r>
  <r>
    <s v="A24"/>
    <s v="RPO132"/>
    <s v="ABA00618.1"/>
    <s v="RNA polymerase RPO132"/>
    <x v="41"/>
    <n v="1"/>
    <n v="1"/>
    <m/>
  </r>
  <r>
    <s v="A24"/>
    <s v="RPO132"/>
    <s v="AIZ77352.1"/>
    <s v="putative RNA polymerase subunit RPO132"/>
    <x v="42"/>
    <n v="0"/>
    <n v="1"/>
    <m/>
  </r>
  <r>
    <s v="A24"/>
    <s v="RPO132"/>
    <s v="ADC54003.1"/>
    <s v="RNA-polymerase RPO132"/>
    <x v="43"/>
    <n v="1"/>
    <n v="1"/>
    <m/>
  </r>
  <r>
    <s v="A24"/>
    <s v="RPO132"/>
    <s v="AAL69852.1"/>
    <s v="SPV113 RNA polymerase subunit RPO132"/>
    <x v="44"/>
    <n v="1"/>
    <n v="1"/>
    <m/>
  </r>
  <r>
    <s v="A24"/>
    <s v="RPO132"/>
    <s v="CAC21354.1"/>
    <s v="116R protein"/>
    <x v="45"/>
    <n v="0"/>
    <n v="1"/>
    <m/>
  </r>
  <r>
    <s v="A24"/>
    <s v="RPO132"/>
    <s v="AAR07472.1"/>
    <s v="116R"/>
    <x v="46"/>
    <n v="1"/>
    <n v="1"/>
    <m/>
  </r>
  <r>
    <s v="A24"/>
    <s v="RPO132"/>
    <s v="AAC97782.1"/>
    <s v="ORF MSV155 putative RNA polymerase second largest subunit cowpox RPO132 homolog (vaccinia A24R), similar to SW:P17474"/>
    <x v="47"/>
    <n v="0"/>
    <n v="1"/>
    <m/>
  </r>
  <r>
    <s v="A24"/>
    <s v="RPO132"/>
    <s v="BAO49445.1"/>
    <s v="DNA-directed RNA polymerase subunit RPO132"/>
    <x v="48"/>
    <n v="1"/>
    <n v="1"/>
    <m/>
  </r>
  <r>
    <s v="A24"/>
    <s v="RPO132"/>
    <s v="CCU55389.1"/>
    <s v="RNA polymerase RPO132"/>
    <x v="49"/>
    <n v="0"/>
    <n v="1"/>
    <m/>
  </r>
  <r>
    <s v="A24"/>
    <s v="RPO132"/>
    <s v="AAG02772.1"/>
    <s v="AMV066"/>
    <x v="50"/>
    <n v="1"/>
    <n v="1"/>
    <m/>
  </r>
  <r>
    <s v="A24"/>
    <s v="RPO132"/>
    <s v="CCU55697.1"/>
    <s v="RNA polymerase RPO132"/>
    <x v="51"/>
    <n v="1"/>
    <n v="1"/>
    <m/>
  </r>
  <r>
    <s v="A24"/>
    <s v="RPO132"/>
    <s v="CCU55999.1"/>
    <s v="RNA polymerase RPO132"/>
    <x v="52"/>
    <n v="0"/>
    <n v="1"/>
    <m/>
  </r>
  <r>
    <s v="A24"/>
    <s v="RPO132"/>
    <s v="CCU56292.1"/>
    <s v="RNA polymerase RPO132"/>
    <x v="53"/>
    <n v="0"/>
    <n v="1"/>
    <m/>
  </r>
  <r>
    <s v="A24"/>
    <s v="RPO132"/>
    <s v="NP_659688.1"/>
    <s v="RNA polymerase subunit RPO132"/>
    <x v="54"/>
    <n v="1"/>
    <n v="1"/>
    <m/>
  </r>
  <r>
    <s v="A24"/>
    <s v="RPO132"/>
    <s v="YP_001293307.1"/>
    <s v="hypothetical protein GTPV_gp111"/>
    <x v="55"/>
    <n v="0"/>
    <n v="1"/>
    <m/>
  </r>
  <r>
    <s v="A28"/>
    <s v="IMV-MP"/>
    <s v="ATI21231.1"/>
    <s v="IMV MP/virus entry"/>
    <x v="0"/>
    <n v="1"/>
    <n v="1"/>
    <m/>
  </r>
  <r>
    <s v="A28"/>
    <s v="IMV-MP"/>
    <s v="AWU47163.1"/>
    <s v="IMV MP/virus entry"/>
    <x v="1"/>
    <n v="1"/>
    <n v="1"/>
    <m/>
  </r>
  <r>
    <s v="A28"/>
    <s v="IMV-MP"/>
    <s v="APG58336.1"/>
    <s v="envelope protein A28-like protein"/>
    <x v="2"/>
    <n v="0"/>
    <n v="1"/>
    <m/>
  </r>
  <r>
    <s v="A28"/>
    <s v="IMV-MP"/>
    <s v="ADT91145.1"/>
    <s v="MV entry-fusion complex protein"/>
    <x v="3"/>
    <n v="0"/>
    <n v="1"/>
    <m/>
  </r>
  <r>
    <s v="A28"/>
    <s v="IMV-MP"/>
    <s v="ANS71207.1"/>
    <s v="imv mp/virus entry"/>
    <x v="4"/>
    <n v="1"/>
    <n v="1"/>
    <m/>
  </r>
  <r>
    <s v="A28"/>
    <s v="IMV-MP"/>
    <s v="AKR04251.1"/>
    <s v="A28R protein"/>
    <x v="5"/>
    <n v="1"/>
    <n v="1"/>
    <m/>
  </r>
  <r>
    <s v="A28"/>
    <s v="IMV-MP"/>
    <s v="CCD83300.1"/>
    <s v="IMV surface protein"/>
    <x v="6"/>
    <n v="0"/>
    <n v="1"/>
    <m/>
  </r>
  <r>
    <s v="A28"/>
    <s v="IMV-MP"/>
    <s v="ASK51326.1"/>
    <s v="IMV membrane protein, entry"/>
    <x v="7"/>
    <n v="1"/>
    <n v="1"/>
    <m/>
  </r>
  <r>
    <s v="A28"/>
    <s v="IMV-MP"/>
    <s v="AUD40300.1"/>
    <s v="hypothetical protein fgpv_206"/>
    <x v="8"/>
    <n v="0"/>
    <n v="1"/>
    <m/>
  </r>
  <r>
    <s v="A28"/>
    <s v="IMV-MP"/>
    <s v="AID46931.1"/>
    <s v="hypothetical protein pepv_205"/>
    <x v="9"/>
    <n v="1"/>
    <n v="1"/>
    <m/>
  </r>
  <r>
    <s v="A28"/>
    <s v="IMV-MP"/>
    <s v="AID46699.1"/>
    <s v="hypothetical protein fep_197"/>
    <x v="10"/>
    <n v="1"/>
    <n v="1"/>
    <m/>
  </r>
  <r>
    <s v="A28"/>
    <s v="IMV-MP"/>
    <s v="ALA62516.1"/>
    <s v="hypothetical protein"/>
    <x v="11"/>
    <n v="1"/>
    <n v="1"/>
    <m/>
  </r>
  <r>
    <s v="A28"/>
    <s v="IMV-MP"/>
    <s v="AAR83612.1"/>
    <s v="CNPV266 conserved hypothetical protein"/>
    <x v="12"/>
    <n v="1"/>
    <n v="1"/>
    <m/>
  </r>
  <r>
    <s v="A28"/>
    <s v="IMV-MP"/>
    <s v="AAF44536.1"/>
    <s v="ORF FPV192"/>
    <x v="13"/>
    <n v="1"/>
    <n v="1"/>
    <m/>
  </r>
  <r>
    <s v="A28"/>
    <s v="IMV-MP"/>
    <s v="AAK85079.1"/>
    <s v="LSDV118 hypothetical protein"/>
    <x v="14"/>
    <n v="0"/>
    <n v="1"/>
    <m/>
  </r>
  <r>
    <s v="A28"/>
    <s v="IMV-MP"/>
    <s v="AST09339.1"/>
    <s v="virion surface protein"/>
    <x v="15"/>
    <n v="1"/>
    <n v="1"/>
    <m/>
  </r>
  <r>
    <s v="A28"/>
    <s v="IMV-MP"/>
    <s v="AEN03721.1"/>
    <s v="virion surface protein"/>
    <x v="16"/>
    <n v="1"/>
    <n v="1"/>
    <m/>
  </r>
  <r>
    <s v="A28"/>
    <s v="IMV-MP"/>
    <s v="ABI99282.1"/>
    <s v="hypothetical protein DpV83gp127"/>
    <x v="17"/>
    <n v="0"/>
    <n v="1"/>
    <m/>
  </r>
  <r>
    <s v="A28"/>
    <s v="IMV-MP"/>
    <s v="ABJ09040.1"/>
    <s v="IMV membrane protein"/>
    <x v="18"/>
    <n v="1"/>
    <n v="1"/>
    <m/>
  </r>
  <r>
    <s v="A28"/>
    <s v="IMV-MP"/>
    <s v="AAF15004.1"/>
    <s v="m116L"/>
    <x v="19"/>
    <n v="1"/>
    <n v="1"/>
    <m/>
  </r>
  <r>
    <s v="A28"/>
    <s v="IMV-MP"/>
    <s v="AFU77380.1"/>
    <s v="m116L"/>
    <x v="19"/>
    <n v="1"/>
    <n v="1"/>
    <m/>
  </r>
  <r>
    <s v="A28"/>
    <s v="IMV-MP"/>
    <s v="AAF17999.1"/>
    <s v="gp116L"/>
    <x v="20"/>
    <n v="1"/>
    <n v="1"/>
    <m/>
  </r>
  <r>
    <s v="A28"/>
    <s v="IMV-MP"/>
    <s v="AAC55262.1"/>
    <s v="MC134L"/>
    <x v="21"/>
    <n v="0"/>
    <n v="1"/>
    <m/>
  </r>
  <r>
    <s v="A28"/>
    <s v="IMV-MP"/>
    <s v="AYN64714.1"/>
    <s v="putative A28L protein"/>
    <x v="22"/>
    <n v="1"/>
    <n v="1"/>
    <m/>
  </r>
  <r>
    <s v="A28"/>
    <s v="IMV-MP"/>
    <s v="AXN74944.1"/>
    <s v="IMV membrane protein"/>
    <x v="23"/>
    <n v="1"/>
    <n v="1"/>
    <m/>
  </r>
  <r>
    <s v="A28"/>
    <s v="IMV-MP"/>
    <s v="ABH08258.1"/>
    <s v="HSPV149"/>
    <x v="24"/>
    <n v="1"/>
    <n v="1"/>
    <m/>
  </r>
  <r>
    <s v="A28"/>
    <s v="IMV-MP"/>
    <s v="AAG37639.1"/>
    <s v="CMP145L"/>
    <x v="25"/>
    <n v="0"/>
    <n v="1"/>
    <m/>
  </r>
  <r>
    <s v="A28"/>
    <s v="IMV-MP"/>
    <s v="AAL73854.1"/>
    <s v="hypothetical protein"/>
    <x v="26"/>
    <n v="0"/>
    <n v="1"/>
    <m/>
  </r>
  <r>
    <s v="A28"/>
    <s v="IMV-MP"/>
    <s v="AAM13605.1"/>
    <s v="CPXV163 Protein"/>
    <x v="27"/>
    <n v="1"/>
    <n v="1"/>
    <m/>
  </r>
  <r>
    <s v="A28"/>
    <s v="IMV-MP"/>
    <s v="AAM92435.1"/>
    <s v="EVM130"/>
    <x v="28"/>
    <n v="1"/>
    <n v="1"/>
    <m/>
  </r>
  <r>
    <s v="A28"/>
    <s v="IMV-MP"/>
    <s v="AFH54696.1"/>
    <s v="IMV virus entry"/>
    <x v="29"/>
    <n v="0"/>
    <n v="1"/>
    <m/>
  </r>
  <r>
    <s v="A28"/>
    <s v="IMV-MP"/>
    <s v="AAL40598.1"/>
    <s v="A30L"/>
    <x v="30"/>
    <n v="0"/>
    <n v="1"/>
    <m/>
  </r>
  <r>
    <s v="A28"/>
    <s v="IMV-MP"/>
    <s v="AAX09234.1"/>
    <s v="MPXV-COP-133"/>
    <x v="31"/>
    <n v="0"/>
    <n v="1"/>
    <m/>
  </r>
  <r>
    <s v="A28"/>
    <s v="IMV-MP"/>
    <s v="AKJ93777.1"/>
    <s v="IMV membrane protein/virus entry"/>
    <x v="32"/>
    <n v="1"/>
    <n v="1"/>
    <m/>
  </r>
  <r>
    <s v="A28"/>
    <s v="IMV-MP"/>
    <s v="AOP31626.1"/>
    <s v="imv mp/virus entry protein"/>
    <x v="33"/>
    <n v="1"/>
    <n v="1"/>
    <m/>
  </r>
  <r>
    <s v="A28"/>
    <s v="IMV-MP"/>
    <s v="ABD97718.1"/>
    <s v="IMV membrane protein"/>
    <x v="34"/>
    <n v="1"/>
    <n v="1"/>
    <m/>
  </r>
  <r>
    <s v="A28"/>
    <s v="IMV-MP"/>
    <s v="AAO89430.1"/>
    <s v="unknown"/>
    <x v="35"/>
    <n v="0"/>
    <n v="1"/>
    <m/>
  </r>
  <r>
    <s v="A28"/>
    <s v="IMV-MP"/>
    <s v="CAA49076.1"/>
    <s v="A31L"/>
    <x v="36"/>
    <n v="0"/>
    <n v="1"/>
    <m/>
  </r>
  <r>
    <s v="A28"/>
    <s v="IMV-MP"/>
    <s v="CAB54735.1"/>
    <s v="A32L protein"/>
    <x v="37"/>
    <n v="1"/>
    <n v="1"/>
    <m/>
  </r>
  <r>
    <s v="A28"/>
    <s v="IMV-MP"/>
    <s v="AOP31837.1"/>
    <s v="imv mp/virus entry protein"/>
    <x v="38"/>
    <n v="1"/>
    <n v="1"/>
    <m/>
  </r>
  <r>
    <s v="A28"/>
    <s v="IMV-MP"/>
    <s v="ASC55543.1"/>
    <s v="hypothetical protein SePPVgORF095"/>
    <x v="39"/>
    <n v="1"/>
    <n v="1"/>
    <m/>
  </r>
  <r>
    <s v="A28"/>
    <s v="IMV-MP"/>
    <s v="AAR98462.1"/>
    <s v="ORF105 hypothetical protein"/>
    <x v="40"/>
    <n v="1"/>
    <n v="1"/>
    <m/>
  </r>
  <r>
    <s v="A28"/>
    <s v="IMV-MP"/>
    <s v="AAR98330.1"/>
    <s v="ORF105 hypothetical protein"/>
    <x v="41"/>
    <n v="1"/>
    <n v="1"/>
    <m/>
  </r>
  <r>
    <s v="A28"/>
    <s v="IMV-MP"/>
    <s v="ABA00622.1"/>
    <s v="IMV surface protein"/>
    <x v="41"/>
    <n v="1"/>
    <n v="1"/>
    <m/>
  </r>
  <r>
    <s v="A28"/>
    <s v="IMV-MP"/>
    <s v="AIZ77356.1"/>
    <s v="putative IMV surface protein"/>
    <x v="42"/>
    <n v="0"/>
    <n v="1"/>
    <m/>
  </r>
  <r>
    <s v="A28"/>
    <s v="IMV-MP"/>
    <s v="ADC54007.1"/>
    <s v="IMV surface protein"/>
    <x v="43"/>
    <n v="1"/>
    <n v="1"/>
    <m/>
  </r>
  <r>
    <s v="A28"/>
    <s v="IMV-MP"/>
    <s v="AAL69854.1"/>
    <s v="SPV115 hypothetical protein"/>
    <x v="44"/>
    <n v="1"/>
    <n v="1"/>
    <m/>
  </r>
  <r>
    <s v="A28"/>
    <s v="IMV-MP"/>
    <s v="CAC21356.1"/>
    <s v="118L protein"/>
    <x v="45"/>
    <n v="0"/>
    <n v="1"/>
    <m/>
  </r>
  <r>
    <s v="A28"/>
    <s v="IMV-MP"/>
    <s v="AAR07474.1"/>
    <s v="118L"/>
    <x v="46"/>
    <n v="1"/>
    <n v="1"/>
    <m/>
  </r>
  <r>
    <s v="A28"/>
    <s v="IMV-MP"/>
    <s v="AAC97666.1"/>
    <s v="ORF MSV132 putative Amsacta moorei entomopoxvirus G4R homolog (vaccinia A28L), similar to SW:P29816"/>
    <x v="47"/>
    <n v="0"/>
    <n v="1"/>
    <m/>
  </r>
  <r>
    <s v="A28"/>
    <s v="IMV-MP"/>
    <s v="BAO49431.1"/>
    <s v="membrane protein"/>
    <x v="48"/>
    <n v="1"/>
    <n v="1"/>
    <m/>
  </r>
  <r>
    <s v="A28"/>
    <s v="IMV-MP"/>
    <s v="CCU55473.1"/>
    <s v="IMV MP/virus entry (Cop-A28L)"/>
    <x v="49"/>
    <n v="0"/>
    <n v="1"/>
    <m/>
  </r>
  <r>
    <s v="A28"/>
    <s v="IMV-MP"/>
    <s v="AAG02892.1"/>
    <s v="AMV186"/>
    <x v="50"/>
    <n v="1"/>
    <n v="1"/>
    <m/>
  </r>
  <r>
    <s v="A28"/>
    <s v="IMV-MP"/>
    <s v="CCU55794.1"/>
    <s v="IMV MP/virus entry (Cop-A28L)"/>
    <x v="51"/>
    <n v="1"/>
    <n v="1"/>
    <m/>
  </r>
  <r>
    <s v="A28"/>
    <s v="IMV-MP"/>
    <s v="CCU56096.1"/>
    <s v="IMV MP/virus entry (Cop-A28L)"/>
    <x v="52"/>
    <n v="0"/>
    <n v="1"/>
    <m/>
  </r>
  <r>
    <s v="A28"/>
    <s v="IMV-MP"/>
    <s v="CCU56418.1"/>
    <s v="IMV MP/virus entry (Cop-A28L)"/>
    <x v="53"/>
    <n v="0"/>
    <n v="1"/>
    <m/>
  </r>
  <r>
    <s v="A28"/>
    <s v="IMV-MP"/>
    <s v="NP_659690.1"/>
    <s v="hypothetical protein SPPV_113"/>
    <x v="54"/>
    <n v="1"/>
    <n v="1"/>
    <m/>
  </r>
  <r>
    <s v="A28"/>
    <s v="IMV-MP"/>
    <s v="YP_001293309.1"/>
    <s v="hypothetical protein GTPV_gp113"/>
    <x v="55"/>
    <n v="0"/>
    <n v="1"/>
    <m/>
  </r>
  <r>
    <s v="A3"/>
    <s v="P4b"/>
    <s v="ATI21203.1"/>
    <s v="P4b precursor"/>
    <x v="0"/>
    <n v="1"/>
    <n v="1"/>
    <m/>
  </r>
  <r>
    <s v="A3"/>
    <s v="P4b"/>
    <s v="AWU47137.1"/>
    <s v="P4b precursor"/>
    <x v="1"/>
    <n v="1"/>
    <n v="1"/>
    <m/>
  </r>
  <r>
    <s v="A3"/>
    <s v="P4b"/>
    <s v="APG58313.1"/>
    <s v="major core protein 4b"/>
    <x v="2"/>
    <n v="0"/>
    <n v="1"/>
    <m/>
  </r>
  <r>
    <s v="A3"/>
    <s v="P4b"/>
    <s v="ADT91123.1"/>
    <s v="core wall protein"/>
    <x v="3"/>
    <n v="0"/>
    <n v="1"/>
    <m/>
  </r>
  <r>
    <s v="A3"/>
    <s v="P4b"/>
    <s v="ANS71181.1"/>
    <s v="p4b precursor"/>
    <x v="4"/>
    <n v="1"/>
    <n v="1"/>
    <m/>
  </r>
  <r>
    <s v="A3"/>
    <s v="P4b"/>
    <s v="AKR04225.1"/>
    <s v="P4B major core protein"/>
    <x v="5"/>
    <n v="1"/>
    <n v="1"/>
    <m/>
  </r>
  <r>
    <s v="A3"/>
    <s v="P4b"/>
    <s v="CCD83274.1"/>
    <s v="precursor of core protein 4b"/>
    <x v="6"/>
    <n v="0"/>
    <n v="1"/>
    <m/>
  </r>
  <r>
    <s v="A3"/>
    <s v="P4b"/>
    <s v="ASK51300.1"/>
    <s v="P4b precursor"/>
    <x v="7"/>
    <n v="1"/>
    <n v="1"/>
    <m/>
  </r>
  <r>
    <s v="A3"/>
    <s v="P4b"/>
    <s v="AUD40274.1"/>
    <s v="virion core protein P4b"/>
    <x v="8"/>
    <n v="0"/>
    <n v="1"/>
    <m/>
  </r>
  <r>
    <s v="A3"/>
    <s v="P4b"/>
    <s v="AID46905.1"/>
    <s v="virion core protein P4b"/>
    <x v="9"/>
    <n v="1"/>
    <n v="1"/>
    <m/>
  </r>
  <r>
    <s v="A3"/>
    <s v="P4b"/>
    <s v="AID46674.1"/>
    <s v="virion core protein P4b"/>
    <x v="10"/>
    <n v="1"/>
    <n v="1"/>
    <m/>
  </r>
  <r>
    <s v="A3"/>
    <s v="P4b"/>
    <s v="ALA62496.1"/>
    <s v="virion core protein P4b"/>
    <x v="11"/>
    <n v="1"/>
    <n v="1"/>
    <m/>
  </r>
  <r>
    <s v="A3"/>
    <s v="P4b"/>
    <s v="AAR83586.1"/>
    <s v="CNPV240 virion core protein P4b"/>
    <x v="12"/>
    <n v="1"/>
    <n v="1"/>
    <m/>
  </r>
  <r>
    <s v="A3"/>
    <s v="P4b"/>
    <s v="AAF44511.1"/>
    <s v="ORF FPV167 Virion core protein P4b"/>
    <x v="13"/>
    <n v="1"/>
    <n v="1"/>
    <m/>
  </r>
  <r>
    <s v="A3"/>
    <s v="P4b"/>
    <s v="AAK85055.1"/>
    <s v="LSDV094 putative virion core protein"/>
    <x v="14"/>
    <n v="0"/>
    <n v="1"/>
    <m/>
  </r>
  <r>
    <s v="A3"/>
    <s v="P4b"/>
    <s v="AST09313.1"/>
    <s v="p4b precursor of essential virion protein 4b"/>
    <x v="15"/>
    <n v="1"/>
    <n v="1"/>
    <m/>
  </r>
  <r>
    <s v="A3"/>
    <s v="P4b"/>
    <s v="AEN03693.1"/>
    <s v="p4b precursor of essential virion protein 4b"/>
    <x v="16"/>
    <n v="1"/>
    <n v="1"/>
    <m/>
  </r>
  <r>
    <s v="A3"/>
    <s v="P4b"/>
    <s v="ABI99258.1"/>
    <s v="virion core protein P4b"/>
    <x v="17"/>
    <n v="0"/>
    <n v="1"/>
    <m/>
  </r>
  <r>
    <s v="A3"/>
    <s v="P4b"/>
    <s v="ABJ09015.1"/>
    <s v="virion core protein P4b"/>
    <x v="18"/>
    <n v="1"/>
    <n v="1"/>
    <m/>
  </r>
  <r>
    <s v="A3"/>
    <s v="P4b"/>
    <s v="AAF14980.1"/>
    <s v="m92L"/>
    <x v="19"/>
    <n v="1"/>
    <n v="1"/>
    <m/>
  </r>
  <r>
    <s v="A3"/>
    <s v="P4b"/>
    <s v="AFU77356.1"/>
    <s v="m92L"/>
    <x v="19"/>
    <n v="1"/>
    <n v="1"/>
    <m/>
  </r>
  <r>
    <s v="A3"/>
    <s v="P4b"/>
    <s v="AAF17976.1"/>
    <s v="gp092L"/>
    <x v="20"/>
    <n v="1"/>
    <n v="1"/>
    <m/>
  </r>
  <r>
    <s v="A3"/>
    <s v="P4b"/>
    <s v="AAC55234.1"/>
    <s v="MC106L"/>
    <x v="21"/>
    <n v="0"/>
    <n v="1"/>
    <m/>
  </r>
  <r>
    <s v="A3"/>
    <s v="P4b"/>
    <s v="AYN64688.1"/>
    <s v="putative A3L protein"/>
    <x v="22"/>
    <n v="1"/>
    <n v="1"/>
    <m/>
  </r>
  <r>
    <s v="A3"/>
    <s v="P4b"/>
    <s v="AXN74917.1"/>
    <s v="P4b precursor"/>
    <x v="23"/>
    <n v="1"/>
    <n v="1"/>
    <m/>
  </r>
  <r>
    <s v="A3"/>
    <s v="P4b"/>
    <s v="ABH08229.1"/>
    <s v="HSPV123"/>
    <x v="24"/>
    <n v="1"/>
    <n v="1"/>
    <m/>
  </r>
  <r>
    <s v="A3"/>
    <s v="P4b"/>
    <s v="AAG37602.1"/>
    <s v="CMP119L"/>
    <x v="25"/>
    <n v="0"/>
    <n v="1"/>
    <m/>
  </r>
  <r>
    <s v="A3"/>
    <s v="P4b"/>
    <s v="AAL73827.1"/>
    <s v="putative virion core protein P4b"/>
    <x v="26"/>
    <n v="0"/>
    <n v="1"/>
    <m/>
  </r>
  <r>
    <s v="A3"/>
    <s v="P4b"/>
    <s v="AAM13576.1"/>
    <s v="CPXV135 protein"/>
    <x v="27"/>
    <n v="1"/>
    <n v="1"/>
    <m/>
  </r>
  <r>
    <s v="A3"/>
    <s v="P4b"/>
    <s v="AAM92410.1"/>
    <s v="EVM106"/>
    <x v="28"/>
    <n v="1"/>
    <n v="1"/>
    <m/>
  </r>
  <r>
    <s v="A3"/>
    <s v="P4b"/>
    <s v="AFH54669.1"/>
    <s v="P4B precursor"/>
    <x v="29"/>
    <n v="0"/>
    <n v="1"/>
    <m/>
  </r>
  <r>
    <s v="A3"/>
    <s v="P4b"/>
    <s v="AAL40572.1"/>
    <s v="A4L"/>
    <x v="30"/>
    <n v="0"/>
    <n v="1"/>
    <m/>
  </r>
  <r>
    <s v="A3"/>
    <s v="P4b"/>
    <s v="AAX09209.1"/>
    <s v="MPXV-COP-108"/>
    <x v="31"/>
    <n v="0"/>
    <n v="1"/>
    <m/>
  </r>
  <r>
    <s v="A3"/>
    <s v="P4b"/>
    <s v="AKJ93751.1"/>
    <s v="P4b precursor"/>
    <x v="32"/>
    <n v="1"/>
    <n v="1"/>
    <m/>
  </r>
  <r>
    <s v="A3"/>
    <s v="P4b"/>
    <s v="AOP31600.1"/>
    <s v="p4b precursor"/>
    <x v="33"/>
    <n v="1"/>
    <n v="1"/>
    <m/>
  </r>
  <r>
    <s v="A3"/>
    <s v="P4b"/>
    <s v="ABD97690.1"/>
    <s v="p4b precursor of core protein 4b"/>
    <x v="34"/>
    <n v="1"/>
    <n v="1"/>
    <m/>
  </r>
  <r>
    <s v="A3"/>
    <s v="P4b"/>
    <s v="AAO89401.1"/>
    <s v="p4b precursor of core protein 4b"/>
    <x v="35"/>
    <n v="0"/>
    <n v="1"/>
    <m/>
  </r>
  <r>
    <s v="A3"/>
    <s v="P4b"/>
    <s v="CAA49048.1"/>
    <s v="A3L"/>
    <x v="36"/>
    <n v="0"/>
    <n v="1"/>
    <m/>
  </r>
  <r>
    <s v="A3"/>
    <s v="P4b"/>
    <s v="CAB54707.1"/>
    <s v="A4L protein"/>
    <x v="37"/>
    <n v="1"/>
    <n v="1"/>
    <m/>
  </r>
  <r>
    <s v="A3"/>
    <s v="P4b"/>
    <s v="AOP31811.1"/>
    <s v="p4b precursor"/>
    <x v="38"/>
    <n v="1"/>
    <n v="1"/>
    <m/>
  </r>
  <r>
    <s v="A3"/>
    <s v="P4b"/>
    <s v="ASC55562.1"/>
    <s v="virion core protein P4b precursor-like protein"/>
    <x v="39"/>
    <n v="1"/>
    <n v="1"/>
    <m/>
  </r>
  <r>
    <s v="A3"/>
    <s v="P4b"/>
    <s v="AAR98436.1"/>
    <s v="ORF079 virion core protein P4b precursor"/>
    <x v="40"/>
    <n v="1"/>
    <n v="1"/>
    <m/>
  </r>
  <r>
    <s v="A3"/>
    <s v="P4b"/>
    <s v="AAR98304.1"/>
    <s v="ORF079 virion core protein P4b precursor"/>
    <x v="41"/>
    <n v="1"/>
    <n v="1"/>
    <m/>
  </r>
  <r>
    <s v="A3"/>
    <s v="P4b"/>
    <s v="ABA00596.1"/>
    <s v="virion core, P4b precursor"/>
    <x v="41"/>
    <n v="1"/>
    <n v="1"/>
    <m/>
  </r>
  <r>
    <s v="A3"/>
    <s v="P4b"/>
    <s v="AIZ77330.1"/>
    <s v="putative virion core protein P4b precursor"/>
    <x v="42"/>
    <n v="0"/>
    <n v="1"/>
    <m/>
  </r>
  <r>
    <s v="A3"/>
    <s v="P4b"/>
    <s v="ADC53981.1"/>
    <s v="virion core protein P4b precursor"/>
    <x v="43"/>
    <n v="1"/>
    <n v="1"/>
    <m/>
  </r>
  <r>
    <s v="A3"/>
    <s v="P4b"/>
    <s v="AAL69830.1"/>
    <s v="SPV091 putative virion core protein P4b"/>
    <x v="44"/>
    <n v="1"/>
    <n v="1"/>
    <m/>
  </r>
  <r>
    <s v="A3"/>
    <s v="P4b"/>
    <s v="CAC21332.1"/>
    <s v="94L protein"/>
    <x v="45"/>
    <n v="0"/>
    <n v="1"/>
    <m/>
  </r>
  <r>
    <s v="A3"/>
    <s v="P4b"/>
    <s v="AAR07450.1"/>
    <s v="94L"/>
    <x v="46"/>
    <n v="1"/>
    <n v="1"/>
    <m/>
  </r>
  <r>
    <s v="A3"/>
    <s v="P4b"/>
    <s v="AAC97680.1"/>
    <s v="ORF MSV164 putative core protein, fowlpox virus P4b homolog (vaccinia A3L), similar to SW:P17355"/>
    <x v="47"/>
    <n v="0"/>
    <n v="1"/>
    <m/>
  </r>
  <r>
    <s v="A3"/>
    <s v="P4b"/>
    <s v="BAO49491.1"/>
    <s v="putative core protein"/>
    <x v="48"/>
    <n v="1"/>
    <n v="1"/>
    <m/>
  </r>
  <r>
    <s v="A3"/>
    <s v="P4b"/>
    <s v="CCU55503.1"/>
    <s v="P4b precursor"/>
    <x v="49"/>
    <n v="0"/>
    <n v="1"/>
    <m/>
  </r>
  <r>
    <s v="A3"/>
    <s v="P4b"/>
    <s v="AAG02853.1"/>
    <s v="AMV147"/>
    <x v="50"/>
    <n v="1"/>
    <n v="1"/>
    <m/>
  </r>
  <r>
    <s v="A3"/>
    <s v="P4b"/>
    <s v="CCU55762.1"/>
    <s v="P4b precursor"/>
    <x v="51"/>
    <n v="1"/>
    <n v="1"/>
    <m/>
  </r>
  <r>
    <s v="A3"/>
    <s v="P4b"/>
    <s v="CCU56064.1"/>
    <s v="P4b precursor"/>
    <x v="52"/>
    <n v="0"/>
    <n v="1"/>
    <m/>
  </r>
  <r>
    <s v="A3"/>
    <s v="P4b"/>
    <s v="CCU56384.1"/>
    <s v="P4b precursor"/>
    <x v="53"/>
    <n v="0"/>
    <n v="1"/>
    <m/>
  </r>
  <r>
    <s v="A3"/>
    <s v="P4b"/>
    <s v="NP_659666.1"/>
    <s v="Virion core protein P4b"/>
    <x v="54"/>
    <n v="1"/>
    <n v="1"/>
    <m/>
  </r>
  <r>
    <s v="A3"/>
    <s v="P4b"/>
    <s v="YP_001293285.1"/>
    <s v="hypothetical protein GTPV_gp090"/>
    <x v="55"/>
    <n v="0"/>
    <n v="1"/>
    <m/>
  </r>
  <r>
    <s v="A32"/>
    <s v="ATPase DNA packaging protein"/>
    <s v="ATI21237.1"/>
    <s v="ATPase/DNA packaging protein"/>
    <x v="0"/>
    <n v="1"/>
    <n v="1"/>
    <m/>
  </r>
  <r>
    <s v="A32"/>
    <s v="ATPase DNA packaging protein"/>
    <s v="AWU47167.1"/>
    <s v="ATPase/DNA packaging protein"/>
    <x v="1"/>
    <n v="1"/>
    <n v="1"/>
    <m/>
  </r>
  <r>
    <s v="A32"/>
    <s v="ATPase DNA packaging protein"/>
    <s v="APG58340.1"/>
    <s v="protein A32"/>
    <x v="2"/>
    <n v="0"/>
    <n v="1"/>
    <m/>
  </r>
  <r>
    <s v="A32"/>
    <s v="ATPase DNA packaging protein"/>
    <s v="ADT91147.1"/>
    <s v="DNA packaging protein"/>
    <x v="3"/>
    <n v="0"/>
    <n v="1"/>
    <m/>
  </r>
  <r>
    <s v="A32"/>
    <s v="ATPase DNA packaging protein"/>
    <s v="ANS71211.1"/>
    <s v="ATPase/DNA packaging protein"/>
    <x v="4"/>
    <n v="1"/>
    <n v="1"/>
    <m/>
  </r>
  <r>
    <s v="A32"/>
    <s v="ATPase DNA packaging protein"/>
    <s v="AKR04192.1"/>
    <s v="packaging ATPase A32"/>
    <x v="5"/>
    <n v="1"/>
    <n v="1"/>
    <m/>
  </r>
  <r>
    <s v="A32"/>
    <s v="ATPase DNA packaging protein"/>
    <s v="CCD83304.1"/>
    <s v="DNA packaging protein ATPase"/>
    <x v="6"/>
    <n v="0"/>
    <n v="1"/>
    <m/>
  </r>
  <r>
    <s v="A32"/>
    <s v="ATPase DNA packaging protein"/>
    <s v="ASK51330.1"/>
    <s v="ATPase/DNA packaging protein"/>
    <x v="7"/>
    <n v="1"/>
    <n v="1"/>
    <m/>
  </r>
  <r>
    <s v="A32"/>
    <s v="ATPase DNA packaging protein"/>
    <s v="AUD40306.1"/>
    <s v="virion assembly protein"/>
    <x v="8"/>
    <n v="0"/>
    <n v="1"/>
    <m/>
  </r>
  <r>
    <s v="A32"/>
    <s v="ATPase DNA packaging protein"/>
    <s v="AID46937.1"/>
    <s v="virion assembly protein"/>
    <x v="9"/>
    <n v="1"/>
    <n v="1"/>
    <m/>
  </r>
  <r>
    <s v="A32"/>
    <s v="ATPase DNA packaging protein"/>
    <s v="AID46705.1"/>
    <s v="virion assembly protein"/>
    <x v="10"/>
    <n v="1"/>
    <n v="1"/>
    <m/>
  </r>
  <r>
    <s v="A32"/>
    <s v="ATPase DNA packaging protein"/>
    <s v="ALA62519.1"/>
    <s v="virion assembly protein"/>
    <x v="11"/>
    <n v="1"/>
    <n v="1"/>
    <m/>
  </r>
  <r>
    <s v="A32"/>
    <s v="ATPase DNA packaging protein"/>
    <s v="AAR83617.1"/>
    <s v="CNPV271 DNA packaging protein"/>
    <x v="12"/>
    <n v="1"/>
    <n v="1"/>
    <m/>
  </r>
  <r>
    <s v="A32"/>
    <s v="ATPase DNA packaging protein"/>
    <s v="AAF44541.1"/>
    <s v="ORF FPV197 Virion assembly protein"/>
    <x v="13"/>
    <n v="1"/>
    <n v="1"/>
    <m/>
  </r>
  <r>
    <s v="A32"/>
    <s v="ATPase DNA packaging protein"/>
    <s v="AAK85082.1"/>
    <s v="LSDV121 putative DNA packaging protein"/>
    <x v="14"/>
    <n v="0"/>
    <n v="1"/>
    <m/>
  </r>
  <r>
    <s v="A32"/>
    <s v="ATPase DNA packaging protein"/>
    <s v="AST09344.1"/>
    <s v="virion protein"/>
    <x v="15"/>
    <n v="1"/>
    <n v="1"/>
    <m/>
  </r>
  <r>
    <s v="A32"/>
    <s v="ATPase DNA packaging protein"/>
    <s v="AEN03726.1"/>
    <s v="virion protein"/>
    <x v="16"/>
    <n v="1"/>
    <n v="1"/>
    <m/>
  </r>
  <r>
    <s v="A32"/>
    <s v="ATPase DNA packaging protein"/>
    <s v="ABI99286.1"/>
    <s v="DNA packaging protein"/>
    <x v="17"/>
    <n v="0"/>
    <n v="1"/>
    <m/>
  </r>
  <r>
    <s v="A32"/>
    <s v="ATPase DNA packaging protein"/>
    <s v="ABJ09045.1"/>
    <s v="ATPase"/>
    <x v="18"/>
    <n v="1"/>
    <n v="1"/>
    <m/>
  </r>
  <r>
    <s v="A32"/>
    <s v="ATPase DNA packaging protein"/>
    <s v="AAF15008.1"/>
    <s v="m120L"/>
    <x v="19"/>
    <n v="1"/>
    <n v="1"/>
    <m/>
  </r>
  <r>
    <s v="A32"/>
    <s v="ATPase DNA packaging protein"/>
    <s v="AFU77384.1"/>
    <s v="m120L"/>
    <x v="19"/>
    <n v="1"/>
    <n v="1"/>
    <m/>
  </r>
  <r>
    <s v="A32"/>
    <s v="ATPase DNA packaging protein"/>
    <s v="AAF18002.1"/>
    <s v="gp120L"/>
    <x v="20"/>
    <n v="1"/>
    <n v="1"/>
    <m/>
  </r>
  <r>
    <s v="A32"/>
    <s v="ATPase DNA packaging protein"/>
    <s v="AAC55268.1"/>
    <s v="MC140L"/>
    <x v="21"/>
    <n v="0"/>
    <n v="1"/>
    <m/>
  </r>
  <r>
    <s v="A32"/>
    <s v="ATPase DNA packaging protein"/>
    <s v="AYN64719.1"/>
    <s v="putative A32L protein"/>
    <x v="22"/>
    <n v="1"/>
    <n v="1"/>
    <m/>
  </r>
  <r>
    <s v="A32"/>
    <s v="ATPase DNA packaging protein"/>
    <s v="AXN74948.1"/>
    <s v="ATPase"/>
    <x v="23"/>
    <n v="1"/>
    <n v="1"/>
    <m/>
  </r>
  <r>
    <s v="A32"/>
    <s v="ATPase DNA packaging protein"/>
    <s v="ABH08262.1"/>
    <s v="HSPV153"/>
    <x v="24"/>
    <n v="1"/>
    <n v="1"/>
    <m/>
  </r>
  <r>
    <s v="A32"/>
    <s v="ATPase DNA packaging protein"/>
    <s v="AAG37644.1"/>
    <s v="CMP149L"/>
    <x v="25"/>
    <n v="0"/>
    <n v="1"/>
    <m/>
  </r>
  <r>
    <s v="A32"/>
    <s v="ATPase DNA packaging protein"/>
    <s v="AAL73858.1"/>
    <s v="putative DNA packaging protein"/>
    <x v="26"/>
    <n v="0"/>
    <n v="1"/>
    <m/>
  </r>
  <r>
    <s v="A32"/>
    <s v="ATPase DNA packaging protein"/>
    <s v="AAM13609.1"/>
    <s v="CPXV167 protein"/>
    <x v="27"/>
    <n v="1"/>
    <n v="1"/>
    <m/>
  </r>
  <r>
    <s v="A32"/>
    <s v="ATPase DNA packaging protein"/>
    <s v="AAM92439.1"/>
    <s v="EVM134"/>
    <x v="28"/>
    <n v="1"/>
    <n v="1"/>
    <m/>
  </r>
  <r>
    <s v="A32"/>
    <s v="ATPase DNA packaging protein"/>
    <s v="AFH54701.1"/>
    <s v="DNA packaging and ATPase protein"/>
    <x v="29"/>
    <n v="0"/>
    <n v="1"/>
    <m/>
  </r>
  <r>
    <s v="A32"/>
    <s v="ATPase DNA packaging protein"/>
    <s v="AAL40602.1"/>
    <s v="A34L"/>
    <x v="30"/>
    <n v="0"/>
    <n v="1"/>
    <m/>
  </r>
  <r>
    <s v="A32"/>
    <s v="ATPase DNA packaging protein"/>
    <s v="AAX09239.1"/>
    <s v="MPXV-COP-138"/>
    <x v="31"/>
    <n v="0"/>
    <n v="1"/>
    <m/>
  </r>
  <r>
    <s v="A32"/>
    <s v="ATPase DNA packaging protein"/>
    <s v="AKJ93782.1"/>
    <s v="ATPase"/>
    <x v="32"/>
    <n v="1"/>
    <n v="1"/>
    <m/>
  </r>
  <r>
    <s v="A32"/>
    <s v="ATPase DNA packaging protein"/>
    <s v="AOP31631.1"/>
    <s v="ATPase/DNA packaging protein"/>
    <x v="33"/>
    <n v="1"/>
    <n v="1"/>
    <m/>
  </r>
  <r>
    <s v="A32"/>
    <s v="ATPase DNA packaging protein"/>
    <s v="ABD97722.1"/>
    <s v="ATPase"/>
    <x v="34"/>
    <n v="1"/>
    <n v="1"/>
    <m/>
  </r>
  <r>
    <s v="A32"/>
    <s v="ATPase DNA packaging protein"/>
    <s v="AAO89434.1"/>
    <s v="putative ATPase"/>
    <x v="35"/>
    <n v="0"/>
    <n v="1"/>
    <m/>
  </r>
  <r>
    <s v="A32"/>
    <s v="ATPase DNA packaging protein"/>
    <s v="CAA49080.1"/>
    <s v="A35L"/>
    <x v="36"/>
    <n v="0"/>
    <n v="1"/>
    <m/>
  </r>
  <r>
    <s v="A32"/>
    <s v="ATPase DNA packaging protein"/>
    <s v="CAB54739.1"/>
    <s v="A36L protein"/>
    <x v="37"/>
    <n v="1"/>
    <n v="1"/>
    <m/>
  </r>
  <r>
    <s v="A32"/>
    <s v="ATPase DNA packaging protein"/>
    <s v="AOP31842.1"/>
    <s v="ATPase/DNA packaging protein"/>
    <x v="38"/>
    <n v="1"/>
    <n v="1"/>
    <m/>
  </r>
  <r>
    <s v="A32"/>
    <s v="ATPase DNA packaging protein"/>
    <s v="ASC55541.1"/>
    <s v="putative DNA packaging protein-like protein"/>
    <x v="39"/>
    <n v="1"/>
    <n v="1"/>
    <m/>
  </r>
  <r>
    <s v="A32"/>
    <s v="ATPase DNA packaging protein"/>
    <s v="AAR98465.1"/>
    <s v="ORF108 DNA packaging protein/ATPase"/>
    <x v="40"/>
    <n v="1"/>
    <n v="1"/>
    <m/>
  </r>
  <r>
    <s v="A32"/>
    <s v="ATPase DNA packaging protein"/>
    <s v="AAR98333.1"/>
    <s v="ORF108 DNA packaging protein/ATPase"/>
    <x v="41"/>
    <n v="1"/>
    <n v="1"/>
    <m/>
  </r>
  <r>
    <s v="A32"/>
    <s v="ATPase DNA packaging protein"/>
    <s v="ABA00626.1"/>
    <s v="ATPase, DNA packaging"/>
    <x v="41"/>
    <n v="1"/>
    <n v="1"/>
    <m/>
  </r>
  <r>
    <s v="A32"/>
    <s v="ATPase DNA packaging protein"/>
    <s v="AIZ77360.1"/>
    <s v="putative DNA packaging protein"/>
    <x v="42"/>
    <n v="0"/>
    <n v="1"/>
    <m/>
  </r>
  <r>
    <s v="A32"/>
    <s v="ATPase DNA packaging protein"/>
    <s v="ADC54011.1"/>
    <s v="DNA packaging protein/ATPase"/>
    <x v="43"/>
    <n v="1"/>
    <n v="1"/>
    <m/>
  </r>
  <r>
    <s v="A32"/>
    <s v="ATPase DNA packaging protein"/>
    <s v="AAL69857.1"/>
    <s v="SPV118 DNA packaging protein"/>
    <x v="44"/>
    <n v="1"/>
    <n v="1"/>
    <m/>
  </r>
  <r>
    <s v="A32"/>
    <s v="ATPase DNA packaging protein"/>
    <s v="CAC21359.1"/>
    <s v="121L protin"/>
    <x v="45"/>
    <n v="0"/>
    <n v="1"/>
    <m/>
  </r>
  <r>
    <s v="A32"/>
    <s v="ATPase DNA packaging protein"/>
    <s v="AAR07478.1"/>
    <s v="121L"/>
    <x v="46"/>
    <n v="1"/>
    <n v="1"/>
    <m/>
  </r>
  <r>
    <s v="A32"/>
    <s v="ATPase DNA packaging protein"/>
    <s v="AAC97775.1"/>
    <s v="ORF MSV171 ATP/GTP binding motif homolog (vaccinia A32L), similar to GB:D11079"/>
    <x v="47"/>
    <n v="0"/>
    <n v="1"/>
    <m/>
  </r>
  <r>
    <s v="A32"/>
    <s v="ATPase DNA packaging protein"/>
    <s v="BAO49495.1"/>
    <s v="putative ATP/GTP-binding protein"/>
    <x v="48"/>
    <n v="1"/>
    <n v="1"/>
    <m/>
  </r>
  <r>
    <s v="A32"/>
    <s v="ATPase DNA packaging protein"/>
    <s v="CCU55501.1"/>
    <s v="ATPase/DNA packaging protein"/>
    <x v="49"/>
    <n v="0"/>
    <n v="1"/>
    <m/>
  </r>
  <r>
    <s v="A32"/>
    <s v="ATPase DNA packaging protein"/>
    <s v="AAG02856.1"/>
    <s v="AMV150"/>
    <x v="50"/>
    <n v="1"/>
    <n v="1"/>
    <m/>
  </r>
  <r>
    <s v="A32"/>
    <s v="ATPase DNA packaging protein"/>
    <s v="CCU55764.1"/>
    <s v="ATPase/DNA packaging protein"/>
    <x v="51"/>
    <n v="1"/>
    <n v="1"/>
    <m/>
  </r>
  <r>
    <s v="A32"/>
    <s v="ATPase DNA packaging protein"/>
    <s v="CCU56066.1"/>
    <s v="ATPase/DNA packaging protein"/>
    <x v="52"/>
    <n v="0"/>
    <n v="1"/>
    <m/>
  </r>
  <r>
    <s v="A32"/>
    <s v="ATPase DNA packaging protein"/>
    <s v="CCU56388.1"/>
    <s v="ATPase/DNA packaging protein"/>
    <x v="53"/>
    <n v="0"/>
    <n v="1"/>
    <m/>
  </r>
  <r>
    <s v="A32"/>
    <s v="ATPase DNA packaging protein"/>
    <s v="NP_659693.1"/>
    <s v="DNA packaging, virus assembly"/>
    <x v="54"/>
    <n v="1"/>
    <n v="1"/>
    <m/>
  </r>
  <r>
    <s v="A32"/>
    <s v="ATPase DNA packaging protein"/>
    <s v="YP_001293313.1"/>
    <s v="hypothetical protein GTPV_gp116"/>
    <x v="55"/>
    <n v="0"/>
    <n v="1"/>
    <m/>
  </r>
  <r>
    <s v="A7"/>
    <s v="VETF-L"/>
    <s v="ATI21207.1"/>
    <s v="VETF-L"/>
    <x v="0"/>
    <n v="1"/>
    <n v="1"/>
    <m/>
  </r>
  <r>
    <s v="A7"/>
    <s v="VETF-L"/>
    <s v="AWU47141.1"/>
    <s v="VETF-large subuni"/>
    <x v="1"/>
    <n v="1"/>
    <n v="1"/>
    <m/>
  </r>
  <r>
    <s v="A7"/>
    <s v="VETF-L"/>
    <s v="APG58317.1"/>
    <s v="early transcription factor 82 kDa subuni"/>
    <x v="2"/>
    <n v="0"/>
    <n v="1"/>
    <m/>
  </r>
  <r>
    <s v="A7"/>
    <s v="VETF-L"/>
    <s v="ADT91126.1"/>
    <s v="viral early transcription factor large subuni"/>
    <x v="3"/>
    <n v="0"/>
    <n v="1"/>
    <m/>
  </r>
  <r>
    <s v="A7"/>
    <s v="VETF-L"/>
    <s v="ANS71185.1"/>
    <s v="large subunit viral early transcription factor"/>
    <x v="4"/>
    <n v="1"/>
    <n v="1"/>
    <m/>
  </r>
  <r>
    <s v="A7"/>
    <s v="VETF-L"/>
    <s v="AKR04229.1"/>
    <s v="early transcription factor (VETF) large subuni"/>
    <x v="5"/>
    <n v="1"/>
    <n v="1"/>
    <m/>
  </r>
  <r>
    <s v="A7"/>
    <s v="VETF-L"/>
    <s v="CCD83278.1"/>
    <s v="early transcription factor"/>
    <x v="6"/>
    <n v="0"/>
    <n v="1"/>
    <m/>
  </r>
  <r>
    <s v="A7"/>
    <s v="VETF-L"/>
    <s v="ASK51304.1"/>
    <s v="Early transcription factor large subunit (VETF-L)"/>
    <x v="7"/>
    <n v="1"/>
    <n v="1"/>
    <m/>
  </r>
  <r>
    <s v="A7"/>
    <s v="VETF-L"/>
    <s v="AUD40278.1"/>
    <s v="early transcription factor large subuni"/>
    <x v="8"/>
    <n v="0"/>
    <n v="1"/>
    <m/>
  </r>
  <r>
    <s v="A7"/>
    <s v="VETF-L"/>
    <s v="AID46909.1"/>
    <s v="early transcription factor large subunit VETF-L"/>
    <x v="9"/>
    <n v="1"/>
    <n v="1"/>
    <m/>
  </r>
  <r>
    <s v="A7"/>
    <s v="VETF-L"/>
    <s v="AID46678.1"/>
    <s v="early transcription factor large subunit VETF-L"/>
    <x v="10"/>
    <n v="1"/>
    <n v="1"/>
    <m/>
  </r>
  <r>
    <s v="A7"/>
    <s v="VETF-L"/>
    <s v="ALA62500.1"/>
    <s v="early transcription factor large subunit VETF-L"/>
    <x v="11"/>
    <n v="1"/>
    <n v="1"/>
    <m/>
  </r>
  <r>
    <s v="A7"/>
    <s v="VETF-L"/>
    <s v="AAR83590.1"/>
    <s v="CNPV244 early transcription factor large subunit VETFL"/>
    <x v="12"/>
    <n v="1"/>
    <n v="1"/>
    <m/>
  </r>
  <r>
    <s v="A7"/>
    <s v="VETF-L"/>
    <s v="AAF44515.1"/>
    <s v="ORF FPV171 Early transcription factor large subunit, VETF-L"/>
    <x v="13"/>
    <n v="1"/>
    <n v="1"/>
    <m/>
  </r>
  <r>
    <s v="A7"/>
    <s v="VETF-L"/>
    <s v="AAK85059.1"/>
    <s v="LSDV098 putative early transcription factor large subuni"/>
    <x v="14"/>
    <n v="0"/>
    <n v="1"/>
    <m/>
  </r>
  <r>
    <s v="A7"/>
    <s v="VETF-L"/>
    <s v="AST09317.1"/>
    <s v="early gene transcription factor"/>
    <x v="15"/>
    <n v="1"/>
    <n v="1"/>
    <m/>
  </r>
  <r>
    <s v="A7"/>
    <s v="VETF-L"/>
    <s v="AEN03697.1"/>
    <s v="VETFL early gene transcription factor 82kDa large subuni"/>
    <x v="16"/>
    <n v="1"/>
    <n v="1"/>
    <m/>
  </r>
  <r>
    <s v="A7"/>
    <s v="VETF-L"/>
    <s v="ABI99262.1"/>
    <s v="early transcription factor VETFL"/>
    <x v="17"/>
    <n v="0"/>
    <n v="1"/>
    <m/>
  </r>
  <r>
    <s v="A7"/>
    <s v="VETF-L"/>
    <s v="ABJ09019.1"/>
    <s v="early transcription factor large subuni"/>
    <x v="18"/>
    <n v="1"/>
    <n v="1"/>
    <m/>
  </r>
  <r>
    <s v="A7"/>
    <s v="VETF-L"/>
    <s v="AAF14984.1"/>
    <s v="m96L"/>
    <x v="19"/>
    <n v="1"/>
    <n v="1"/>
    <m/>
  </r>
  <r>
    <s v="A7"/>
    <s v="VETF-L"/>
    <s v="AFU77360.1"/>
    <s v="m96L"/>
    <x v="19"/>
    <n v="1"/>
    <n v="1"/>
    <m/>
  </r>
  <r>
    <s v="A7"/>
    <s v="VETF-L"/>
    <s v="AAF17979.1"/>
    <s v="gp096L"/>
    <x v="20"/>
    <n v="1"/>
    <n v="1"/>
    <m/>
  </r>
  <r>
    <s v="A7"/>
    <s v="VETF-L"/>
    <s v="AAC55238.1"/>
    <s v="MC110L"/>
    <x v="21"/>
    <n v="0"/>
    <n v="1"/>
    <m/>
  </r>
  <r>
    <s v="A7"/>
    <s v="VETF-L"/>
    <s v="AYN64692.1"/>
    <s v="putative A7L protein"/>
    <x v="22"/>
    <n v="1"/>
    <n v="1"/>
    <m/>
  </r>
  <r>
    <s v="A7"/>
    <s v="VETF-L"/>
    <s v="AXN74921.1"/>
    <s v="early gene transcription factor"/>
    <x v="23"/>
    <n v="1"/>
    <n v="1"/>
    <m/>
  </r>
  <r>
    <s v="A7"/>
    <s v="VETF-L"/>
    <s v="ABH08233.1"/>
    <s v="HSPV127"/>
    <x v="24"/>
    <n v="1"/>
    <n v="1"/>
    <m/>
  </r>
  <r>
    <s v="A7"/>
    <s v="VETF-L"/>
    <s v="AAG37608.1"/>
    <s v="CMP123L"/>
    <x v="25"/>
    <n v="0"/>
    <n v="1"/>
    <m/>
  </r>
  <r>
    <s v="A7"/>
    <s v="VETF-L"/>
    <s v="AAL73831.1"/>
    <s v="putative early transcription factor VETFL"/>
    <x v="26"/>
    <n v="0"/>
    <n v="1"/>
    <m/>
  </r>
  <r>
    <s v="A7"/>
    <s v="VETF-L"/>
    <s v="AAM13580.1"/>
    <s v="CPXV139 protein"/>
    <x v="27"/>
    <n v="1"/>
    <n v="1"/>
    <m/>
  </r>
  <r>
    <s v="A7"/>
    <s v="VETF-L"/>
    <s v="AAM92414.1"/>
    <s v="EVM110"/>
    <x v="28"/>
    <n v="1"/>
    <n v="1"/>
    <m/>
  </r>
  <r>
    <s v="A7"/>
    <s v="VETF-L"/>
    <s v="AFH54673.1"/>
    <s v="viral early transcription factor large subuni"/>
    <x v="29"/>
    <n v="0"/>
    <n v="1"/>
    <m/>
  </r>
  <r>
    <s v="A7"/>
    <s v="VETF-L"/>
    <s v="AAL40576.1"/>
    <s v="A8L"/>
    <x v="30"/>
    <n v="0"/>
    <n v="1"/>
    <m/>
  </r>
  <r>
    <s v="A7"/>
    <s v="VETF-L"/>
    <s v="AAX09213.1"/>
    <s v="MPXV-COP-112"/>
    <x v="31"/>
    <n v="0"/>
    <n v="1"/>
    <m/>
  </r>
  <r>
    <s v="A7"/>
    <s v="VETF-L"/>
    <s v="AKJ93755.1"/>
    <s v="VETF-L"/>
    <x v="32"/>
    <n v="1"/>
    <n v="1"/>
    <m/>
  </r>
  <r>
    <s v="A7"/>
    <s v="VETF-L"/>
    <s v="AOP31604.1"/>
    <s v="vetf-l"/>
    <x v="33"/>
    <n v="1"/>
    <n v="1"/>
    <m/>
  </r>
  <r>
    <s v="A7"/>
    <s v="VETF-L"/>
    <s v="ABD97694.1"/>
    <s v="82kDa large subunit of early gene transcription factor VETF"/>
    <x v="34"/>
    <n v="1"/>
    <n v="1"/>
    <m/>
  </r>
  <r>
    <s v="A7"/>
    <s v="VETF-L"/>
    <s v="AAO89405.1"/>
    <s v="82kDa large subunit of early gene transcription factor VETF"/>
    <x v="35"/>
    <n v="0"/>
    <n v="1"/>
    <m/>
  </r>
  <r>
    <s v="A7"/>
    <s v="VETF-L"/>
    <s v="CAA49052.1"/>
    <s v="A7L"/>
    <x v="36"/>
    <n v="0"/>
    <n v="1"/>
    <m/>
  </r>
  <r>
    <s v="A7"/>
    <s v="VETF-L"/>
    <s v="CAB54711.1"/>
    <s v="A8L protein"/>
    <x v="37"/>
    <n v="1"/>
    <n v="1"/>
    <m/>
  </r>
  <r>
    <s v="A7"/>
    <s v="VETF-L"/>
    <s v="AOP31815.1"/>
    <s v="vetf-l"/>
    <x v="38"/>
    <n v="1"/>
    <n v="1"/>
    <m/>
  </r>
  <r>
    <s v="A7"/>
    <s v="VETF-L"/>
    <s v="ASC55558.1"/>
    <s v="early transcription factor VETFL-like protein"/>
    <x v="39"/>
    <n v="1"/>
    <n v="1"/>
    <m/>
  </r>
  <r>
    <s v="A7"/>
    <s v="VETF-L"/>
    <s v="AAR98440.1"/>
    <s v="ORF083 early transcription factor VETFL"/>
    <x v="40"/>
    <n v="1"/>
    <n v="1"/>
    <m/>
  </r>
  <r>
    <s v="A7"/>
    <s v="VETF-L"/>
    <s v="AAR98308.1"/>
    <s v="ORF083 early transcription factor VETFL"/>
    <x v="41"/>
    <n v="1"/>
    <n v="1"/>
    <m/>
  </r>
  <r>
    <s v="A7"/>
    <s v="VETF-L"/>
    <s v="ABA00600.1"/>
    <s v="early transcription factor"/>
    <x v="41"/>
    <n v="1"/>
    <n v="1"/>
    <m/>
  </r>
  <r>
    <s v="A7"/>
    <s v="VETF-L"/>
    <s v="AIZ77334.1"/>
    <s v="putative early transcription factor VETFL"/>
    <x v="42"/>
    <n v="0"/>
    <n v="1"/>
    <m/>
  </r>
  <r>
    <s v="A7"/>
    <s v="VETF-L"/>
    <s v="ADC53985.1"/>
    <s v="early transcription factor"/>
    <x v="43"/>
    <n v="1"/>
    <n v="1"/>
    <m/>
  </r>
  <r>
    <s v="A7"/>
    <s v="VETF-L"/>
    <s v="AAL69834.1"/>
    <s v="SPV095 putative early transcription factor VETFL"/>
    <x v="44"/>
    <n v="1"/>
    <n v="1"/>
    <m/>
  </r>
  <r>
    <s v="A7"/>
    <s v="VETF-L"/>
    <s v="CAC21336.1"/>
    <s v="98L protein"/>
    <x v="45"/>
    <n v="0"/>
    <n v="1"/>
    <m/>
  </r>
  <r>
    <s v="A7"/>
    <s v="VETF-L"/>
    <s v="AAR07454.1"/>
    <s v="98L"/>
    <x v="46"/>
    <n v="1"/>
    <n v="1"/>
    <m/>
  </r>
  <r>
    <s v="A7"/>
    <s v="VETF-L"/>
    <s v="AAC97622.1"/>
    <s v="ORF MSV063 putative early transcription factor large subunit homolog VETF-L (vaccinia A7L), similar to GB:X76265"/>
    <x v="47"/>
    <n v="0"/>
    <n v="1"/>
    <m/>
  </r>
  <r>
    <s v="A7"/>
    <s v="VETF-L"/>
    <s v="BAO49547.1"/>
    <s v="putative early transcription factor large subuni"/>
    <x v="48"/>
    <n v="1"/>
    <n v="1"/>
    <m/>
  </r>
  <r>
    <s v="A7"/>
    <s v="VETF-L"/>
    <s v="CCU55427.1"/>
    <s v="VETF-L early transcription factor large"/>
    <x v="49"/>
    <n v="0"/>
    <n v="1"/>
    <m/>
  </r>
  <r>
    <s v="A7"/>
    <s v="VETF-L"/>
    <s v="AAG02811.1"/>
    <s v="AMV105"/>
    <x v="50"/>
    <n v="1"/>
    <n v="1"/>
    <m/>
  </r>
  <r>
    <s v="A7"/>
    <s v="VETF-L"/>
    <s v="CCU55727.1"/>
    <s v="VETF-L early transcription factor large"/>
    <x v="51"/>
    <n v="1"/>
    <n v="1"/>
    <m/>
  </r>
  <r>
    <s v="A7"/>
    <s v="VETF-L"/>
    <s v="CCU56029.1"/>
    <s v="VETF-L early transcription factor large"/>
    <x v="52"/>
    <n v="0"/>
    <n v="1"/>
    <m/>
  </r>
  <r>
    <s v="A7"/>
    <s v="VETF-L"/>
    <s v="CCU56319.1"/>
    <s v="VETF-L early transcription factor large"/>
    <x v="53"/>
    <n v="0"/>
    <n v="1"/>
    <m/>
  </r>
  <r>
    <s v="A7"/>
    <s v="VETF-L"/>
    <s v="NP_659670.1"/>
    <s v="Early transcrition factor VETFl"/>
    <x v="54"/>
    <n v="1"/>
    <n v="1"/>
    <m/>
  </r>
  <r>
    <s v="A7"/>
    <s v="VETF-L"/>
    <s v="YP_001293289.1"/>
    <s v="hypothetical protein GTPV_gp094"/>
    <x v="55"/>
    <n v="0"/>
    <n v="1"/>
    <m/>
  </r>
  <r>
    <s v="D1"/>
    <s v="large capping enzyme"/>
    <s v="ATI21188.1"/>
    <s v="mRNA capping enzyme large subuni"/>
    <x v="0"/>
    <n v="1"/>
    <n v="1"/>
    <m/>
  </r>
  <r>
    <s v="D1"/>
    <s v="large capping enzyme"/>
    <s v="AWU47122.1"/>
    <s v="mRNA capping enzyme"/>
    <x v="1"/>
    <n v="1"/>
    <n v="1"/>
    <m/>
  </r>
  <r>
    <s v="D1"/>
    <s v="large capping enzyme"/>
    <s v="APG58298.1"/>
    <s v="mRNA-capping enzyme catalytic subuni"/>
    <x v="2"/>
    <n v="0"/>
    <n v="1"/>
    <m/>
  </r>
  <r>
    <s v="D1"/>
    <s v="large capping enzyme"/>
    <s v="ADT91109.1"/>
    <s v="capping enzyme large subuni"/>
    <x v="3"/>
    <n v="0"/>
    <n v="1"/>
    <m/>
  </r>
  <r>
    <s v="D1"/>
    <s v="large capping enzyme"/>
    <s v="ANS71166.1"/>
    <s v="large subunit mRNA capping enzyme"/>
    <x v="4"/>
    <n v="1"/>
    <n v="1"/>
    <m/>
  </r>
  <r>
    <s v="D1"/>
    <s v="large capping enzyme"/>
    <s v="AKR04297.1"/>
    <s v="m-RNA capping enzyme large subuni"/>
    <x v="5"/>
    <n v="1"/>
    <n v="1"/>
    <m/>
  </r>
  <r>
    <s v="D1"/>
    <s v="large capping enzyme"/>
    <s v="CCD83255.1"/>
    <s v="large subunit of mRNA capping enzyme,transcription termination factor VTF"/>
    <x v="6"/>
    <n v="0"/>
    <n v="1"/>
    <m/>
  </r>
  <r>
    <s v="D1"/>
    <s v="large capping enzyme"/>
    <s v="ASK51284.1"/>
    <s v="mRNA capping enzyme large subuni"/>
    <x v="7"/>
    <n v="1"/>
    <n v="1"/>
    <m/>
  </r>
  <r>
    <s v="D1"/>
    <s v="large capping enzyme"/>
    <s v="AUD40250.1"/>
    <s v="mRNA capping enzyme large subuni"/>
    <x v="8"/>
    <n v="0"/>
    <n v="1"/>
    <m/>
  </r>
  <r>
    <s v="D1"/>
    <s v="large capping enzyme"/>
    <s v="AID46882.1"/>
    <s v="mRNA capping enzyme, large subuni"/>
    <x v="9"/>
    <n v="1"/>
    <n v="1"/>
    <m/>
  </r>
  <r>
    <s v="D1"/>
    <s v="large capping enzyme"/>
    <s v="AID46653.1"/>
    <s v="mRNA capping enzyme, large subuni"/>
    <x v="10"/>
    <n v="1"/>
    <n v="1"/>
    <m/>
  </r>
  <r>
    <s v="D1"/>
    <s v="large capping enzyme"/>
    <s v="ALA62484.1"/>
    <s v="mRNA-capping enzyme large subuni"/>
    <x v="11"/>
    <n v="1"/>
    <n v="1"/>
    <m/>
  </r>
  <r>
    <s v="D1"/>
    <s v="large capping enzyme"/>
    <s v="AAR83538.1"/>
    <s v="CNPV192 mRNA capping enzyme large subuni"/>
    <x v="12"/>
    <n v="1"/>
    <n v="1"/>
    <m/>
  </r>
  <r>
    <s v="D1"/>
    <s v="large capping enzyme"/>
    <s v="AAF44490.1"/>
    <s v="ORF FPV146 mRNA Capping enzyme, large subuni"/>
    <x v="13"/>
    <n v="1"/>
    <n v="1"/>
    <m/>
  </r>
  <r>
    <s v="D1"/>
    <s v="large capping enzyme"/>
    <s v="AAK85040.1"/>
    <s v="LSDV079 mRNA capping enzyme large subuni"/>
    <x v="14"/>
    <n v="0"/>
    <n v="1"/>
    <m/>
  </r>
  <r>
    <s v="D1"/>
    <s v="large capping enzyme"/>
    <s v="AST09297.1"/>
    <s v="mRNA capping enzyme large subuni"/>
    <x v="15"/>
    <n v="1"/>
    <n v="1"/>
    <m/>
  </r>
  <r>
    <s v="D1"/>
    <s v="large capping enzyme"/>
    <s v="AEN03675.1"/>
    <s v="large subunit of mRNA capping enzyme"/>
    <x v="16"/>
    <n v="1"/>
    <n v="1"/>
    <m/>
  </r>
  <r>
    <s v="D1"/>
    <s v="large capping enzyme"/>
    <s v="ABI99243.1"/>
    <s v="MRNA capping enzyme large subuni"/>
    <x v="17"/>
    <n v="0"/>
    <n v="1"/>
    <m/>
  </r>
  <r>
    <s v="D1"/>
    <s v="large capping enzyme"/>
    <s v="ABJ09000.1"/>
    <s v="mRNA capping enzyme large subuni"/>
    <x v="18"/>
    <n v="1"/>
    <n v="1"/>
    <m/>
  </r>
  <r>
    <s v="D1"/>
    <s v="large capping enzyme"/>
    <s v="AAF14964.1"/>
    <s v="m76R"/>
    <x v="19"/>
    <n v="1"/>
    <n v="1"/>
    <m/>
  </r>
  <r>
    <s v="D1"/>
    <s v="large capping enzyme"/>
    <s v="AFU77340.1"/>
    <s v="m76R"/>
    <x v="19"/>
    <n v="1"/>
    <n v="1"/>
    <m/>
  </r>
  <r>
    <s v="D1"/>
    <s v="large capping enzyme"/>
    <s v="AAF17958.1"/>
    <s v="gp076R"/>
    <x v="20"/>
    <n v="1"/>
    <n v="1"/>
    <m/>
  </r>
  <r>
    <s v="D1"/>
    <s v="large capping enzyme"/>
    <s v="AAC55218.1"/>
    <s v="MC090R"/>
    <x v="21"/>
    <n v="0"/>
    <n v="1"/>
    <m/>
  </r>
  <r>
    <s v="D1"/>
    <s v="large capping enzyme"/>
    <s v="AYN64672.1"/>
    <s v="putative D1R protein"/>
    <x v="22"/>
    <n v="1"/>
    <n v="1"/>
    <m/>
  </r>
  <r>
    <s v="D1"/>
    <s v="large capping enzyme"/>
    <s v="AXN74900.1"/>
    <s v="mRNA capping enzyme large subuni"/>
    <x v="23"/>
    <n v="1"/>
    <n v="1"/>
    <m/>
  </r>
  <r>
    <s v="D1"/>
    <s v="large capping enzyme"/>
    <s v="ABH08213.1"/>
    <s v="HSPV107"/>
    <x v="24"/>
    <n v="1"/>
    <n v="1"/>
    <m/>
  </r>
  <r>
    <s v="D1"/>
    <s v="large capping enzyme"/>
    <s v="AAG37576.1"/>
    <s v="CMP103R"/>
    <x v="25"/>
    <n v="0"/>
    <n v="1"/>
    <m/>
  </r>
  <r>
    <s v="D1"/>
    <s v="large capping enzyme"/>
    <s v="AAL73811.1"/>
    <s v="mRNA capping enzyme large subuni"/>
    <x v="26"/>
    <n v="0"/>
    <n v="1"/>
    <m/>
  </r>
  <r>
    <s v="D1"/>
    <s v="large capping enzyme"/>
    <s v="AAM13560.1"/>
    <s v="CPXV118 protein"/>
    <x v="27"/>
    <n v="1"/>
    <n v="1"/>
    <m/>
  </r>
  <r>
    <s v="D1"/>
    <s v="large capping enzyme"/>
    <s v="AAM92394.1"/>
    <s v="EVM090"/>
    <x v="28"/>
    <n v="1"/>
    <n v="1"/>
    <m/>
  </r>
  <r>
    <s v="D1"/>
    <s v="large capping enzyme"/>
    <s v="AFH54653.1"/>
    <s v="large capping enzyme"/>
    <x v="29"/>
    <n v="0"/>
    <n v="1"/>
    <m/>
  </r>
  <r>
    <s v="D1"/>
    <s v="large capping enzyme"/>
    <s v="AAL40556.1"/>
    <s v="E1R"/>
    <x v="30"/>
    <n v="0"/>
    <n v="1"/>
    <m/>
  </r>
  <r>
    <s v="D1"/>
    <s v="large capping enzyme"/>
    <s v="AAX09193.1"/>
    <s v="MPXV-COP-092"/>
    <x v="31"/>
    <n v="0"/>
    <n v="1"/>
    <m/>
  </r>
  <r>
    <s v="D1"/>
    <s v="large capping enzyme"/>
    <s v="AKJ93735.1"/>
    <s v="mRNA capping enzyme large subuni"/>
    <x v="32"/>
    <n v="1"/>
    <n v="1"/>
    <m/>
  </r>
  <r>
    <s v="D1"/>
    <s v="large capping enzyme"/>
    <s v="AOP31584.1"/>
    <s v="mRNA capping enzyme large subuni"/>
    <x v="33"/>
    <n v="1"/>
    <n v="1"/>
    <m/>
  </r>
  <r>
    <s v="D1"/>
    <s v="large capping enzyme"/>
    <s v="ABD97674.1"/>
    <s v="large subunit of mRNA capping enzyme"/>
    <x v="34"/>
    <n v="1"/>
    <n v="1"/>
    <m/>
  </r>
  <r>
    <s v="D1"/>
    <s v="large capping enzyme"/>
    <s v="AAO89385.1"/>
    <s v="large subunit of mRNA capping enzyme"/>
    <x v="35"/>
    <n v="0"/>
    <n v="1"/>
    <m/>
  </r>
  <r>
    <s v="D1"/>
    <s v="large capping enzyme"/>
    <s v="CAA49032.1"/>
    <s v="F1R"/>
    <x v="36"/>
    <n v="0"/>
    <n v="1"/>
    <m/>
  </r>
  <r>
    <s v="D1"/>
    <s v="large capping enzyme"/>
    <s v="CAB54691.1"/>
    <s v="F1R protein"/>
    <x v="37"/>
    <n v="1"/>
    <n v="1"/>
    <m/>
  </r>
  <r>
    <s v="D1"/>
    <s v="large capping enzyme"/>
    <s v="AOP31795.1"/>
    <s v="mRNA capping enzyme large subuni"/>
    <x v="38"/>
    <n v="1"/>
    <n v="1"/>
    <m/>
  </r>
  <r>
    <s v="D1"/>
    <s v="large capping enzyme"/>
    <s v="ASC55576.1"/>
    <s v="putative mRNA capping enzyme large subunit-like protein"/>
    <x v="39"/>
    <n v="1"/>
    <n v="1"/>
    <m/>
  </r>
  <r>
    <s v="D1"/>
    <s v="large capping enzyme"/>
    <s v="AAR98421.1"/>
    <s v="ORF064 mRNA capping enzyme large subuni"/>
    <x v="40"/>
    <n v="1"/>
    <n v="1"/>
    <m/>
  </r>
  <r>
    <s v="D1"/>
    <s v="large capping enzyme"/>
    <s v="AAR98289.1"/>
    <s v="ORF064 mRNA capping enzyme large subuni"/>
    <x v="41"/>
    <n v="1"/>
    <n v="1"/>
    <m/>
  </r>
  <r>
    <s v="D1"/>
    <s v="large capping enzyme"/>
    <s v="ABA00581.1"/>
    <s v="mRNA capping enzyme subuni"/>
    <x v="41"/>
    <n v="1"/>
    <n v="1"/>
    <m/>
  </r>
  <r>
    <s v="D1"/>
    <s v="large capping enzyme"/>
    <s v="AIZ77315.1"/>
    <s v="putative mRNA capping enzyme large subuni"/>
    <x v="42"/>
    <n v="0"/>
    <n v="1"/>
    <m/>
  </r>
  <r>
    <s v="D1"/>
    <s v="large capping enzyme"/>
    <s v="ADC53965.1"/>
    <s v="mRNA capping enzyme subuni"/>
    <x v="43"/>
    <n v="1"/>
    <n v="1"/>
    <m/>
  </r>
  <r>
    <s v="D1"/>
    <s v="large capping enzyme"/>
    <s v="AAL69815.1"/>
    <s v="SPV076 mRNA capping enzyme large subuni"/>
    <x v="44"/>
    <n v="1"/>
    <n v="1"/>
    <m/>
  </r>
  <r>
    <s v="D1"/>
    <s v="large capping enzyme"/>
    <s v="CAC21317.1"/>
    <s v="79R protein"/>
    <x v="45"/>
    <n v="0"/>
    <n v="1"/>
    <m/>
  </r>
  <r>
    <s v="D1"/>
    <s v="large capping enzyme"/>
    <s v="AAR07435.1"/>
    <s v="79R"/>
    <x v="46"/>
    <n v="1"/>
    <n v="1"/>
    <m/>
  </r>
  <r>
    <s v="D1"/>
    <s v="large capping enzyme"/>
    <s v="AAC97815.1"/>
    <s v="ORF MSV067 putative mRNA capping enzyme large subunit homolog (vaccinia D1R), similar to SW:P20979"/>
    <x v="47"/>
    <n v="0"/>
    <n v="1"/>
    <m/>
  </r>
  <r>
    <s v="D1"/>
    <s v="large capping enzyme"/>
    <s v="BAO49500.1"/>
    <s v="putative mRNA capping enzyme large subuni"/>
    <x v="48"/>
    <n v="1"/>
    <n v="1"/>
    <m/>
  </r>
  <r>
    <s v="D1"/>
    <s v="large capping enzyme"/>
    <s v="CCU55511.1"/>
    <s v="mRNA capping enzyme large subuni"/>
    <x v="49"/>
    <n v="0"/>
    <n v="1"/>
    <m/>
  </r>
  <r>
    <s v="D1"/>
    <s v="large capping enzyme"/>
    <s v="AAG02841.1"/>
    <s v="AMV135"/>
    <x v="50"/>
    <n v="1"/>
    <n v="1"/>
    <m/>
  </r>
  <r>
    <s v="D1"/>
    <s v="large capping enzyme"/>
    <s v="CCU55754.1"/>
    <s v="mRNA capping enzyme large subuni"/>
    <x v="51"/>
    <n v="1"/>
    <n v="1"/>
    <m/>
  </r>
  <r>
    <s v="D1"/>
    <s v="large capping enzyme"/>
    <s v="CCU56056.1"/>
    <s v="mRNA capping enzyme large subuni"/>
    <x v="52"/>
    <n v="0"/>
    <n v="1"/>
    <m/>
  </r>
  <r>
    <s v="D1"/>
    <s v="large capping enzyme"/>
    <s v="CCU56376.1"/>
    <s v="mRNA capping enzyme large subuni"/>
    <x v="53"/>
    <n v="0"/>
    <n v="1"/>
    <m/>
  </r>
  <r>
    <s v="D1"/>
    <s v="large capping enzyme"/>
    <s v="NP_659651.1"/>
    <s v="mRNA capping enzyme, large subuni"/>
    <x v="54"/>
    <n v="1"/>
    <n v="1"/>
    <m/>
  </r>
  <r>
    <s v="D1"/>
    <s v="large capping enzyme"/>
    <s v="YP_001293270.1"/>
    <s v="hypothetical protein GTPV_gp075"/>
    <x v="55"/>
    <n v="0"/>
    <n v="1"/>
    <m/>
  </r>
  <r>
    <s v="D11"/>
    <s v="NPH-I"/>
    <s v="ATI21197.1"/>
    <s v="ATPase NPH1"/>
    <x v="0"/>
    <n v="1"/>
    <n v="1"/>
    <m/>
  </r>
  <r>
    <s v="D11"/>
    <s v="NPH-I"/>
    <s v="AWU47131.1"/>
    <s v="ATPase"/>
    <x v="1"/>
    <n v="1"/>
    <n v="1"/>
    <m/>
  </r>
  <r>
    <s v="D11"/>
    <s v="NPH-I"/>
    <s v="APG58306.1"/>
    <s v="nucleoside triphosphatase I"/>
    <x v="2"/>
    <n v="0"/>
    <n v="1"/>
    <m/>
  </r>
  <r>
    <s v="D11"/>
    <s v="NPH-I"/>
    <s v="ADT91117.1"/>
    <s v="NPH-I"/>
    <x v="3"/>
    <n v="0"/>
    <n v="1"/>
    <m/>
  </r>
  <r>
    <s v="D11"/>
    <s v="NPH-I"/>
    <s v="ANS71175.1"/>
    <s v="ATPase"/>
    <x v="4"/>
    <n v="1"/>
    <n v="1"/>
    <m/>
  </r>
  <r>
    <s v="D11"/>
    <s v="NPH-I"/>
    <s v="AKR04262.1"/>
    <s v="DEAD-like helicases superfamily D11"/>
    <x v="5"/>
    <n v="1"/>
    <n v="1"/>
    <m/>
  </r>
  <r>
    <s v="D11"/>
    <s v="NPH-I"/>
    <s v="CCD83265.1"/>
    <s v="ATPase/ transcription termination factor"/>
    <x v="6"/>
    <n v="0"/>
    <n v="1"/>
    <m/>
  </r>
  <r>
    <s v="D11"/>
    <s v="NPH-I"/>
    <s v="ASK51294.1"/>
    <s v="ATPase, NPH1"/>
    <x v="7"/>
    <n v="1"/>
    <n v="1"/>
    <m/>
  </r>
  <r>
    <s v="D11"/>
    <s v="NPH-I"/>
    <s v="AUD40154.1"/>
    <s v="NPH-1 transcription termination factor"/>
    <x v="8"/>
    <n v="0"/>
    <n v="1"/>
    <m/>
  </r>
  <r>
    <s v="D11"/>
    <s v="NPH-I"/>
    <s v="AID46794.1"/>
    <s v="NPH-1 transcription termination factor"/>
    <x v="9"/>
    <n v="1"/>
    <n v="1"/>
    <m/>
  </r>
  <r>
    <s v="D11"/>
    <s v="NPH-I"/>
    <s v="AID46565.1"/>
    <s v="NPH-1 transcription termination factor"/>
    <x v="10"/>
    <n v="1"/>
    <n v="1"/>
    <m/>
  </r>
  <r>
    <s v="D11"/>
    <s v="NPH-I"/>
    <s v="ALA62404.1"/>
    <s v="transcription termination factor NPH-I"/>
    <x v="11"/>
    <n v="1"/>
    <n v="1"/>
    <m/>
  </r>
  <r>
    <s v="D11"/>
    <s v="NPH-I"/>
    <s v="AAR83420.1"/>
    <s v="CNPV074 NPH-I, transcription termination factor"/>
    <x v="12"/>
    <n v="1"/>
    <n v="1"/>
    <m/>
  </r>
  <r>
    <s v="D11"/>
    <s v="NPH-I"/>
    <s v="AAF44396.1"/>
    <s v="ORF FPV052 NPH-I, trancription termination factor"/>
    <x v="13"/>
    <n v="1"/>
    <n v="1"/>
    <m/>
  </r>
  <r>
    <s v="D11"/>
    <s v="NPH-I"/>
    <s v="YP_001293279.1"/>
    <s v="hypothetical protein GTPV_gp084"/>
    <x v="55"/>
    <n v="0"/>
    <n v="1"/>
    <m/>
  </r>
  <r>
    <s v="D11"/>
    <s v="NPH-I"/>
    <s v="AAK85049.1"/>
    <s v="LSDV088 putative transcription termination factor"/>
    <x v="14"/>
    <n v="0"/>
    <n v="1"/>
    <m/>
  </r>
  <r>
    <s v="D11"/>
    <s v="NPH-I"/>
    <s v="NP_659660.1"/>
    <s v="NPH-I, transcription termination factor"/>
    <x v="54"/>
    <n v="1"/>
    <n v="1"/>
    <m/>
  </r>
  <r>
    <s v="D11"/>
    <s v="NPH-I"/>
    <s v="AST09307.1"/>
    <s v="ATPase nucleoside triphosphate phosphohydrolase-I NPH-I"/>
    <x v="15"/>
    <n v="1"/>
    <n v="1"/>
    <m/>
  </r>
  <r>
    <s v="D11"/>
    <s v="NPH-I"/>
    <s v="AEN03686.1"/>
    <s v="ATPase nucleoside triphosphate phosphohydrolase-I NPH-I"/>
    <x v="16"/>
    <n v="1"/>
    <n v="1"/>
    <m/>
  </r>
  <r>
    <s v="D11"/>
    <s v="NPH-I"/>
    <s v="ABI99252.1"/>
    <s v="transcription termination factor NPH-I"/>
    <x v="17"/>
    <n v="0"/>
    <n v="1"/>
    <m/>
  </r>
  <r>
    <s v="D11"/>
    <s v="NPH-I"/>
    <s v="ABJ09009.1"/>
    <s v="NPH-1"/>
    <x v="18"/>
    <n v="1"/>
    <n v="1"/>
    <m/>
  </r>
  <r>
    <s v="D11"/>
    <s v="NPH-I"/>
    <s v="AAF14974.1"/>
    <s v="m86L"/>
    <x v="19"/>
    <n v="1"/>
    <n v="1"/>
    <m/>
  </r>
  <r>
    <s v="D11"/>
    <s v="NPH-I"/>
    <s v="AFU77350.1"/>
    <s v="m86L"/>
    <x v="19"/>
    <n v="1"/>
    <n v="1"/>
    <m/>
  </r>
  <r>
    <s v="D11"/>
    <s v="NPH-I"/>
    <s v="AAF17970.1"/>
    <s v="gp086L"/>
    <x v="20"/>
    <n v="1"/>
    <n v="1"/>
    <m/>
  </r>
  <r>
    <s v="D11"/>
    <s v="NPH-I"/>
    <s v="AAC55228.1"/>
    <s v="MC100R"/>
    <x v="21"/>
    <n v="0"/>
    <n v="1"/>
    <m/>
  </r>
  <r>
    <s v="D11"/>
    <s v="NPH-I"/>
    <s v="AYN64682.1"/>
    <s v="putative D11L protein"/>
    <x v="22"/>
    <n v="1"/>
    <n v="1"/>
    <m/>
  </r>
  <r>
    <s v="D11"/>
    <s v="NPH-I"/>
    <s v="AXN74910.1"/>
    <s v="helicase"/>
    <x v="23"/>
    <n v="1"/>
    <n v="1"/>
    <m/>
  </r>
  <r>
    <s v="D11"/>
    <s v="NPH-I"/>
    <s v="ABH08223.1"/>
    <s v="HSPV117"/>
    <x v="24"/>
    <n v="1"/>
    <n v="1"/>
    <m/>
  </r>
  <r>
    <s v="D11"/>
    <s v="NPH-I"/>
    <s v="AAL73821.1"/>
    <s v="putative NPH-I transcription termination factor"/>
    <x v="26"/>
    <n v="0"/>
    <n v="1"/>
    <m/>
  </r>
  <r>
    <s v="D11"/>
    <s v="NPH-I"/>
    <s v="AAG37591.1"/>
    <s v="CMP113L"/>
    <x v="25"/>
    <n v="0"/>
    <n v="1"/>
    <m/>
  </r>
  <r>
    <s v="D11"/>
    <s v="NPH-I"/>
    <s v="AAM13570.1"/>
    <s v="CPXV128 protein"/>
    <x v="27"/>
    <n v="1"/>
    <n v="1"/>
    <m/>
  </r>
  <r>
    <s v="D11"/>
    <s v="NPH-I"/>
    <s v="AAM92404.1"/>
    <s v="EVM100"/>
    <x v="28"/>
    <n v="1"/>
    <n v="1"/>
    <m/>
  </r>
  <r>
    <s v="D11"/>
    <s v="NPH-I"/>
    <s v="AFH54663.1"/>
    <s v="helicase NPH-I"/>
    <x v="29"/>
    <n v="0"/>
    <n v="1"/>
    <m/>
  </r>
  <r>
    <s v="D11"/>
    <s v="NPH-I"/>
    <s v="AAL40566.1"/>
    <s v="E11L"/>
    <x v="30"/>
    <n v="0"/>
    <n v="1"/>
    <m/>
  </r>
  <r>
    <s v="D11"/>
    <s v="NPH-I"/>
    <s v="AAX09203.1"/>
    <s v="MPXV-COP-102"/>
    <x v="31"/>
    <n v="0"/>
    <n v="1"/>
    <m/>
  </r>
  <r>
    <s v="D11"/>
    <s v="NPH-I"/>
    <s v="AKJ93745.1"/>
    <s v="nucleoside triphosphate phosphohydrolase-I"/>
    <x v="32"/>
    <n v="1"/>
    <n v="1"/>
    <m/>
  </r>
  <r>
    <s v="D11"/>
    <s v="NPH-I"/>
    <s v="AOP31594.1"/>
    <s v="ATPase"/>
    <x v="33"/>
    <n v="1"/>
    <n v="1"/>
    <m/>
  </r>
  <r>
    <s v="D11"/>
    <s v="NPH-I"/>
    <s v="ABD97684.1"/>
    <s v="ATPase"/>
    <x v="34"/>
    <n v="1"/>
    <n v="1"/>
    <m/>
  </r>
  <r>
    <s v="D11"/>
    <s v="NPH-I"/>
    <s v="AAO89395.1"/>
    <s v="ATPase, nucleoside triphosphate phosphohydrolase-I, NPH-I"/>
    <x v="35"/>
    <n v="0"/>
    <n v="1"/>
    <m/>
  </r>
  <r>
    <s v="D11"/>
    <s v="NPH-I"/>
    <s v="CAA49042.1"/>
    <s v="N1L"/>
    <x v="36"/>
    <n v="0"/>
    <n v="1"/>
    <m/>
  </r>
  <r>
    <s v="D11"/>
    <s v="NPH-I"/>
    <s v="CAB54701.1"/>
    <s v="O1L protein"/>
    <x v="37"/>
    <n v="1"/>
    <n v="1"/>
    <m/>
  </r>
  <r>
    <s v="D11"/>
    <s v="NPH-I"/>
    <s v="AOP31805.1"/>
    <s v="ATPase"/>
    <x v="38"/>
    <n v="1"/>
    <n v="1"/>
    <m/>
  </r>
  <r>
    <s v="D11"/>
    <s v="NPH-I"/>
    <s v="ASC55568.1"/>
    <s v="transcription termination factor NPH-I-like protein"/>
    <x v="39"/>
    <n v="1"/>
    <n v="1"/>
    <m/>
  </r>
  <r>
    <s v="D11"/>
    <s v="NPH-I"/>
    <s v="AAR98429.1"/>
    <s v="transcription termination factor NPH-I"/>
    <x v="40"/>
    <n v="1"/>
    <n v="1"/>
    <m/>
  </r>
  <r>
    <s v="D11"/>
    <s v="NPH-I"/>
    <s v="AAR98297.1"/>
    <s v="ORF072 transcription termination factor NPH-I"/>
    <x v="41"/>
    <n v="1"/>
    <n v="1"/>
    <m/>
  </r>
  <r>
    <s v="D11"/>
    <s v="NPH-I"/>
    <s v="ABA00589.1"/>
    <s v="NPH-1"/>
    <x v="41"/>
    <n v="1"/>
    <n v="1"/>
    <m/>
  </r>
  <r>
    <s v="D11"/>
    <s v="NPH-I"/>
    <s v="AIZ77323.1"/>
    <s v="putative transcription termination factor NPH-I"/>
    <x v="42"/>
    <n v="0"/>
    <n v="1"/>
    <m/>
  </r>
  <r>
    <s v="D11"/>
    <s v="NPH-I"/>
    <s v="ADC53973.1"/>
    <s v="NPH-1"/>
    <x v="43"/>
    <n v="1"/>
    <n v="1"/>
    <m/>
  </r>
  <r>
    <s v="D11"/>
    <s v="NPH-I"/>
    <s v="AAL69824.1"/>
    <s v="SPV085 putative NPH-I transcription termination factor"/>
    <x v="44"/>
    <n v="1"/>
    <n v="1"/>
    <m/>
  </r>
  <r>
    <s v="D11"/>
    <s v="NPH-I"/>
    <s v="CAC21326.1"/>
    <s v="88L protein"/>
    <x v="45"/>
    <n v="0"/>
    <n v="1"/>
    <m/>
  </r>
  <r>
    <s v="D11"/>
    <s v="NPH-I"/>
    <s v="AAR07444.1"/>
    <s v="88L"/>
    <x v="46"/>
    <n v="1"/>
    <n v="1"/>
    <m/>
  </r>
  <r>
    <s v="D11"/>
    <s v="NPH-I"/>
    <s v="AAC97824.1"/>
    <s v="ORF MSV053 putative nucleoside triphosphate phosphohydrolase, Choristoneura biennis entomopox virus NPH-1 (vaccinia D11L) homolog, similar to SW:P24486"/>
    <x v="47"/>
    <n v="0"/>
    <n v="1"/>
    <m/>
  </r>
  <r>
    <s v="D11"/>
    <s v="NPH-I"/>
    <s v="BAO49434.1"/>
    <s v="nucleoside triphosphate phosphohydrolase I"/>
    <x v="48"/>
    <n v="1"/>
    <n v="1"/>
    <m/>
  </r>
  <r>
    <s v="D11"/>
    <s v="NPH-I"/>
    <s v="CCU55471.1"/>
    <s v="ATPase, NPH1"/>
    <x v="49"/>
    <n v="0"/>
    <n v="1"/>
    <m/>
  </r>
  <r>
    <s v="D11"/>
    <s v="NPH-I"/>
    <s v="AAG02898.1"/>
    <s v="AMV192"/>
    <x v="50"/>
    <n v="1"/>
    <n v="1"/>
    <m/>
  </r>
  <r>
    <s v="D11"/>
    <s v="NPH-I"/>
    <s v="CCU55796.1"/>
    <s v="ATPase, NPH1"/>
    <x v="51"/>
    <n v="1"/>
    <n v="1"/>
    <m/>
  </r>
  <r>
    <s v="D11"/>
    <s v="NPH-I"/>
    <s v="CCU56098.1"/>
    <s v="ATPase, NPH1"/>
    <x v="52"/>
    <n v="0"/>
    <n v="1"/>
    <m/>
  </r>
  <r>
    <s v="D11"/>
    <s v="NPH-I"/>
    <s v="CCU56420.1"/>
    <s v="ATPase, NPH1"/>
    <x v="53"/>
    <n v="0"/>
    <n v="1"/>
    <m/>
  </r>
  <r>
    <s v="D12"/>
    <s v="small capping enzyme"/>
    <s v="ATI21198.1"/>
    <s v="mRNA capping enzyme small subuni"/>
    <x v="0"/>
    <n v="1"/>
    <n v="1"/>
    <m/>
  </r>
  <r>
    <s v="D12"/>
    <s v="small capping enzyme"/>
    <s v="AWU47132.1"/>
    <s v="mRNA capping enzyme"/>
    <x v="1"/>
    <n v="1"/>
    <n v="1"/>
    <m/>
  </r>
  <r>
    <s v="D12"/>
    <s v="small capping enzyme"/>
    <s v="APG58308.1"/>
    <s v="mRNA-capping enzyme small subuni"/>
    <x v="2"/>
    <n v="0"/>
    <n v="1"/>
    <m/>
  </r>
  <r>
    <s v="D12"/>
    <s v="small capping enzyme"/>
    <s v="ADT91118.1"/>
    <s v="capping enzyme small subuni"/>
    <x v="3"/>
    <n v="0"/>
    <n v="1"/>
    <m/>
  </r>
  <r>
    <s v="D12"/>
    <s v="small capping enzyme"/>
    <s v="ANS71176.1"/>
    <s v="small subunit mRNA capping enzyme"/>
    <x v="4"/>
    <n v="1"/>
    <n v="1"/>
    <m/>
  </r>
  <r>
    <s v="D12"/>
    <s v="small capping enzyme"/>
    <s v="AKR04264.1"/>
    <s v="mRNA capping enzyme, small subuni"/>
    <x v="5"/>
    <n v="1"/>
    <n v="1"/>
    <m/>
  </r>
  <r>
    <s v="D12"/>
    <s v="small capping enzyme"/>
    <s v="CCD83269.1"/>
    <s v="mRNA capping small sub-uni"/>
    <x v="6"/>
    <n v="0"/>
    <n v="1"/>
    <m/>
  </r>
  <r>
    <s v="D12"/>
    <s v="small capping enzyme"/>
    <s v="ASK51295.1"/>
    <s v="mRNA capping enzyme small subuni"/>
    <x v="7"/>
    <n v="1"/>
    <n v="1"/>
    <m/>
  </r>
  <r>
    <s v="D12"/>
    <s v="small capping enzyme"/>
    <s v="AUD40153.1"/>
    <s v="mRNA capping enzyme small subuni"/>
    <x v="8"/>
    <n v="0"/>
    <n v="1"/>
    <m/>
  </r>
  <r>
    <s v="D12"/>
    <s v="small capping enzyme"/>
    <s v="AID46793.1"/>
    <s v="mRNA capping enzyme"/>
    <x v="9"/>
    <n v="1"/>
    <n v="1"/>
    <m/>
  </r>
  <r>
    <s v="D12"/>
    <s v="small capping enzyme"/>
    <s v="AID46564.1"/>
    <s v="mRNA capping enzyme"/>
    <x v="10"/>
    <n v="1"/>
    <n v="1"/>
    <m/>
  </r>
  <r>
    <s v="D12"/>
    <s v="small capping enzyme"/>
    <s v="ALA62403.1"/>
    <s v="mRNA-capping enzyme small subuni"/>
    <x v="11"/>
    <n v="1"/>
    <n v="1"/>
    <m/>
  </r>
  <r>
    <s v="D12"/>
    <s v="small capping enzyme"/>
    <s v="AAR83417.1"/>
    <s v="CNPV071 mRNA capping enzyme small subuni"/>
    <x v="12"/>
    <n v="1"/>
    <n v="1"/>
    <m/>
  </r>
  <r>
    <s v="D12"/>
    <s v="small capping enzyme"/>
    <s v="AAF44395.1"/>
    <s v="ORF FPV051 mRNA capping enzyme, small subuni"/>
    <x v="13"/>
    <n v="1"/>
    <n v="1"/>
    <m/>
  </r>
  <r>
    <s v="D12"/>
    <s v="small capping enzyme"/>
    <s v="YP_001293280.1"/>
    <s v="hypothetical protein GTPV_gp085"/>
    <x v="55"/>
    <n v="0"/>
    <n v="1"/>
    <m/>
  </r>
  <r>
    <s v="D12"/>
    <s v="small capping enzyme"/>
    <s v="AAK85050.1"/>
    <s v="LSDV089 mRNA capping enzyme small subuni"/>
    <x v="14"/>
    <n v="0"/>
    <n v="1"/>
    <m/>
  </r>
  <r>
    <s v="D12"/>
    <s v="small capping enzyme"/>
    <s v="NP_659661.1"/>
    <s v="mRNA capping enzyme, small subuni"/>
    <x v="54"/>
    <n v="1"/>
    <n v="1"/>
    <m/>
  </r>
  <r>
    <s v="D12"/>
    <s v="small capping enzyme"/>
    <s v="AST09308.1"/>
    <s v="mRNA capping enzyme small subuni"/>
    <x v="15"/>
    <n v="1"/>
    <n v="1"/>
    <m/>
  </r>
  <r>
    <s v="D12"/>
    <s v="small capping enzyme"/>
    <s v="AEN03688.1"/>
    <s v="small subunit of mRNA capping enzyme"/>
    <x v="16"/>
    <n v="1"/>
    <n v="1"/>
    <m/>
  </r>
  <r>
    <s v="D12"/>
    <s v="small capping enzyme"/>
    <s v="ABI99253.1"/>
    <s v="MRNA capping enzyme small subuni"/>
    <x v="17"/>
    <n v="0"/>
    <n v="1"/>
    <m/>
  </r>
  <r>
    <s v="D12"/>
    <s v="small capping enzyme"/>
    <s v="ABJ09010.1"/>
    <s v="mRNA capping enzyme small subuni"/>
    <x v="18"/>
    <n v="1"/>
    <n v="1"/>
    <m/>
  </r>
  <r>
    <s v="D12"/>
    <s v="small capping enzyme"/>
    <s v="AAF14975.1"/>
    <s v="m87L"/>
    <x v="19"/>
    <n v="1"/>
    <n v="1"/>
    <m/>
  </r>
  <r>
    <s v="D12"/>
    <s v="small capping enzyme"/>
    <s v="AFU77351.1"/>
    <s v="m87L"/>
    <x v="19"/>
    <n v="1"/>
    <n v="1"/>
    <m/>
  </r>
  <r>
    <s v="D12"/>
    <s v="small capping enzyme"/>
    <s v="AAF17971.1"/>
    <s v="gp087L"/>
    <x v="20"/>
    <n v="1"/>
    <n v="1"/>
    <m/>
  </r>
  <r>
    <s v="D12"/>
    <s v="small capping enzyme"/>
    <s v="AAC55229.1"/>
    <s v="MC101L"/>
    <x v="21"/>
    <n v="0"/>
    <n v="1"/>
    <m/>
  </r>
  <r>
    <s v="D12"/>
    <s v="small capping enzyme"/>
    <s v="AYN64683.1"/>
    <s v="putative D12L protein"/>
    <x v="22"/>
    <n v="1"/>
    <n v="1"/>
    <m/>
  </r>
  <r>
    <s v="D12"/>
    <s v="small capping enzyme"/>
    <s v="AXN74911.1"/>
    <s v="mRNA capping enzyme small subuni"/>
    <x v="23"/>
    <n v="1"/>
    <n v="1"/>
    <m/>
  </r>
  <r>
    <s v="D12"/>
    <s v="small capping enzyme"/>
    <s v="ABH08224.1"/>
    <s v="HSPV118"/>
    <x v="24"/>
    <n v="1"/>
    <n v="1"/>
    <m/>
  </r>
  <r>
    <s v="D12"/>
    <s v="small capping enzyme"/>
    <s v="AAL73822.1"/>
    <s v="mRNA capping enzyme small subuni"/>
    <x v="26"/>
    <n v="0"/>
    <n v="1"/>
    <m/>
  </r>
  <r>
    <s v="D12"/>
    <s v="small capping enzyme"/>
    <s v="AAG37595.1"/>
    <s v="CMP114L"/>
    <x v="25"/>
    <n v="0"/>
    <n v="1"/>
    <m/>
  </r>
  <r>
    <s v="D12"/>
    <s v="small capping enzyme"/>
    <s v="AAM13571.1"/>
    <s v="CPXV129 protein"/>
    <x v="27"/>
    <n v="1"/>
    <n v="1"/>
    <m/>
  </r>
  <r>
    <s v="D12"/>
    <s v="small capping enzyme"/>
    <s v="AAM92405.1"/>
    <s v="EVM101"/>
    <x v="28"/>
    <n v="1"/>
    <n v="1"/>
    <m/>
  </r>
  <r>
    <s v="D12"/>
    <s v="small capping enzyme"/>
    <s v="AFH54664.1"/>
    <s v="small capping enzyme"/>
    <x v="29"/>
    <n v="0"/>
    <n v="1"/>
    <m/>
  </r>
  <r>
    <s v="D12"/>
    <s v="small capping enzyme"/>
    <s v="AAL40567.1"/>
    <s v="E12L"/>
    <x v="30"/>
    <n v="0"/>
    <n v="1"/>
    <m/>
  </r>
  <r>
    <s v="D12"/>
    <s v="small capping enzyme"/>
    <s v="AAX09204.1"/>
    <s v="MPXV-COP-103"/>
    <x v="31"/>
    <n v="0"/>
    <n v="1"/>
    <m/>
  </r>
  <r>
    <s v="D12"/>
    <s v="small capping enzyme"/>
    <s v="AKJ93746.1"/>
    <s v="mRNA capping enzyme protein small subuni"/>
    <x v="32"/>
    <n v="1"/>
    <n v="1"/>
    <m/>
  </r>
  <r>
    <s v="D12"/>
    <s v="small capping enzyme"/>
    <s v="AOP31595.1"/>
    <s v="mRNA capping enzyme small subuni"/>
    <x v="33"/>
    <n v="1"/>
    <n v="1"/>
    <m/>
  </r>
  <r>
    <s v="D12"/>
    <s v="small capping enzyme"/>
    <s v="ABD97685.1"/>
    <s v="small subunit of mRNA capping enzyme"/>
    <x v="34"/>
    <n v="1"/>
    <n v="1"/>
    <m/>
  </r>
  <r>
    <s v="D12"/>
    <s v="small capping enzyme"/>
    <s v="AAO89396.1"/>
    <s v="small subunit of mRNA capping enzyme"/>
    <x v="35"/>
    <n v="0"/>
    <n v="1"/>
    <m/>
  </r>
  <r>
    <s v="D12"/>
    <s v="small capping enzyme"/>
    <s v="CAA49043.1"/>
    <s v="N2L"/>
    <x v="36"/>
    <n v="0"/>
    <n v="1"/>
    <m/>
  </r>
  <r>
    <s v="D12"/>
    <s v="small capping enzyme"/>
    <s v="CAB54702.1"/>
    <s v="O2L protein"/>
    <x v="37"/>
    <n v="1"/>
    <n v="1"/>
    <m/>
  </r>
  <r>
    <s v="D12"/>
    <s v="small capping enzyme"/>
    <s v="AOP31806.1"/>
    <s v="mRNA capping enzyme small subuni"/>
    <x v="38"/>
    <n v="1"/>
    <n v="1"/>
    <m/>
  </r>
  <r>
    <s v="D12"/>
    <s v="small capping enzyme"/>
    <s v="ASC55566.1"/>
    <s v="mRNA capping enzyme small subunit-like protein"/>
    <x v="39"/>
    <n v="1"/>
    <n v="1"/>
    <m/>
  </r>
  <r>
    <s v="D12"/>
    <s v="small capping enzyme"/>
    <s v="AAR98431.1"/>
    <s v="ORF074 mRNA capping enzyme small subuni"/>
    <x v="40"/>
    <n v="1"/>
    <n v="1"/>
    <m/>
  </r>
  <r>
    <s v="D12"/>
    <s v="small capping enzyme"/>
    <s v="AAR98299.1"/>
    <s v="ORF074 mRNA capping enzyme small subuni"/>
    <x v="41"/>
    <n v="1"/>
    <n v="1"/>
    <m/>
  </r>
  <r>
    <s v="D12"/>
    <s v="small capping enzyme"/>
    <s v="ABA00591.1"/>
    <s v="mRNA capping enzyme"/>
    <x v="41"/>
    <n v="1"/>
    <n v="1"/>
    <m/>
  </r>
  <r>
    <s v="D12"/>
    <s v="small capping enzyme"/>
    <s v="AIZ77325.1"/>
    <s v="putative mRNA capping enzyme small subuni"/>
    <x v="42"/>
    <n v="0"/>
    <n v="1"/>
    <m/>
  </r>
  <r>
    <s v="D12"/>
    <s v="small capping enzyme"/>
    <s v="ADC53976.1"/>
    <s v="mRNA capping enzyme"/>
    <x v="43"/>
    <n v="1"/>
    <n v="1"/>
    <m/>
  </r>
  <r>
    <s v="D12"/>
    <s v="small capping enzyme"/>
    <s v="AAL69825.1"/>
    <s v="SPV086 mRNA capping enzyme small subuni"/>
    <x v="44"/>
    <n v="1"/>
    <n v="1"/>
    <m/>
  </r>
  <r>
    <s v="D12"/>
    <s v="small capping enzyme"/>
    <s v="CAC21327.1"/>
    <s v="89L protein"/>
    <x v="45"/>
    <n v="0"/>
    <n v="1"/>
    <m/>
  </r>
  <r>
    <s v="D12"/>
    <s v="small capping enzyme"/>
    <s v="AAR07445.1"/>
    <s v="89L"/>
    <x v="46"/>
    <n v="1"/>
    <n v="1"/>
    <m/>
  </r>
  <r>
    <s v="D12"/>
    <s v="small capping enzyme"/>
    <s v="AAC97664.1"/>
    <s v="ORF MSV124 putative mRNA capping enzyme small subunit homolog (vaccinia D12L), similar to PIR:S42252"/>
    <x v="47"/>
    <n v="0"/>
    <n v="1"/>
    <m/>
  </r>
  <r>
    <s v="D12"/>
    <s v="small capping enzyme"/>
    <s v="BAO49409.1"/>
    <s v="putative mRNA capping enzyme small subuni"/>
    <x v="48"/>
    <n v="1"/>
    <n v="1"/>
    <m/>
  </r>
  <r>
    <s v="D12"/>
    <s v="small capping enzyme"/>
    <s v="CCU55411.1"/>
    <s v="mRNA capping enzyme small subuni"/>
    <x v="49"/>
    <n v="0"/>
    <n v="1"/>
    <m/>
  </r>
  <r>
    <s v="D12"/>
    <s v="small capping enzyme"/>
    <s v="AAG02799.1"/>
    <s v="AMV093"/>
    <x v="50"/>
    <n v="1"/>
    <n v="1"/>
    <m/>
  </r>
  <r>
    <s v="D12"/>
    <s v="small capping enzyme"/>
    <s v="CCU55717.1"/>
    <s v="mRNA capping enzyme small subuni"/>
    <x v="51"/>
    <n v="1"/>
    <n v="1"/>
    <m/>
  </r>
  <r>
    <s v="D12"/>
    <s v="small capping enzyme"/>
    <s v="CCU56019.1"/>
    <s v="mRNA capping enzyme small subuni"/>
    <x v="52"/>
    <n v="0"/>
    <n v="1"/>
    <m/>
  </r>
  <r>
    <s v="D12"/>
    <s v="small capping enzyme"/>
    <s v="CCU56313.1"/>
    <s v="mRNA capping enzyme small subuni"/>
    <x v="53"/>
    <n v="0"/>
    <n v="1"/>
    <m/>
  </r>
  <r>
    <s v="D5"/>
    <s v="NTPase"/>
    <s v="ATI21192.1"/>
    <s v="NTPase DNA primase"/>
    <x v="0"/>
    <n v="1"/>
    <n v="1"/>
    <m/>
  </r>
  <r>
    <s v="D5"/>
    <s v="NTPase"/>
    <s v="AWU47126.1"/>
    <s v="NTPase"/>
    <x v="1"/>
    <n v="1"/>
    <n v="1"/>
    <m/>
  </r>
  <r>
    <s v="D5"/>
    <s v="NTPase"/>
    <s v="APG58301.1"/>
    <s v="primase D5"/>
    <x v="2"/>
    <n v="0"/>
    <n v="1"/>
    <m/>
  </r>
  <r>
    <s v="D5"/>
    <s v="NTPase"/>
    <s v="ADT91113.1"/>
    <s v="DNA-independent NTPase"/>
    <x v="3"/>
    <n v="0"/>
    <n v="1"/>
    <m/>
  </r>
  <r>
    <s v="D5"/>
    <s v="NTPase"/>
    <s v="ANS71170.1"/>
    <s v="ntpase, DNA primase"/>
    <x v="4"/>
    <n v="1"/>
    <n v="1"/>
    <m/>
  </r>
  <r>
    <s v="D5"/>
    <s v="NTPase"/>
    <s v="AKR04215.1"/>
    <s v="D5-like helicase-primase"/>
    <x v="5"/>
    <n v="1"/>
    <n v="1"/>
    <m/>
  </r>
  <r>
    <s v="D5"/>
    <s v="NTPase"/>
    <s v="CCD83259.1"/>
    <s v="NTPase"/>
    <x v="6"/>
    <n v="0"/>
    <n v="1"/>
    <m/>
  </r>
  <r>
    <s v="D5"/>
    <s v="NTPase"/>
    <s v="ASK51288.1"/>
    <s v="NTPase, DNA primase"/>
    <x v="7"/>
    <n v="1"/>
    <n v="1"/>
    <m/>
  </r>
  <r>
    <s v="D5"/>
    <s v="NTPase"/>
    <s v="AUD40160.1"/>
    <s v="NTPase"/>
    <x v="8"/>
    <n v="0"/>
    <n v="1"/>
    <m/>
  </r>
  <r>
    <s v="D5"/>
    <s v="NTPase"/>
    <s v="AID46800.1"/>
    <s v="NTPase"/>
    <x v="9"/>
    <n v="1"/>
    <n v="1"/>
    <m/>
  </r>
  <r>
    <s v="D5"/>
    <s v="NTPase"/>
    <s v="AID46571.1"/>
    <s v="NTPase"/>
    <x v="10"/>
    <n v="1"/>
    <n v="1"/>
    <m/>
  </r>
  <r>
    <s v="D5"/>
    <s v="NTPase"/>
    <s v="ALA62409.1"/>
    <s v="DNA replication NTPase"/>
    <x v="11"/>
    <n v="1"/>
    <n v="1"/>
    <m/>
  </r>
  <r>
    <s v="D5"/>
    <s v="NTPase"/>
    <s v="AAR83428.1"/>
    <s v="CNPV082 NTPase, DNA replication"/>
    <x v="12"/>
    <n v="1"/>
    <n v="1"/>
    <m/>
  </r>
  <r>
    <s v="D5"/>
    <s v="NTPase"/>
    <s v="AAF44402.1"/>
    <s v="ORF FPV058 NTPase, DNA replication"/>
    <x v="13"/>
    <n v="1"/>
    <n v="1"/>
    <m/>
  </r>
  <r>
    <s v="D5"/>
    <s v="NTPase"/>
    <s v="AAK85044.1"/>
    <s v="LSDV083 putative NTPase"/>
    <x v="14"/>
    <n v="0"/>
    <n v="1"/>
    <m/>
  </r>
  <r>
    <s v="D5"/>
    <s v="NTPase"/>
    <s v="AST09301.1"/>
    <s v="NTPase"/>
    <x v="15"/>
    <n v="1"/>
    <n v="1"/>
    <m/>
  </r>
  <r>
    <s v="D5"/>
    <s v="NTPase"/>
    <s v="AEN03679.1"/>
    <s v="NTPase"/>
    <x v="16"/>
    <n v="1"/>
    <n v="1"/>
    <m/>
  </r>
  <r>
    <s v="D5"/>
    <s v="NTPase"/>
    <s v="ABI99247.1"/>
    <s v="NTPase"/>
    <x v="17"/>
    <n v="0"/>
    <n v="1"/>
    <m/>
  </r>
  <r>
    <s v="D5"/>
    <s v="NTPase"/>
    <s v="ABJ09004.1"/>
    <s v="NTPase"/>
    <x v="18"/>
    <n v="1"/>
    <n v="1"/>
    <m/>
  </r>
  <r>
    <s v="D5"/>
    <s v="NTPase"/>
    <s v="AAF14968.1"/>
    <s v="m80R"/>
    <x v="19"/>
    <n v="1"/>
    <n v="1"/>
    <m/>
  </r>
  <r>
    <s v="D5"/>
    <s v="NTPase"/>
    <s v="AFU77344.1"/>
    <s v="m80R"/>
    <x v="19"/>
    <n v="1"/>
    <n v="1"/>
    <m/>
  </r>
  <r>
    <s v="D5"/>
    <s v="NTPase"/>
    <s v="AAF17964.1"/>
    <s v="gp080R"/>
    <x v="20"/>
    <n v="1"/>
    <n v="1"/>
    <m/>
  </r>
  <r>
    <s v="D5"/>
    <s v="NTPase"/>
    <s v="AAC55222.1"/>
    <s v="MC094R"/>
    <x v="21"/>
    <n v="0"/>
    <n v="1"/>
    <m/>
  </r>
  <r>
    <s v="D5"/>
    <s v="NTPase"/>
    <s v="AYN64676.1"/>
    <s v="putative D5R protein"/>
    <x v="22"/>
    <n v="1"/>
    <n v="1"/>
    <m/>
  </r>
  <r>
    <s v="D5"/>
    <s v="NTPase"/>
    <s v="AXN74904.1"/>
    <s v="NTPase"/>
    <x v="23"/>
    <n v="1"/>
    <n v="1"/>
    <m/>
  </r>
  <r>
    <s v="D5"/>
    <s v="NTPase"/>
    <s v="ABH08217.1"/>
    <s v="HSPV111"/>
    <x v="24"/>
    <n v="1"/>
    <n v="1"/>
    <m/>
  </r>
  <r>
    <s v="D5"/>
    <s v="NTPase"/>
    <s v="AAG37582.1"/>
    <s v="CMP107R"/>
    <x v="25"/>
    <n v="0"/>
    <n v="1"/>
    <m/>
  </r>
  <r>
    <s v="D5"/>
    <s v="NTPase"/>
    <s v="AAL73815.1"/>
    <s v="putative NTPase"/>
    <x v="26"/>
    <n v="0"/>
    <n v="1"/>
    <m/>
  </r>
  <r>
    <s v="D5"/>
    <s v="NTPase"/>
    <s v="AAM13564.1"/>
    <s v="CPXV122 protein"/>
    <x v="27"/>
    <n v="1"/>
    <n v="1"/>
    <m/>
  </r>
  <r>
    <s v="D5"/>
    <s v="NTPase"/>
    <s v="AAM92398.1"/>
    <s v="EVM094"/>
    <x v="28"/>
    <n v="1"/>
    <n v="1"/>
    <m/>
  </r>
  <r>
    <s v="D5"/>
    <s v="NTPase"/>
    <s v="AFH54657.1"/>
    <s v="ntpase and DNA replication protein"/>
    <x v="29"/>
    <n v="0"/>
    <n v="1"/>
    <m/>
  </r>
  <r>
    <s v="D5"/>
    <s v="NTPase"/>
    <s v="AAL40560.1"/>
    <s v="E5R"/>
    <x v="30"/>
    <n v="0"/>
    <n v="1"/>
    <m/>
  </r>
  <r>
    <s v="D5"/>
    <s v="NTPase"/>
    <s v="AAX09197.1"/>
    <s v="MPXV-COP-096"/>
    <x v="31"/>
    <n v="0"/>
    <n v="1"/>
    <m/>
  </r>
  <r>
    <s v="D5"/>
    <s v="NTPase"/>
    <s v="AKJ93739.1"/>
    <s v="NTPase"/>
    <x v="32"/>
    <n v="1"/>
    <n v="1"/>
    <m/>
  </r>
  <r>
    <s v="D5"/>
    <s v="NTPase"/>
    <s v="AOP31588.1"/>
    <s v="NTPase"/>
    <x v="33"/>
    <n v="1"/>
    <n v="1"/>
    <m/>
  </r>
  <r>
    <s v="D5"/>
    <s v="NTPase"/>
    <s v="ABD97678.1"/>
    <s v="NTPase"/>
    <x v="34"/>
    <n v="1"/>
    <n v="1"/>
    <m/>
  </r>
  <r>
    <s v="D5"/>
    <s v="NTPase"/>
    <s v="AAO89389.1"/>
    <s v="NTPase interacts with A20R"/>
    <x v="35"/>
    <n v="0"/>
    <n v="1"/>
    <m/>
  </r>
  <r>
    <s v="D5"/>
    <s v="NTPase"/>
    <s v="CAA49036.1"/>
    <s v="F5R"/>
    <x v="36"/>
    <n v="0"/>
    <n v="1"/>
    <m/>
  </r>
  <r>
    <s v="D5"/>
    <s v="NTPase"/>
    <s v="CAB54695.1"/>
    <s v="F5R protein"/>
    <x v="37"/>
    <n v="1"/>
    <n v="1"/>
    <m/>
  </r>
  <r>
    <s v="D5"/>
    <s v="NTPase"/>
    <s v="AOP31799.1"/>
    <s v="NTPase"/>
    <x v="38"/>
    <n v="1"/>
    <n v="1"/>
    <m/>
  </r>
  <r>
    <s v="D5"/>
    <s v="NTPase"/>
    <s v="ASC55572.1"/>
    <s v="putative NTPase-like protein"/>
    <x v="39"/>
    <n v="1"/>
    <n v="1"/>
    <m/>
  </r>
  <r>
    <s v="D5"/>
    <s v="NTPase"/>
    <s v="AAR98425.1"/>
    <s v="ORF068 NTPase"/>
    <x v="40"/>
    <n v="1"/>
    <n v="1"/>
    <m/>
  </r>
  <r>
    <s v="D5"/>
    <s v="NTPase"/>
    <s v="AAR98293.1"/>
    <s v="ORF068 NTPase"/>
    <x v="41"/>
    <n v="1"/>
    <n v="1"/>
    <m/>
  </r>
  <r>
    <s v="D5"/>
    <s v="NTPase"/>
    <s v="ABA00585.1"/>
    <s v="NTPase"/>
    <x v="41"/>
    <n v="1"/>
    <n v="1"/>
    <m/>
  </r>
  <r>
    <s v="D5"/>
    <s v="NTPase"/>
    <s v="AIZ77319.1"/>
    <s v="putative NTPase"/>
    <x v="42"/>
    <n v="0"/>
    <n v="1"/>
    <m/>
  </r>
  <r>
    <s v="D5"/>
    <s v="NTPase"/>
    <s v="ADC53969.1"/>
    <s v="NTPase"/>
    <x v="43"/>
    <n v="1"/>
    <n v="1"/>
    <m/>
  </r>
  <r>
    <s v="D5"/>
    <s v="NTPase"/>
    <s v="AAL69819.1"/>
    <s v="SPV080 putative NTPase"/>
    <x v="44"/>
    <n v="1"/>
    <n v="1"/>
    <m/>
  </r>
  <r>
    <s v="D5"/>
    <s v="NTPase"/>
    <s v="CAC21321.1"/>
    <s v="83R protein"/>
    <x v="45"/>
    <n v="0"/>
    <n v="1"/>
    <m/>
  </r>
  <r>
    <s v="D5"/>
    <s v="NTPase"/>
    <s v="AAR07439.1"/>
    <s v="83R"/>
    <x v="46"/>
    <n v="1"/>
    <n v="1"/>
    <m/>
  </r>
  <r>
    <s v="D5"/>
    <s v="NTPase"/>
    <s v="AAC97809.1"/>
    <s v="ORF MSV089 Putative NTPase, Rabbit fibroma virus C5 (vaccinia D5R) homolog, similar to PIR:G41700"/>
    <x v="47"/>
    <n v="0"/>
    <n v="1"/>
    <m/>
  </r>
  <r>
    <s v="D5"/>
    <s v="NTPase"/>
    <s v="BAO49524.1"/>
    <s v="putative NTPase"/>
    <x v="48"/>
    <n v="1"/>
    <n v="1"/>
    <m/>
  </r>
  <r>
    <s v="D5"/>
    <s v="NTPase"/>
    <s v="CCU55406.1"/>
    <s v="NTPase, DNA primase"/>
    <x v="49"/>
    <n v="0"/>
    <n v="1"/>
    <m/>
  </r>
  <r>
    <s v="D5"/>
    <s v="NTPase"/>
    <s v="AAG02793.1"/>
    <s v="AMV087"/>
    <x v="50"/>
    <n v="1"/>
    <n v="1"/>
    <m/>
  </r>
  <r>
    <s v="D5"/>
    <s v="NTPase"/>
    <s v="CCU55712.1"/>
    <s v="NTPase, DNA primase"/>
    <x v="51"/>
    <n v="1"/>
    <n v="1"/>
    <m/>
  </r>
  <r>
    <s v="D5"/>
    <s v="NTPase"/>
    <s v="CCU56014.1"/>
    <s v="NTPase, DNA primase"/>
    <x v="52"/>
    <n v="0"/>
    <n v="1"/>
    <m/>
  </r>
  <r>
    <s v="D5"/>
    <s v="NTPase"/>
    <s v="CCU56308.1"/>
    <s v="NTPase, DNA primase"/>
    <x v="53"/>
    <n v="0"/>
    <n v="1"/>
    <m/>
  </r>
  <r>
    <s v="D5"/>
    <s v="NTPase"/>
    <s v="NP_659655.1"/>
    <s v="NTPase; DNA replication"/>
    <x v="54"/>
    <n v="1"/>
    <n v="1"/>
    <m/>
  </r>
  <r>
    <s v="D5"/>
    <s v="NTPase"/>
    <s v="YP_001293274.1"/>
    <s v="hypothetical protein GTPV_gp079"/>
    <x v="55"/>
    <n v="0"/>
    <n v="1"/>
    <m/>
  </r>
  <r>
    <s v="D6"/>
    <s v="VETF-S"/>
    <s v="ATI21193.1"/>
    <s v="morphogenesis VETF-s"/>
    <x v="0"/>
    <n v="1"/>
    <n v="1"/>
    <m/>
  </r>
  <r>
    <s v="D6"/>
    <s v="VETF-S"/>
    <s v="AWU47127.1"/>
    <s v="VETF-small subuni"/>
    <x v="1"/>
    <n v="1"/>
    <n v="1"/>
    <m/>
  </r>
  <r>
    <s v="D6"/>
    <s v="VETF-S"/>
    <s v="APG58302.1"/>
    <s v="early transcription factor 70 kDa subuni"/>
    <x v="2"/>
    <n v="0"/>
    <n v="1"/>
    <m/>
  </r>
  <r>
    <s v="D6"/>
    <s v="VETF-S"/>
    <s v="ADT91114.1"/>
    <s v="viral early transcription factor small subuni"/>
    <x v="3"/>
    <n v="0"/>
    <n v="1"/>
    <m/>
  </r>
  <r>
    <s v="D6"/>
    <s v="VETF-S"/>
    <s v="ANS71171.1"/>
    <s v="small subunit viral early transcription factor"/>
    <x v="4"/>
    <n v="1"/>
    <n v="1"/>
    <m/>
  </r>
  <r>
    <s v="D6"/>
    <s v="VETF-S"/>
    <s v="AKR04214.1"/>
    <s v="DEAD/SNF2-like helicase"/>
    <x v="5"/>
    <n v="1"/>
    <n v="1"/>
    <m/>
  </r>
  <r>
    <s v="D6"/>
    <s v="VETF-S"/>
    <s v="CCD83260.1"/>
    <s v="early transcription factor"/>
    <x v="6"/>
    <n v="0"/>
    <n v="1"/>
    <m/>
  </r>
  <r>
    <s v="D6"/>
    <s v="VETF-S"/>
    <s v="ASK51289.1"/>
    <s v="Early transcription factor small subunit (VETF-s)"/>
    <x v="7"/>
    <n v="1"/>
    <n v="1"/>
    <m/>
  </r>
  <r>
    <s v="D6"/>
    <s v="VETF-S"/>
    <s v="AUD40159.1"/>
    <s v="early transcription factor small subuni"/>
    <x v="8"/>
    <n v="0"/>
    <n v="1"/>
    <m/>
  </r>
  <r>
    <s v="D6"/>
    <s v="VETF-S"/>
    <s v="AID46799.1"/>
    <s v="early transcription factor VETF"/>
    <x v="9"/>
    <n v="1"/>
    <n v="1"/>
    <m/>
  </r>
  <r>
    <s v="D6"/>
    <s v="VETF-S"/>
    <s v="AID46570.1"/>
    <s v="early transcription factor VETF"/>
    <x v="10"/>
    <n v="1"/>
    <n v="1"/>
    <m/>
  </r>
  <r>
    <s v="D6"/>
    <s v="VETF-S"/>
    <s v="ALA62408.1"/>
    <s v="early transcription factor VETF-S"/>
    <x v="11"/>
    <n v="1"/>
    <n v="1"/>
    <m/>
  </r>
  <r>
    <s v="D6"/>
    <s v="VETF-S"/>
    <s v="AAR83426.1"/>
    <s v="CNPV080 early transcription factor small subunit VETFS"/>
    <x v="12"/>
    <n v="1"/>
    <n v="1"/>
    <m/>
  </r>
  <r>
    <s v="D6"/>
    <s v="VETF-S"/>
    <s v="AAF44401.1"/>
    <s v="ORF FPV057 Early transcription factor small subuni"/>
    <x v="13"/>
    <n v="1"/>
    <n v="1"/>
    <m/>
  </r>
  <r>
    <s v="D6"/>
    <s v="VETF-S"/>
    <s v="AAK85045.1"/>
    <s v="LSDV084 putative early transcription factor small subuni"/>
    <x v="14"/>
    <n v="0"/>
    <n v="1"/>
    <m/>
  </r>
  <r>
    <s v="D6"/>
    <s v="VETF-S"/>
    <s v="AST09302.1"/>
    <s v="early gene transcription factor"/>
    <x v="15"/>
    <n v="1"/>
    <n v="1"/>
    <m/>
  </r>
  <r>
    <s v="D6"/>
    <s v="VETF-S"/>
    <s v="AEN03681.1"/>
    <s v="early gene transcription factor"/>
    <x v="16"/>
    <n v="1"/>
    <n v="1"/>
    <m/>
  </r>
  <r>
    <s v="D6"/>
    <s v="VETF-S"/>
    <s v="ABI99248.1"/>
    <s v="early transcription factor VETFs"/>
    <x v="17"/>
    <n v="0"/>
    <n v="1"/>
    <m/>
  </r>
  <r>
    <s v="D6"/>
    <s v="VETF-S"/>
    <s v="ABJ09005.1"/>
    <s v="early transcription factor small subuni"/>
    <x v="18"/>
    <n v="1"/>
    <n v="1"/>
    <m/>
  </r>
  <r>
    <s v="D6"/>
    <s v="VETF-S"/>
    <s v="AAF14969.1"/>
    <s v="m81R"/>
    <x v="19"/>
    <n v="1"/>
    <n v="1"/>
    <m/>
  </r>
  <r>
    <s v="D6"/>
    <s v="VETF-S"/>
    <s v="AFU77345.1"/>
    <s v="m81R"/>
    <x v="19"/>
    <n v="1"/>
    <n v="1"/>
    <m/>
  </r>
  <r>
    <s v="D6"/>
    <s v="VETF-S"/>
    <s v="AAF17965.1"/>
    <s v="gp081R"/>
    <x v="20"/>
    <n v="1"/>
    <n v="1"/>
    <m/>
  </r>
  <r>
    <s v="D6"/>
    <s v="VETF-S"/>
    <s v="AAC55223.1"/>
    <s v="MC095R"/>
    <x v="21"/>
    <n v="0"/>
    <n v="1"/>
    <m/>
  </r>
  <r>
    <s v="D6"/>
    <s v="VETF-S"/>
    <s v="AYN64677.1"/>
    <s v="putative D6R protein"/>
    <x v="22"/>
    <n v="1"/>
    <n v="1"/>
    <m/>
  </r>
  <r>
    <s v="D6"/>
    <s v="VETF-S"/>
    <s v="AXN74905.1"/>
    <s v="early transcription factor"/>
    <x v="23"/>
    <n v="1"/>
    <n v="1"/>
    <m/>
  </r>
  <r>
    <s v="D6"/>
    <s v="VETF-S"/>
    <s v="ABH08218.1"/>
    <s v="HSPV112"/>
    <x v="24"/>
    <n v="1"/>
    <n v="1"/>
    <m/>
  </r>
  <r>
    <s v="D6"/>
    <s v="VETF-S"/>
    <s v="AAG37586.1"/>
    <s v="CMP108R"/>
    <x v="25"/>
    <n v="0"/>
    <n v="1"/>
    <m/>
  </r>
  <r>
    <s v="D6"/>
    <s v="VETF-S"/>
    <s v="AAL73816.1"/>
    <s v="putative early transcription factor VETFS"/>
    <x v="26"/>
    <n v="0"/>
    <n v="1"/>
    <m/>
  </r>
  <r>
    <s v="D6"/>
    <s v="VETF-S"/>
    <s v="AAM13565.1"/>
    <s v="CPXV123 protein"/>
    <x v="27"/>
    <n v="1"/>
    <n v="1"/>
    <m/>
  </r>
  <r>
    <s v="D6"/>
    <s v="VETF-S"/>
    <s v="AAM92399.1"/>
    <s v="EVM095"/>
    <x v="28"/>
    <n v="1"/>
    <n v="1"/>
    <m/>
  </r>
  <r>
    <s v="D6"/>
    <s v="VETF-S"/>
    <s v="AFH54658.1"/>
    <s v="viral early transcription factor small subuni"/>
    <x v="29"/>
    <n v="0"/>
    <n v="1"/>
    <m/>
  </r>
  <r>
    <s v="D6"/>
    <s v="VETF-S"/>
    <s v="AAL40561.1"/>
    <s v="E6R"/>
    <x v="30"/>
    <n v="0"/>
    <n v="1"/>
    <m/>
  </r>
  <r>
    <s v="D6"/>
    <s v="VETF-S"/>
    <s v="AAX09198.1"/>
    <s v="MPXV-COP-097"/>
    <x v="31"/>
    <n v="0"/>
    <n v="1"/>
    <m/>
  </r>
  <r>
    <s v="D6"/>
    <s v="VETF-S"/>
    <s v="AKJ93740.1"/>
    <s v="VETF"/>
    <x v="32"/>
    <n v="1"/>
    <n v="1"/>
    <m/>
  </r>
  <r>
    <s v="D6"/>
    <s v="VETF-S"/>
    <s v="AOP31589.1"/>
    <s v="morph"/>
    <x v="33"/>
    <n v="1"/>
    <n v="1"/>
    <m/>
  </r>
  <r>
    <s v="D6"/>
    <s v="VETF-S"/>
    <s v="ABD97679.1"/>
    <s v="70kDa small subunit of early transcription initiation factor VETF"/>
    <x v="34"/>
    <n v="1"/>
    <n v="1"/>
    <m/>
  </r>
  <r>
    <s v="D6"/>
    <s v="VETF-S"/>
    <s v="AAO89390.1"/>
    <s v="70kDa small subunit of early gene transcription factor VETF"/>
    <x v="35"/>
    <n v="0"/>
    <n v="1"/>
    <m/>
  </r>
  <r>
    <s v="D6"/>
    <s v="VETF-S"/>
    <s v="CAA49037.1"/>
    <s v="F6R"/>
    <x v="36"/>
    <n v="0"/>
    <n v="1"/>
    <m/>
  </r>
  <r>
    <s v="D6"/>
    <s v="VETF-S"/>
    <s v="CAB54696.1"/>
    <s v="F6R protein"/>
    <x v="37"/>
    <n v="1"/>
    <n v="1"/>
    <m/>
  </r>
  <r>
    <s v="D6"/>
    <s v="VETF-S"/>
    <s v="AOP31800.1"/>
    <s v="morph"/>
    <x v="38"/>
    <n v="1"/>
    <n v="1"/>
    <m/>
  </r>
  <r>
    <s v="D6"/>
    <s v="VETF-S"/>
    <s v="ASC55571.1"/>
    <s v="putative early transcription factor VETF-like protein"/>
    <x v="39"/>
    <n v="1"/>
    <n v="1"/>
    <m/>
  </r>
  <r>
    <s v="D6"/>
    <s v="VETF-S"/>
    <s v="AAR98426.1"/>
    <s v="ORF069 early transcription factor VETFs"/>
    <x v="40"/>
    <n v="1"/>
    <n v="1"/>
    <m/>
  </r>
  <r>
    <s v="D6"/>
    <s v="VETF-S"/>
    <s v="AAR98294.1"/>
    <s v="ORF069 early transcription factor VETFs"/>
    <x v="41"/>
    <n v="1"/>
    <n v="1"/>
    <m/>
  </r>
  <r>
    <s v="D6"/>
    <s v="VETF-S"/>
    <s v="ABA00586.1"/>
    <s v="early transcription factor"/>
    <x v="41"/>
    <n v="1"/>
    <n v="1"/>
    <m/>
  </r>
  <r>
    <s v="D6"/>
    <s v="VETF-S"/>
    <s v="AIZ77320.1"/>
    <s v="putative early transcription factor VETF"/>
    <x v="42"/>
    <n v="0"/>
    <n v="1"/>
    <m/>
  </r>
  <r>
    <s v="D6"/>
    <s v="VETF-S"/>
    <s v="ADC53970.1"/>
    <s v="early transcription factor"/>
    <x v="43"/>
    <n v="1"/>
    <n v="1"/>
    <m/>
  </r>
  <r>
    <s v="D6"/>
    <s v="VETF-S"/>
    <s v="AAL69820.1"/>
    <s v="SPV081 putative early transcription factor VETFS"/>
    <x v="44"/>
    <n v="1"/>
    <n v="1"/>
    <m/>
  </r>
  <r>
    <s v="D6"/>
    <s v="VETF-S"/>
    <s v="CAC21322.1"/>
    <s v="84R protein"/>
    <x v="45"/>
    <n v="0"/>
    <n v="1"/>
    <m/>
  </r>
  <r>
    <s v="D6"/>
    <s v="VETF-S"/>
    <s v="AAR07440.1"/>
    <s v="84R"/>
    <x v="46"/>
    <n v="1"/>
    <n v="1"/>
    <m/>
  </r>
  <r>
    <s v="D6"/>
    <s v="VETF-S"/>
    <s v="AAC97658.1"/>
    <s v="ORF MSV113 putative early transcription factor small subunit VETF-S homolog (vaccinia D6R), similar to SW:P04308"/>
    <x v="47"/>
    <n v="0"/>
    <n v="1"/>
    <m/>
  </r>
  <r>
    <s v="D6"/>
    <s v="VETF-S"/>
    <s v="BAO49470.1"/>
    <s v="putative early transcription factor small subuni"/>
    <x v="48"/>
    <n v="1"/>
    <n v="1"/>
    <m/>
  </r>
  <r>
    <s v="D6"/>
    <s v="VETF-S"/>
    <s v="CCU55480.1"/>
    <s v="morph, VETF-s early transcription factor small"/>
    <x v="49"/>
    <n v="0"/>
    <n v="1"/>
    <m/>
  </r>
  <r>
    <s v="D6"/>
    <s v="VETF-S"/>
    <s v="AAG02880.1"/>
    <s v="AMV174"/>
    <x v="50"/>
    <n v="1"/>
    <n v="1"/>
    <m/>
  </r>
  <r>
    <s v="D6"/>
    <s v="VETF-S"/>
    <s v="CCU55785.1"/>
    <s v="morph, VETF-s early transcription factor small"/>
    <x v="51"/>
    <n v="1"/>
    <n v="1"/>
    <m/>
  </r>
  <r>
    <s v="D6"/>
    <s v="VETF-S"/>
    <s v="CCU56087.1"/>
    <s v="morph, VETF-s early transcription factor small"/>
    <x v="52"/>
    <n v="0"/>
    <n v="1"/>
    <m/>
  </r>
  <r>
    <s v="D6"/>
    <s v="VETF-S"/>
    <s v="CCU56412.1"/>
    <s v="morph, VETF-s early transcription factor small"/>
    <x v="53"/>
    <n v="0"/>
    <n v="1"/>
    <m/>
  </r>
  <r>
    <s v="D6"/>
    <s v="VETF-S"/>
    <s v="NP_659656.1"/>
    <s v="Early transcription factor VETFs"/>
    <x v="54"/>
    <n v="1"/>
    <n v="1"/>
    <m/>
  </r>
  <r>
    <s v="D6"/>
    <s v="VETF-S"/>
    <s v="YP_001293275.1"/>
    <s v="hypothetical protein GTPV_gp080"/>
    <x v="55"/>
    <n v="0"/>
    <n v="1"/>
    <m/>
  </r>
  <r>
    <s v="E1"/>
    <s v="polyA polymerase large"/>
    <s v="ATI21138.1"/>
    <s v="polymerase catalytic subunit VP55"/>
    <x v="0"/>
    <n v="1"/>
    <n v="1"/>
    <m/>
  </r>
  <r>
    <s v="E1"/>
    <s v="polyA polymerase large"/>
    <s v="AWU47070.1"/>
    <s v="poly polymerase catalytic subuni"/>
    <x v="1"/>
    <n v="1"/>
    <n v="1"/>
    <m/>
  </r>
  <r>
    <s v="E1"/>
    <s v="polyA polymerase large"/>
    <s v="APG58240.1"/>
    <s v="polyA polymerase catalytic subuni"/>
    <x v="2"/>
    <n v="0"/>
    <n v="1"/>
    <m/>
  </r>
  <r>
    <s v="E1"/>
    <s v="polyA polymerase large"/>
    <s v="ADT91067.1"/>
    <s v="polyA polymerase large subuni"/>
    <x v="3"/>
    <n v="0"/>
    <n v="1"/>
    <m/>
  </r>
  <r>
    <s v="E1"/>
    <s v="polyA polymerase large"/>
    <s v="ANS71113.1"/>
    <s v="poly(a) polymerase catalytic subuni"/>
    <x v="4"/>
    <n v="1"/>
    <n v="1"/>
    <m/>
  </r>
  <r>
    <s v="E1"/>
    <s v="polyA polymerase large"/>
    <s v="AKR04194.1"/>
    <s v="poly(A) polymerase catalytic subuni"/>
    <x v="5"/>
    <n v="1"/>
    <n v="1"/>
    <m/>
  </r>
  <r>
    <s v="E1"/>
    <s v="polyA polymerase large"/>
    <s v="CCD83206.1"/>
    <s v="poly(A) polymerase catalytic subuni"/>
    <x v="6"/>
    <n v="0"/>
    <n v="1"/>
    <m/>
  </r>
  <r>
    <s v="E1"/>
    <s v="polyA polymerase large"/>
    <s v="ASK51236.1"/>
    <s v="Poly (A) polymerase catalytic subuni"/>
    <x v="7"/>
    <n v="1"/>
    <n v="1"/>
    <m/>
  </r>
  <r>
    <s v="E1"/>
    <s v="polyA polymerase large"/>
    <s v="AUD40206.1"/>
    <s v="polyA polymerase large subuni"/>
    <x v="8"/>
    <n v="0"/>
    <n v="1"/>
    <m/>
  </r>
  <r>
    <s v="E1"/>
    <s v="polyA polymerase large"/>
    <s v="AID46841.1"/>
    <s v="polyA polymerase large subunit PAP-L"/>
    <x v="9"/>
    <n v="1"/>
    <n v="1"/>
    <m/>
  </r>
  <r>
    <s v="E1"/>
    <s v="polyA polymerase large"/>
    <s v="AID46612.1"/>
    <s v="polyA polymerase large subunit PAP-L"/>
    <x v="10"/>
    <n v="1"/>
    <n v="1"/>
    <m/>
  </r>
  <r>
    <s v="E1"/>
    <s v="polyA polymerase large"/>
    <s v="ALA62447.1"/>
    <s v="poly(A) polymerase large subunit PAP-L"/>
    <x v="11"/>
    <n v="1"/>
    <n v="1"/>
    <m/>
  </r>
  <r>
    <s v="E1"/>
    <s v="polyA polymerase large"/>
    <s v="AAR83475.1"/>
    <s v="CNPV129 poly(A) polymerase large subunit PAPL"/>
    <x v="12"/>
    <n v="1"/>
    <n v="1"/>
    <m/>
  </r>
  <r>
    <s v="E1"/>
    <s v="polyA polymerase large"/>
    <s v="AAF44446.1"/>
    <s v="ORF FPV102 Poly(A) polymerase large subunit, PAP-L"/>
    <x v="13"/>
    <n v="1"/>
    <n v="1"/>
    <m/>
  </r>
  <r>
    <s v="E1"/>
    <s v="polyA polymerase large"/>
    <s v="AAK84993.1"/>
    <s v="LSDV032 poly(A) polymerase large subuni"/>
    <x v="14"/>
    <n v="0"/>
    <n v="1"/>
    <m/>
  </r>
  <r>
    <s v="E1"/>
    <s v="polyA polymerase large"/>
    <s v="AST09248.1"/>
    <s v="VP55"/>
    <x v="15"/>
    <n v="1"/>
    <n v="1"/>
    <m/>
  </r>
  <r>
    <s v="E1"/>
    <s v="polyA polymerase large"/>
    <s v="AEN03624.1"/>
    <s v="VP55"/>
    <x v="16"/>
    <n v="1"/>
    <n v="1"/>
    <m/>
  </r>
  <r>
    <s v="E1"/>
    <s v="polyA polymerase large"/>
    <s v="ABI99196.1"/>
    <s v="poly(A) polymerase large subuni"/>
    <x v="17"/>
    <n v="0"/>
    <n v="1"/>
    <m/>
  </r>
  <r>
    <s v="E1"/>
    <s v="polyA polymerase large"/>
    <s v="ABJ08945.1"/>
    <s v="poly(A) polymerase large subuni"/>
    <x v="18"/>
    <n v="1"/>
    <n v="1"/>
    <m/>
  </r>
  <r>
    <s v="E1"/>
    <s v="polyA polymerase large"/>
    <s v="AAF14915.1"/>
    <s v="m27L"/>
    <x v="19"/>
    <n v="1"/>
    <n v="1"/>
    <m/>
  </r>
  <r>
    <s v="E1"/>
    <s v="polyA polymerase large"/>
    <s v="AFU77292.1"/>
    <s v="m27L"/>
    <x v="19"/>
    <n v="1"/>
    <n v="1"/>
    <m/>
  </r>
  <r>
    <s v="E1"/>
    <s v="polyA polymerase large"/>
    <s v="AAF17910.1"/>
    <s v="gp027L"/>
    <x v="20"/>
    <n v="1"/>
    <n v="1"/>
    <m/>
  </r>
  <r>
    <s v="E1"/>
    <s v="polyA polymerase large"/>
    <s v="AAC55159.1"/>
    <s v="MC031L"/>
    <x v="21"/>
    <n v="0"/>
    <n v="1"/>
    <m/>
  </r>
  <r>
    <s v="E1"/>
    <s v="polyA polymerase large"/>
    <s v="AYN64624.1"/>
    <s v="putative E1L protein"/>
    <x v="22"/>
    <n v="1"/>
    <n v="1"/>
    <m/>
  </r>
  <r>
    <s v="E1"/>
    <s v="polyA polymerase large"/>
    <s v="AXN74848.1"/>
    <s v="poly(A) polymerase large subuni"/>
    <x v="23"/>
    <n v="1"/>
    <n v="1"/>
    <m/>
  </r>
  <r>
    <s v="E1"/>
    <s v="polyA polymerase large"/>
    <s v="ABH08161.1"/>
    <s v="HSPV058"/>
    <x v="24"/>
    <n v="1"/>
    <n v="1"/>
    <m/>
  </r>
  <r>
    <s v="E1"/>
    <s v="polyA polymerase large"/>
    <s v="AAG37515.1"/>
    <s v="CMP53L"/>
    <x v="25"/>
    <n v="0"/>
    <n v="1"/>
    <m/>
  </r>
  <r>
    <s v="E1"/>
    <s v="polyA polymerase large"/>
    <s v="AAL73760.1"/>
    <s v="poly(A) polymerase large subunit PAPL"/>
    <x v="26"/>
    <n v="0"/>
    <n v="1"/>
    <m/>
  </r>
  <r>
    <s v="E1"/>
    <s v="polyA polymerase large"/>
    <s v="AAM13512.1"/>
    <s v="CPXV067 protein"/>
    <x v="27"/>
    <n v="1"/>
    <n v="1"/>
    <m/>
  </r>
  <r>
    <s v="E1"/>
    <s v="polyA polymerase large"/>
    <s v="AAM92345.1"/>
    <s v="EVM041"/>
    <x v="28"/>
    <n v="1"/>
    <n v="1"/>
    <m/>
  </r>
  <r>
    <s v="E1"/>
    <s v="polyA polymerase large"/>
    <s v="AFH54603.1"/>
    <s v="poly(a) polymerase large subuni"/>
    <x v="29"/>
    <n v="0"/>
    <n v="1"/>
    <m/>
  </r>
  <r>
    <s v="E1"/>
    <s v="polyA polymerase large"/>
    <s v="AAL40508.1"/>
    <s v="F1L"/>
    <x v="30"/>
    <n v="0"/>
    <n v="1"/>
    <m/>
  </r>
  <r>
    <s v="E1"/>
    <s v="polyA polymerase large"/>
    <s v="AAX09145.1"/>
    <s v="MPXV-COP-044"/>
    <x v="31"/>
    <n v="0"/>
    <n v="1"/>
    <m/>
  </r>
  <r>
    <s v="E1"/>
    <s v="polyA polymerase large"/>
    <s v="AKJ93685.1"/>
    <s v="Poly-A polymerase catalytic subunit VP55 protein"/>
    <x v="32"/>
    <n v="1"/>
    <n v="1"/>
    <m/>
  </r>
  <r>
    <s v="E1"/>
    <s v="polyA polymerase large"/>
    <s v="AOP31534.1"/>
    <s v="poly polymerase catalytic subuni"/>
    <x v="33"/>
    <n v="1"/>
    <n v="1"/>
    <m/>
  </r>
  <r>
    <s v="E1"/>
    <s v="polyA polymerase large"/>
    <s v="ABD97624.1"/>
    <s v="poly-A polymerase catalytic subunit VP55"/>
    <x v="34"/>
    <n v="1"/>
    <n v="1"/>
    <m/>
  </r>
  <r>
    <s v="E1"/>
    <s v="polyA polymerase large"/>
    <s v="AAO89336.1"/>
    <s v="poly-A polymerase catalytic subunit VP55"/>
    <x v="35"/>
    <n v="0"/>
    <n v="1"/>
    <m/>
  </r>
  <r>
    <s v="E1"/>
    <s v="polyA polymerase large"/>
    <s v="CAA48983.1"/>
    <s v="E1L"/>
    <x v="36"/>
    <n v="0"/>
    <n v="1"/>
    <m/>
  </r>
  <r>
    <s v="E1"/>
    <s v="polyA polymerase large"/>
    <s v="CAB54642.1"/>
    <s v="C1L protein"/>
    <x v="37"/>
    <n v="1"/>
    <n v="1"/>
    <m/>
  </r>
  <r>
    <s v="E1"/>
    <s v="polyA polymerase large"/>
    <s v="AOP31745.1"/>
    <s v="poly polymerase catalytic subuni"/>
    <x v="38"/>
    <n v="1"/>
    <n v="1"/>
    <m/>
  </r>
  <r>
    <s v="E1"/>
    <s v="polyA polymerase large"/>
    <s v="ASC55617.1"/>
    <s v="poly(A) polymerase large subunit-like protein"/>
    <x v="39"/>
    <n v="1"/>
    <n v="1"/>
    <m/>
  </r>
  <r>
    <s v="E1"/>
    <s v="polyA polymerase large"/>
    <s v="AAR98375.1"/>
    <s v="ORF018 poly-A polymerase catalytic subunit PAPL"/>
    <x v="40"/>
    <n v="1"/>
    <n v="1"/>
    <m/>
  </r>
  <r>
    <s v="E1"/>
    <s v="polyA polymerase large"/>
    <s v="AAR98243.1"/>
    <s v="ORF018 poly-A polymerase catalytic subunit PAPL"/>
    <x v="41"/>
    <n v="1"/>
    <n v="1"/>
    <m/>
  </r>
  <r>
    <s v="E1"/>
    <s v="polyA polymerase large"/>
    <s v="ABA00535.1"/>
    <s v="poly-A polymerase catalytic subuni"/>
    <x v="41"/>
    <n v="1"/>
    <n v="1"/>
    <m/>
  </r>
  <r>
    <s v="E1"/>
    <s v="polyA polymerase large"/>
    <s v="AIZ77269.1"/>
    <s v="putative poly-A polymerase catalytic subunit PAPL"/>
    <x v="42"/>
    <n v="0"/>
    <n v="1"/>
    <m/>
  </r>
  <r>
    <s v="E1"/>
    <s v="polyA polymerase large"/>
    <s v="ADC53919.1"/>
    <s v="poly(A)-polymerase subuni"/>
    <x v="43"/>
    <n v="1"/>
    <n v="1"/>
    <m/>
  </r>
  <r>
    <s v="E1"/>
    <s v="polyA polymerase large"/>
    <s v="AAL69769.1"/>
    <s v="SPV030 poly(A) polymerase lage subunit PAPL"/>
    <x v="44"/>
    <n v="1"/>
    <n v="1"/>
    <m/>
  </r>
  <r>
    <s v="E1"/>
    <s v="polyA polymerase large"/>
    <s v="CAC21270.1"/>
    <s v="32L protein"/>
    <x v="45"/>
    <n v="0"/>
    <n v="1"/>
    <m/>
  </r>
  <r>
    <s v="E1"/>
    <s v="polyA polymerase large"/>
    <s v="AAR07389.1"/>
    <s v="32L"/>
    <x v="46"/>
    <n v="1"/>
    <n v="1"/>
    <m/>
  </r>
  <r>
    <s v="E1"/>
    <s v="polyA polymerase large"/>
    <s v="AAC97789.1"/>
    <s v="ORF MSV143 putative poly(A) polymerase large subunit PAP-L homolog (vaccinia E1L), similar to SW:P33809"/>
    <x v="47"/>
    <n v="0"/>
    <n v="1"/>
    <m/>
  </r>
  <r>
    <s v="E1"/>
    <s v="polyA polymerase large"/>
    <s v="BAO49506.1"/>
    <s v="putative poly(A) polymerase large subuni"/>
    <x v="48"/>
    <n v="1"/>
    <n v="1"/>
    <m/>
  </r>
  <r>
    <s v="E1"/>
    <s v="polyA polymerase large"/>
    <s v="CCU55359.1"/>
    <s v="poly(A) polymerase catalytic subunit VP55"/>
    <x v="49"/>
    <n v="0"/>
    <n v="1"/>
    <m/>
  </r>
  <r>
    <s v="E1"/>
    <s v="polyA polymerase large"/>
    <s v="AAG02744.1"/>
    <s v="AMV038"/>
    <x v="50"/>
    <n v="1"/>
    <n v="1"/>
    <m/>
  </r>
  <r>
    <s v="E1"/>
    <s v="polyA polymerase large"/>
    <s v="CCU55653.1"/>
    <s v="poly(A) polymerase catalytic subunit VP55"/>
    <x v="51"/>
    <n v="1"/>
    <n v="1"/>
    <m/>
  </r>
  <r>
    <s v="E1"/>
    <s v="polyA polymerase large"/>
    <s v="CCU55966.1"/>
    <s v="poly(A) polymerase catalytic subunit VP55"/>
    <x v="52"/>
    <n v="0"/>
    <n v="1"/>
    <m/>
  </r>
  <r>
    <s v="E1"/>
    <s v="polyA polymerase large"/>
    <s v="CCU56262.1"/>
    <s v="poly(A) polymerase catalytic subunit VP55"/>
    <x v="53"/>
    <n v="0"/>
    <n v="1"/>
    <m/>
  </r>
  <r>
    <s v="E1"/>
    <s v="polyA polymerase large"/>
    <s v="NP_659604.1"/>
    <s v="Poly(A) polymerase large subuni"/>
    <x v="54"/>
    <n v="1"/>
    <n v="1"/>
    <m/>
  </r>
  <r>
    <s v="E1"/>
    <s v="polyA polymerase large"/>
    <s v="YP_001293223.1"/>
    <s v="hypothetical protein GTPV_gp028"/>
    <x v="55"/>
    <n v="0"/>
    <n v="1"/>
    <m/>
  </r>
  <r>
    <s v="E10"/>
    <s v="sulfhydryl oxidase"/>
    <s v="ATI21146.1"/>
    <s v="sulfhydryl oxidase"/>
    <x v="0"/>
    <n v="1"/>
    <n v="1"/>
    <m/>
  </r>
  <r>
    <s v="E10"/>
    <s v="sulfhydryl oxidase"/>
    <s v="AWU47083.1"/>
    <s v="Sulfhydryl oxidase"/>
    <x v="1"/>
    <n v="1"/>
    <n v="1"/>
    <m/>
  </r>
  <r>
    <s v="E10"/>
    <s v="sulfhydryl oxidase"/>
    <s v="APG58250.1"/>
    <s v="putative FAD-linked sulfhydryl oxidase E10"/>
    <x v="2"/>
    <n v="0"/>
    <n v="1"/>
    <m/>
  </r>
  <r>
    <s v="E10"/>
    <s v="sulfhydryl oxidase"/>
    <s v="ADT91073.1"/>
    <s v="sulfhydryl oxidase"/>
    <x v="3"/>
    <n v="0"/>
    <n v="1"/>
    <m/>
  </r>
  <r>
    <s v="E10"/>
    <s v="sulfhydryl oxidase"/>
    <s v="ANS71127.1"/>
    <s v="sulfhydryl oxidase"/>
    <x v="4"/>
    <n v="1"/>
    <n v="1"/>
    <m/>
  </r>
  <r>
    <s v="E10"/>
    <s v="sulfhydryl oxidase"/>
    <s v="AKR04201.1"/>
    <s v="disulfide (thiol) oxidoreductase"/>
    <x v="5"/>
    <n v="1"/>
    <n v="1"/>
    <m/>
  </r>
  <r>
    <s v="E10"/>
    <s v="sulfhydryl oxidase"/>
    <s v="CCD83216.1"/>
    <s v="putative redox protein"/>
    <x v="6"/>
    <n v="0"/>
    <n v="1"/>
    <m/>
  </r>
  <r>
    <s v="E10"/>
    <s v="sulfhydryl oxidase"/>
    <s v="ASK51243.1"/>
    <s v="Sulfhydryl oxidase (FAD-linked)"/>
    <x v="7"/>
    <n v="1"/>
    <n v="1"/>
    <m/>
  </r>
  <r>
    <s v="E10"/>
    <s v="sulfhydryl oxidase"/>
    <s v="AUD40197.1"/>
    <s v="sulfhydryl oxidase"/>
    <x v="8"/>
    <n v="0"/>
    <n v="1"/>
    <m/>
  </r>
  <r>
    <s v="E10"/>
    <s v="sulfhydryl oxidase"/>
    <s v="AID46832.1"/>
    <s v="sulfhydryl oxidase ERV1"/>
    <x v="9"/>
    <n v="1"/>
    <n v="1"/>
    <m/>
  </r>
  <r>
    <s v="E10"/>
    <s v="sulfhydryl oxidase"/>
    <s v="AID46603.1"/>
    <s v="sulfhydryl oxidase ERV1"/>
    <x v="10"/>
    <n v="1"/>
    <n v="1"/>
    <m/>
  </r>
  <r>
    <s v="E10"/>
    <s v="sulfhydryl oxidase"/>
    <s v="ALA62441.1"/>
    <s v="IMV redox protein"/>
    <x v="11"/>
    <n v="1"/>
    <n v="1"/>
    <m/>
  </r>
  <r>
    <s v="E10"/>
    <s v="sulfhydryl oxidase"/>
    <s v="AAR83466.1"/>
    <s v="CNPV120 putative IMV redox protein, virus assembly"/>
    <x v="12"/>
    <n v="1"/>
    <n v="1"/>
    <m/>
  </r>
  <r>
    <s v="E10"/>
    <s v="sulfhydryl oxidase"/>
    <s v="AAF44437.1"/>
    <s v="ORF FPV093"/>
    <x v="13"/>
    <n v="1"/>
    <n v="1"/>
    <m/>
  </r>
  <r>
    <s v="E10"/>
    <s v="sulfhydryl oxidase"/>
    <s v="AAK85001.1"/>
    <s v="LSDV040 putative redox protein"/>
    <x v="14"/>
    <n v="0"/>
    <n v="1"/>
    <m/>
  </r>
  <r>
    <s v="E10"/>
    <s v="sulfhydryl oxidase"/>
    <s v="AST09256.1"/>
    <s v="sulfhydryl oxidase"/>
    <x v="15"/>
    <n v="1"/>
    <n v="1"/>
    <m/>
  </r>
  <r>
    <s v="E10"/>
    <s v="sulfhydryl oxidase"/>
    <s v="AEN03633.1"/>
    <s v="sulfhydryl oxidase"/>
    <x v="16"/>
    <n v="1"/>
    <n v="1"/>
    <m/>
  </r>
  <r>
    <s v="E10"/>
    <s v="sulfhydryl oxidase"/>
    <s v="ABI99204.1"/>
    <s v="IMV redox protein"/>
    <x v="17"/>
    <n v="0"/>
    <n v="1"/>
    <m/>
  </r>
  <r>
    <s v="E10"/>
    <s v="sulfhydryl oxidase"/>
    <s v="ABJ08951.1"/>
    <s v="IMV redox protein"/>
    <x v="18"/>
    <n v="1"/>
    <n v="1"/>
    <m/>
  </r>
  <r>
    <s v="E10"/>
    <s v="sulfhydryl oxidase"/>
    <s v="AAF14923.1"/>
    <s v="m035R"/>
    <x v="19"/>
    <n v="1"/>
    <n v="1"/>
    <m/>
  </r>
  <r>
    <s v="E10"/>
    <s v="sulfhydryl oxidase"/>
    <s v="AFU77300.1"/>
    <s v="m035R"/>
    <x v="19"/>
    <n v="1"/>
    <n v="1"/>
    <m/>
  </r>
  <r>
    <s v="E10"/>
    <s v="sulfhydryl oxidase"/>
    <s v="AAF17917.1"/>
    <s v="gp035R"/>
    <x v="20"/>
    <n v="1"/>
    <n v="1"/>
    <m/>
  </r>
  <r>
    <s v="E10"/>
    <s v="sulfhydryl oxidase"/>
    <s v="AAC55168.1"/>
    <s v="MC040R"/>
    <x v="21"/>
    <n v="0"/>
    <n v="1"/>
    <m/>
  </r>
  <r>
    <s v="E10"/>
    <s v="sulfhydryl oxidase"/>
    <s v="AYN64633.1"/>
    <s v="putative E10R protein"/>
    <x v="22"/>
    <n v="1"/>
    <n v="1"/>
    <m/>
  </r>
  <r>
    <s v="E10"/>
    <s v="sulfhydryl oxidase"/>
    <s v="AXN74857.1"/>
    <s v="sulfhydryl oxidase"/>
    <x v="23"/>
    <n v="1"/>
    <n v="1"/>
    <m/>
  </r>
  <r>
    <s v="E10"/>
    <s v="sulfhydryl oxidase"/>
    <s v="ABH08170.1"/>
    <s v="HSPV067"/>
    <x v="24"/>
    <n v="1"/>
    <n v="1"/>
    <m/>
  </r>
  <r>
    <s v="E10"/>
    <s v="sulfhydryl oxidase"/>
    <s v="AAG37528.1"/>
    <s v="CMP62R"/>
    <x v="25"/>
    <n v="0"/>
    <n v="1"/>
    <m/>
  </r>
  <r>
    <s v="E10"/>
    <s v="sulfhydryl oxidase"/>
    <s v="AAL73769.1"/>
    <s v="potential redox protein"/>
    <x v="26"/>
    <n v="0"/>
    <n v="1"/>
    <m/>
  </r>
  <r>
    <s v="E10"/>
    <s v="sulfhydryl oxidase"/>
    <s v="AAM13521.1"/>
    <s v="CPXV076 protein"/>
    <x v="27"/>
    <n v="1"/>
    <n v="1"/>
    <m/>
  </r>
  <r>
    <s v="E10"/>
    <s v="sulfhydryl oxidase"/>
    <s v="AAM92354.1"/>
    <s v="EVM050"/>
    <x v="28"/>
    <n v="1"/>
    <n v="1"/>
    <m/>
  </r>
  <r>
    <s v="E10"/>
    <s v="sulfhydryl oxidase"/>
    <s v="AFH54612.1"/>
    <s v="disulfide bond formation pathway protein"/>
    <x v="29"/>
    <n v="0"/>
    <n v="1"/>
    <m/>
  </r>
  <r>
    <s v="E10"/>
    <s v="sulfhydryl oxidase"/>
    <s v="AAL40516.1"/>
    <s v="F9R"/>
    <x v="30"/>
    <n v="0"/>
    <n v="1"/>
    <m/>
  </r>
  <r>
    <s v="E10"/>
    <s v="sulfhydryl oxidase"/>
    <s v="AAX09153.1"/>
    <s v="MPXV-COP-052"/>
    <x v="31"/>
    <n v="0"/>
    <n v="1"/>
    <m/>
  </r>
  <r>
    <s v="E10"/>
    <s v="sulfhydryl oxidase"/>
    <s v="AKJ93694.1"/>
    <s v="Sulfhydryl oxidase (FAD-linked)"/>
    <x v="32"/>
    <n v="1"/>
    <n v="1"/>
    <m/>
  </r>
  <r>
    <s v="E10"/>
    <s v="sulfhydryl oxidase"/>
    <s v="AOP31543.1"/>
    <s v="sulfhydryl oxidase"/>
    <x v="33"/>
    <n v="1"/>
    <n v="1"/>
    <m/>
  </r>
  <r>
    <s v="E10"/>
    <s v="sulfhydryl oxidase"/>
    <s v="ABD97633.1"/>
    <s v="sulfhydryl oxidase"/>
    <x v="34"/>
    <n v="1"/>
    <n v="1"/>
    <m/>
  </r>
  <r>
    <s v="E10"/>
    <s v="sulfhydryl oxidase"/>
    <s v="AAO89345.1"/>
    <s v="sulfhydryl oxidase"/>
    <x v="35"/>
    <n v="0"/>
    <n v="1"/>
    <m/>
  </r>
  <r>
    <s v="E10"/>
    <s v="sulfhydryl oxidase"/>
    <s v="CAA48992.1"/>
    <s v="E10R"/>
    <x v="36"/>
    <n v="0"/>
    <n v="1"/>
    <m/>
  </r>
  <r>
    <s v="E10"/>
    <s v="sulfhydryl oxidase"/>
    <s v="CAB54651.1"/>
    <s v="C10R protein"/>
    <x v="37"/>
    <n v="1"/>
    <n v="1"/>
    <m/>
  </r>
  <r>
    <s v="E10"/>
    <s v="sulfhydryl oxidase"/>
    <s v="AOP31754.1"/>
    <s v="sulfhydryl oxidase"/>
    <x v="38"/>
    <n v="1"/>
    <n v="1"/>
    <m/>
  </r>
  <r>
    <s v="E10"/>
    <s v="sulfhydryl oxidase"/>
    <s v="ASF89964.1"/>
    <s v="sulfhydryl oxidase-like protein"/>
    <x v="39"/>
    <n v="1"/>
    <n v="1"/>
    <m/>
  </r>
  <r>
    <s v="E10"/>
    <s v="sulfhydryl oxidase"/>
    <s v="AAR98383.1"/>
    <s v="ORF026 IMV redox protein"/>
    <x v="40"/>
    <n v="1"/>
    <n v="1"/>
    <m/>
  </r>
  <r>
    <s v="E10"/>
    <s v="sulfhydryl oxidase"/>
    <s v="AAR98251.1"/>
    <s v="ORF026 putative IMV redox protein"/>
    <x v="41"/>
    <n v="1"/>
    <n v="1"/>
    <m/>
  </r>
  <r>
    <s v="E10"/>
    <s v="sulfhydryl oxidase"/>
    <s v="ABA00543.1"/>
    <s v="ERV/ALR-like protein"/>
    <x v="41"/>
    <n v="1"/>
    <n v="1"/>
    <m/>
  </r>
  <r>
    <s v="E10"/>
    <s v="sulfhydryl oxidase"/>
    <s v="AIZ77277.1"/>
    <s v="putative IMV redox protein"/>
    <x v="42"/>
    <n v="0"/>
    <n v="1"/>
    <m/>
  </r>
  <r>
    <s v="E10"/>
    <s v="sulfhydryl oxidase"/>
    <s v="ADC53927.1"/>
    <s v="ERV/ALR-like protein"/>
    <x v="43"/>
    <n v="1"/>
    <n v="1"/>
    <m/>
  </r>
  <r>
    <s v="E10"/>
    <s v="sulfhydryl oxidase"/>
    <s v="AAL69776.1"/>
    <s v="SPV037 potential redox protein"/>
    <x v="44"/>
    <n v="1"/>
    <n v="1"/>
    <m/>
  </r>
  <r>
    <s v="E10"/>
    <s v="sulfhydryl oxidase"/>
    <s v="CAC21278.1"/>
    <s v="40R protein"/>
    <x v="45"/>
    <n v="0"/>
    <n v="1"/>
    <m/>
  </r>
  <r>
    <s v="E10"/>
    <s v="sulfhydryl oxidase"/>
    <s v="AAR07397.1"/>
    <s v="40R"/>
    <x v="46"/>
    <n v="1"/>
    <n v="1"/>
    <m/>
  </r>
  <r>
    <s v="E10"/>
    <s v="sulfhydryl oxidase"/>
    <s v="AAC97808.1"/>
    <s v="ORF MSV093 putative vaccinia E10R homolog, similar to SW:P33821 and yeast ERV1, SW:P27882"/>
    <x v="47"/>
    <n v="0"/>
    <n v="1"/>
    <m/>
  </r>
  <r>
    <s v="E10"/>
    <s v="sulfhydryl oxidase"/>
    <s v="BAO49428.1"/>
    <s v="sulfhydryl oxidase"/>
    <x v="48"/>
    <n v="1"/>
    <n v="1"/>
    <m/>
  </r>
  <r>
    <s v="E10"/>
    <s v="sulfhydryl oxidase"/>
    <s v="CCU55424.1"/>
    <s v="sulfhydryl oxidase FAD-linked (Cop-E10R)"/>
    <x v="49"/>
    <n v="0"/>
    <n v="1"/>
    <m/>
  </r>
  <r>
    <s v="E10"/>
    <s v="sulfhydryl oxidase"/>
    <s v="AAG02820.1"/>
    <s v="AMV114"/>
    <x v="50"/>
    <n v="1"/>
    <n v="1"/>
    <m/>
  </r>
  <r>
    <s v="E10"/>
    <s v="sulfhydryl oxidase"/>
    <s v="CCU55729.1"/>
    <s v="sulfhydryl oxidase FAD-linked (Cop-E10R)"/>
    <x v="51"/>
    <n v="1"/>
    <n v="1"/>
    <m/>
  </r>
  <r>
    <s v="E10"/>
    <s v="sulfhydryl oxidase"/>
    <s v="CCU56031.1"/>
    <s v="sulfhydryl oxidase FAD-linked (Cop-E10R)"/>
    <x v="52"/>
    <n v="0"/>
    <n v="1"/>
    <m/>
  </r>
  <r>
    <s v="E10"/>
    <s v="sulfhydryl oxidase"/>
    <s v="CCU56368.1"/>
    <s v="sulfhydryl oxidase FAD-linked (Cop-E10R)"/>
    <x v="53"/>
    <n v="0"/>
    <n v="1"/>
    <m/>
  </r>
  <r>
    <s v="E10"/>
    <s v="sulfhydryl oxidase"/>
    <s v="NP_659612.1"/>
    <s v="IMV redox protein, virus assembly"/>
    <x v="54"/>
    <n v="1"/>
    <n v="1"/>
    <m/>
  </r>
  <r>
    <s v="E10"/>
    <s v="sulfhydryl oxidase"/>
    <s v="YP_001293231.1"/>
    <s v="hypothetical protein GTPV_gp036"/>
    <x v="55"/>
    <n v="0"/>
    <n v="1"/>
    <m/>
  </r>
  <r>
    <s v="E9"/>
    <s v="DNA-polymerase"/>
    <s v="ATI21145.1"/>
    <s v="DNA polymerase"/>
    <x v="0"/>
    <n v="1"/>
    <n v="1"/>
    <m/>
  </r>
  <r>
    <s v="E9"/>
    <s v="DNA-polymerase"/>
    <s v="AWU47082.1"/>
    <s v="DNA polymerase"/>
    <x v="1"/>
    <n v="1"/>
    <n v="1"/>
    <m/>
  </r>
  <r>
    <s v="E9"/>
    <s v="DNA-polymerase"/>
    <s v="APG58249.1"/>
    <s v="DNA polymerase"/>
    <x v="2"/>
    <n v="0"/>
    <n v="1"/>
    <m/>
  </r>
  <r>
    <s v="E9"/>
    <s v="DNA-polymerase"/>
    <s v="ADT91072.1"/>
    <s v="DNA-dependent DNA polymerase"/>
    <x v="3"/>
    <n v="0"/>
    <n v="1"/>
    <m/>
  </r>
  <r>
    <s v="E9"/>
    <s v="DNA-polymerase"/>
    <s v="ANS71126.1"/>
    <s v="DNA polymerase"/>
    <x v="4"/>
    <n v="1"/>
    <n v="1"/>
    <m/>
  </r>
  <r>
    <s v="E9"/>
    <s v="DNA-polymerase"/>
    <s v="AKR04200.1"/>
    <s v="DNA polymerase elongation subunit family B"/>
    <x v="5"/>
    <n v="1"/>
    <n v="1"/>
    <m/>
  </r>
  <r>
    <s v="E9"/>
    <s v="DNA-polymerase"/>
    <s v="CCD83215.1"/>
    <s v="DNA polymerase"/>
    <x v="6"/>
    <n v="0"/>
    <n v="1"/>
    <m/>
  </r>
  <r>
    <s v="E9"/>
    <s v="DNA-polymerase"/>
    <s v="ASK51242.1"/>
    <s v="DNA polymerase"/>
    <x v="7"/>
    <n v="1"/>
    <n v="1"/>
    <m/>
  </r>
  <r>
    <s v="E9"/>
    <s v="DNA-polymerase"/>
    <s v="AUD40198.1"/>
    <s v="DNA polymerase"/>
    <x v="8"/>
    <n v="0"/>
    <n v="1"/>
    <m/>
  </r>
  <r>
    <s v="E9"/>
    <s v="DNA-polymerase"/>
    <s v="AID46833.1"/>
    <s v="DNA polymerase"/>
    <x v="9"/>
    <n v="1"/>
    <n v="1"/>
    <m/>
  </r>
  <r>
    <s v="E9"/>
    <s v="DNA-polymerase"/>
    <s v="AID46604.1"/>
    <s v="DNA polymerase"/>
    <x v="10"/>
    <n v="1"/>
    <n v="1"/>
    <m/>
  </r>
  <r>
    <s v="E9"/>
    <s v="DNA-polymerase"/>
    <s v="ALA62442.1"/>
    <s v="DNA polymerase"/>
    <x v="11"/>
    <n v="1"/>
    <n v="1"/>
    <m/>
  </r>
  <r>
    <s v="E9"/>
    <s v="DNA-polymerase"/>
    <s v="AAR83467.1"/>
    <s v="CNPV121 DNA polymerase"/>
    <x v="12"/>
    <n v="1"/>
    <n v="1"/>
    <m/>
  </r>
  <r>
    <s v="E9"/>
    <s v="DNA-polymerase"/>
    <s v="AAF44438.1"/>
    <s v="ORF FPV094 DNA polymerase"/>
    <x v="13"/>
    <n v="1"/>
    <n v="1"/>
    <m/>
  </r>
  <r>
    <s v="E9"/>
    <s v="DNA-polymerase"/>
    <s v="AAK85000.1"/>
    <s v="LSDV039 DNA polymerase"/>
    <x v="14"/>
    <n v="0"/>
    <n v="1"/>
    <m/>
  </r>
  <r>
    <s v="E9"/>
    <s v="DNA-polymerase"/>
    <s v="AST09255.1"/>
    <s v="DNA polymerase"/>
    <x v="15"/>
    <n v="1"/>
    <n v="1"/>
    <m/>
  </r>
  <r>
    <s v="E9"/>
    <s v="DNA-polymerase"/>
    <s v="AEN03632.1"/>
    <s v="DNA polymerase"/>
    <x v="16"/>
    <n v="1"/>
    <n v="1"/>
    <m/>
  </r>
  <r>
    <s v="E9"/>
    <s v="DNA-polymerase"/>
    <s v="ABI99203.1"/>
    <s v="DNA polymerase"/>
    <x v="17"/>
    <n v="0"/>
    <n v="1"/>
    <m/>
  </r>
  <r>
    <s v="E9"/>
    <s v="DNA-polymerase"/>
    <s v="ABJ08950.1"/>
    <s v="DNA polymerase"/>
    <x v="18"/>
    <n v="1"/>
    <n v="1"/>
    <m/>
  </r>
  <r>
    <s v="E9"/>
    <s v="DNA-polymerase"/>
    <s v="AAF14922.1"/>
    <s v="m34L"/>
    <x v="19"/>
    <n v="1"/>
    <n v="1"/>
    <m/>
  </r>
  <r>
    <s v="E9"/>
    <s v="DNA-polymerase"/>
    <s v="AFU77299.1"/>
    <s v="m34L"/>
    <x v="19"/>
    <n v="1"/>
    <n v="1"/>
    <m/>
  </r>
  <r>
    <s v="E9"/>
    <s v="DNA-polymerase"/>
    <s v="AAF17916.1"/>
    <s v="gp034L"/>
    <x v="20"/>
    <n v="1"/>
    <n v="1"/>
    <m/>
  </r>
  <r>
    <s v="E9"/>
    <s v="DNA-polymerase"/>
    <s v="AAC55167.1"/>
    <s v="MC039L"/>
    <x v="21"/>
    <n v="0"/>
    <n v="1"/>
    <m/>
  </r>
  <r>
    <s v="E9"/>
    <s v="DNA-polymerase"/>
    <s v="AYN64632.1"/>
    <s v="putative E9L protein"/>
    <x v="22"/>
    <n v="1"/>
    <n v="1"/>
    <m/>
  </r>
  <r>
    <s v="E9"/>
    <s v="DNA-polymerase"/>
    <s v="AXN74856.1"/>
    <s v="DNA polymerase"/>
    <x v="23"/>
    <n v="1"/>
    <n v="1"/>
    <m/>
  </r>
  <r>
    <s v="E9"/>
    <s v="DNA-polymerase"/>
    <s v="ABH08169.1"/>
    <s v="HSPV066"/>
    <x v="24"/>
    <n v="1"/>
    <n v="1"/>
    <m/>
  </r>
  <r>
    <s v="E9"/>
    <s v="DNA-polymerase"/>
    <s v="AAG37526.1"/>
    <s v="CMP61L"/>
    <x v="25"/>
    <n v="0"/>
    <n v="1"/>
    <m/>
  </r>
  <r>
    <s v="E9"/>
    <s v="DNA-polymerase"/>
    <s v="AAL73768.1"/>
    <s v="DNA polymerase"/>
    <x v="26"/>
    <n v="0"/>
    <n v="1"/>
    <m/>
  </r>
  <r>
    <s v="E9"/>
    <s v="DNA-polymerase"/>
    <s v="AAM13520.1"/>
    <s v="CPXV075 protein"/>
    <x v="27"/>
    <n v="1"/>
    <n v="1"/>
    <m/>
  </r>
  <r>
    <s v="E9"/>
    <s v="DNA-polymerase"/>
    <s v="AAM92353.1"/>
    <s v="EVM049"/>
    <x v="28"/>
    <n v="1"/>
    <n v="1"/>
    <m/>
  </r>
  <r>
    <s v="E9"/>
    <s v="DNA-polymerase"/>
    <s v="AFH54611.1"/>
    <s v="DNA polymerase"/>
    <x v="29"/>
    <n v="0"/>
    <n v="1"/>
    <m/>
  </r>
  <r>
    <s v="E9"/>
    <s v="DNA-polymerase"/>
    <s v="AAL40515.1"/>
    <s v="F8L"/>
    <x v="30"/>
    <n v="0"/>
    <n v="1"/>
    <m/>
  </r>
  <r>
    <s v="E9"/>
    <s v="DNA-polymerase"/>
    <s v="AAX09152.1"/>
    <s v="MPXV-COP-051"/>
    <x v="31"/>
    <n v="0"/>
    <n v="1"/>
    <m/>
  </r>
  <r>
    <s v="E9"/>
    <s v="DNA-polymerase"/>
    <s v="AKJ93693.1"/>
    <s v="DNA polymerase"/>
    <x v="32"/>
    <n v="1"/>
    <n v="1"/>
    <m/>
  </r>
  <r>
    <s v="E9"/>
    <s v="DNA-polymerase"/>
    <s v="AOP31542.1"/>
    <s v="DNA polymerase"/>
    <x v="33"/>
    <n v="1"/>
    <n v="1"/>
    <m/>
  </r>
  <r>
    <s v="E9"/>
    <s v="DNA-polymerase"/>
    <s v="ABD97632.1"/>
    <s v="DNA polymerase"/>
    <x v="34"/>
    <n v="1"/>
    <n v="1"/>
    <m/>
  </r>
  <r>
    <s v="E9"/>
    <s v="DNA-polymerase"/>
    <s v="AAO89344.1"/>
    <s v="DNA polymerase"/>
    <x v="35"/>
    <n v="0"/>
    <n v="1"/>
    <m/>
  </r>
  <r>
    <s v="E9"/>
    <s v="DNA-polymerase"/>
    <s v="CAA48991.1"/>
    <s v="E9L"/>
    <x v="36"/>
    <n v="0"/>
    <n v="1"/>
    <m/>
  </r>
  <r>
    <s v="E9"/>
    <s v="DNA-polymerase"/>
    <s v="CAB54650.1"/>
    <s v="C9L protein"/>
    <x v="37"/>
    <n v="1"/>
    <n v="1"/>
    <m/>
  </r>
  <r>
    <s v="E9"/>
    <s v="DNA-polymerase"/>
    <s v="AOP31753.1"/>
    <s v="DNA polymerase"/>
    <x v="38"/>
    <n v="1"/>
    <n v="1"/>
    <m/>
  </r>
  <r>
    <s v="E9"/>
    <s v="DNA-polymerase"/>
    <s v="ASC55610.1"/>
    <s v="putative DNA polymerase-like protein"/>
    <x v="39"/>
    <n v="1"/>
    <n v="1"/>
    <m/>
  </r>
  <r>
    <s v="E9"/>
    <s v="DNA-polymerase"/>
    <s v="AAR98382.1"/>
    <s v="ORF025 DNA polymerase"/>
    <x v="40"/>
    <n v="1"/>
    <n v="1"/>
    <m/>
  </r>
  <r>
    <s v="E9"/>
    <s v="DNA-polymerase"/>
    <s v="AAR98250.1"/>
    <s v="ORF025 DNA polymerase"/>
    <x v="41"/>
    <n v="1"/>
    <n v="1"/>
    <m/>
  </r>
  <r>
    <s v="E9"/>
    <s v="DNA-polymerase"/>
    <s v="ABA00542.1"/>
    <s v="DNA polymerase"/>
    <x v="41"/>
    <n v="1"/>
    <n v="1"/>
    <m/>
  </r>
  <r>
    <s v="E9"/>
    <s v="DNA-polymerase"/>
    <s v="AIZ77276.1"/>
    <s v="putative DNA polymerase"/>
    <x v="42"/>
    <n v="0"/>
    <n v="1"/>
    <m/>
  </r>
  <r>
    <s v="E9"/>
    <s v="DNA-polymerase"/>
    <s v="ADC53926.1"/>
    <s v="DNA-polymerase"/>
    <x v="43"/>
    <n v="1"/>
    <n v="1"/>
    <m/>
  </r>
  <r>
    <s v="E9"/>
    <s v="DNA-polymerase"/>
    <s v="AAL69775.1"/>
    <s v="SPV036 DNA polymerase"/>
    <x v="44"/>
    <n v="1"/>
    <n v="1"/>
    <m/>
  </r>
  <r>
    <s v="E9"/>
    <s v="DNA-polymerase"/>
    <s v="CAC21277.1"/>
    <s v="39L protein"/>
    <x v="45"/>
    <n v="0"/>
    <n v="1"/>
    <m/>
  </r>
  <r>
    <s v="E9"/>
    <s v="DNA-polymerase"/>
    <s v="AAR07396.1"/>
    <s v="39L"/>
    <x v="46"/>
    <n v="1"/>
    <n v="1"/>
    <m/>
  </r>
  <r>
    <s v="E9"/>
    <s v="DNA-polymerase"/>
    <s v="AAC97837.1"/>
    <s v="ORF MSV036 putative DNA polymerase, Choristoneura biennis entomopox virus DPOL homolog (vaccinia E9L), similar to SW:P30319"/>
    <x v="47"/>
    <n v="0"/>
    <n v="1"/>
    <m/>
  </r>
  <r>
    <s v="E9"/>
    <s v="DNA-polymerase"/>
    <s v="BAO49586.1"/>
    <s v="DNA polymerase"/>
    <x v="48"/>
    <n v="1"/>
    <n v="1"/>
    <m/>
  </r>
  <r>
    <s v="E9"/>
    <s v="DNA-polymerase"/>
    <s v="CCU55370.1"/>
    <s v="DNA polymerase"/>
    <x v="49"/>
    <n v="0"/>
    <n v="1"/>
    <m/>
  </r>
  <r>
    <s v="E9"/>
    <s v="DNA-polymerase"/>
    <s v="AAG02756.1"/>
    <s v="AMV050"/>
    <x v="50"/>
    <n v="1"/>
    <n v="1"/>
    <m/>
  </r>
  <r>
    <s v="E9"/>
    <s v="DNA-polymerase"/>
    <s v="CCU55637.1"/>
    <s v="DNA polymerase"/>
    <x v="51"/>
    <n v="1"/>
    <n v="1"/>
    <m/>
  </r>
  <r>
    <s v="E9"/>
    <s v="DNA-polymerase"/>
    <s v="CCU55950.1"/>
    <s v="DNA polymerase"/>
    <x v="52"/>
    <n v="0"/>
    <n v="1"/>
    <m/>
  </r>
  <r>
    <s v="E9"/>
    <s v="DNA-polymerase"/>
    <s v="CCU56273.1"/>
    <s v="DNA polymerase"/>
    <x v="53"/>
    <n v="0"/>
    <n v="1"/>
    <m/>
  </r>
  <r>
    <s v="E9"/>
    <s v="DNA-polymerase"/>
    <s v="NP_659611.1"/>
    <s v="DNA polymerase"/>
    <x v="54"/>
    <n v="1"/>
    <n v="1"/>
    <m/>
  </r>
  <r>
    <s v="E9"/>
    <s v="DNA-polymerase"/>
    <s v="YP_001293230.1"/>
    <s v="hypothetical protein GTPV_gp035"/>
    <x v="55"/>
    <n v="0"/>
    <n v="1"/>
    <m/>
  </r>
  <r>
    <s v="G5"/>
    <s v="FEN1"/>
    <s v="ATI21162.1"/>
    <s v="FEN1-like nuclease"/>
    <x v="0"/>
    <n v="1"/>
    <n v="1"/>
    <m/>
  </r>
  <r>
    <s v="G5"/>
    <s v="FEN1"/>
    <s v="AWU47099.1"/>
    <s v="FEN1-like nuclease"/>
    <x v="1"/>
    <n v="1"/>
    <n v="1"/>
    <m/>
  </r>
  <r>
    <s v="G5"/>
    <s v="FEN1"/>
    <s v="APG58269.1"/>
    <s v="putative nuclease G5"/>
    <x v="2"/>
    <n v="0"/>
    <n v="1"/>
    <m/>
  </r>
  <r>
    <s v="G5"/>
    <s v="FEN1"/>
    <s v="ADT91086.2"/>
    <s v="Flap endonuclease FEN-1"/>
    <x v="3"/>
    <n v="0"/>
    <n v="1"/>
    <m/>
  </r>
  <r>
    <s v="G5"/>
    <s v="FEN1"/>
    <s v="ANS71143.1"/>
    <s v="fen1-like nuclease"/>
    <x v="4"/>
    <n v="1"/>
    <n v="1"/>
    <m/>
  </r>
  <r>
    <s v="G5"/>
    <s v="FEN1"/>
    <s v="AKR04270.1"/>
    <s v="G5 protein"/>
    <x v="5"/>
    <n v="1"/>
    <n v="1"/>
    <m/>
  </r>
  <r>
    <s v="G5"/>
    <s v="FEN1"/>
    <s v="CCD83231.1"/>
    <s v="predicted FEN-1 endonuclease"/>
    <x v="6"/>
    <n v="0"/>
    <n v="1"/>
    <m/>
  </r>
  <r>
    <s v="G5"/>
    <s v="FEN1"/>
    <s v="ASK51259.1"/>
    <s v="FEN1-like nuclease"/>
    <x v="7"/>
    <n v="1"/>
    <n v="1"/>
    <m/>
  </r>
  <r>
    <s v="G5"/>
    <s v="FEN1"/>
    <s v="AUD40221.1"/>
    <s v="flap endonuclease"/>
    <x v="8"/>
    <n v="0"/>
    <n v="1"/>
    <m/>
  </r>
  <r>
    <s v="G5"/>
    <s v="FEN1"/>
    <s v="AID46855.1"/>
    <s v="hypothetical protein pepv_123"/>
    <x v="9"/>
    <n v="1"/>
    <n v="1"/>
    <m/>
  </r>
  <r>
    <s v="G5"/>
    <s v="FEN1"/>
    <s v="AID46626.1"/>
    <s v="hypothetical protein fep_120"/>
    <x v="10"/>
    <n v="1"/>
    <n v="1"/>
    <m/>
  </r>
  <r>
    <s v="G5"/>
    <s v="FEN1"/>
    <s v="ALA62460.1"/>
    <s v="hypothetical protein"/>
    <x v="11"/>
    <n v="1"/>
    <n v="1"/>
    <m/>
  </r>
  <r>
    <s v="G5"/>
    <s v="FEN1"/>
    <s v="AAR83491.1"/>
    <s v="CNPV145 conserved hypothetical protein"/>
    <x v="12"/>
    <n v="1"/>
    <n v="1"/>
    <m/>
  </r>
  <r>
    <s v="G5"/>
    <s v="FEN1"/>
    <s v="AAF44461.1"/>
    <s v="ORF FPV117"/>
    <x v="13"/>
    <n v="1"/>
    <n v="1"/>
    <m/>
  </r>
  <r>
    <s v="G5"/>
    <s v="FEN1"/>
    <s v="AAK85015.1"/>
    <s v="LSDV054 hypothetical protein"/>
    <x v="14"/>
    <n v="0"/>
    <n v="1"/>
    <m/>
  </r>
  <r>
    <s v="G5"/>
    <s v="FEN1"/>
    <s v="AST09273.1"/>
    <s v="FEN1-like nuclease"/>
    <x v="15"/>
    <n v="1"/>
    <n v="1"/>
    <m/>
  </r>
  <r>
    <s v="G5"/>
    <s v="FEN1"/>
    <s v="AEN03650.1"/>
    <s v="FEN1-like nuclease"/>
    <x v="16"/>
    <n v="1"/>
    <n v="1"/>
    <m/>
  </r>
  <r>
    <s v="G5"/>
    <s v="FEN1"/>
    <s v="ABI99218.1"/>
    <s v="hypothetical protein DpV83gp063"/>
    <x v="17"/>
    <n v="0"/>
    <n v="1"/>
    <m/>
  </r>
  <r>
    <s v="G5"/>
    <s v="FEN1"/>
    <s v="ABJ08967.1"/>
    <s v="virion core protein"/>
    <x v="18"/>
    <n v="1"/>
    <n v="1"/>
    <m/>
  </r>
  <r>
    <s v="G5"/>
    <s v="FEN1"/>
    <s v="AAF14937.1"/>
    <s v="m049R"/>
    <x v="19"/>
    <n v="1"/>
    <n v="1"/>
    <m/>
  </r>
  <r>
    <s v="G5"/>
    <s v="FEN1"/>
    <s v="AFU77313.1"/>
    <s v="m049R"/>
    <x v="19"/>
    <n v="1"/>
    <n v="1"/>
    <m/>
  </r>
  <r>
    <s v="G5"/>
    <s v="FEN1"/>
    <s v="AAF17931.1"/>
    <s v="gp049R"/>
    <x v="20"/>
    <n v="1"/>
    <n v="1"/>
    <m/>
  </r>
  <r>
    <s v="G5"/>
    <s v="FEN1"/>
    <s v="AAC55188.1"/>
    <s v="MC60R"/>
    <x v="21"/>
    <n v="0"/>
    <n v="1"/>
    <m/>
  </r>
  <r>
    <s v="G5"/>
    <s v="FEN1"/>
    <s v="AYN64648.1"/>
    <s v="putative G5R protein"/>
    <x v="22"/>
    <n v="1"/>
    <n v="1"/>
    <m/>
  </r>
  <r>
    <s v="G5"/>
    <s v="FEN1"/>
    <s v="AXN74874.1"/>
    <s v="hypothetical protein"/>
    <x v="23"/>
    <n v="1"/>
    <n v="1"/>
    <m/>
  </r>
  <r>
    <s v="G5"/>
    <s v="FEN1"/>
    <s v="ABH08189.1"/>
    <s v="HSPV083"/>
    <x v="24"/>
    <n v="1"/>
    <n v="1"/>
    <m/>
  </r>
  <r>
    <s v="G5"/>
    <s v="FEN1"/>
    <s v="AAG37549.1"/>
    <s v="CMP79R"/>
    <x v="25"/>
    <n v="0"/>
    <n v="1"/>
    <m/>
  </r>
  <r>
    <s v="G5"/>
    <s v="FEN1"/>
    <s v="AAL73787.1"/>
    <s v="hypothetical protein"/>
    <x v="26"/>
    <n v="0"/>
    <n v="1"/>
    <m/>
  </r>
  <r>
    <s v="G5"/>
    <s v="FEN1"/>
    <s v="AAM13537.1"/>
    <s v="CPXV092 protein"/>
    <x v="27"/>
    <n v="1"/>
    <n v="1"/>
    <m/>
  </r>
  <r>
    <s v="G5"/>
    <s v="FEN1"/>
    <s v="AAM92370.1"/>
    <s v="EVM066"/>
    <x v="28"/>
    <n v="1"/>
    <n v="1"/>
    <m/>
  </r>
  <r>
    <s v="G5"/>
    <s v="FEN1"/>
    <s v="AFH54629.1"/>
    <s v="hypothetical protein ERPV_069"/>
    <x v="29"/>
    <n v="0"/>
    <n v="1"/>
    <m/>
  </r>
  <r>
    <s v="G5"/>
    <s v="FEN1"/>
    <s v="AAL40532.1"/>
    <s v="G5R"/>
    <x v="30"/>
    <n v="0"/>
    <n v="1"/>
    <m/>
  </r>
  <r>
    <s v="G5"/>
    <s v="FEN1"/>
    <s v="AAX09169.1"/>
    <s v="MPXV-COP-068"/>
    <x v="31"/>
    <n v="0"/>
    <n v="1"/>
    <m/>
  </r>
  <r>
    <s v="G5"/>
    <s v="FEN1"/>
    <s v="AKJ93711.1"/>
    <s v="FEN1-like nuclease"/>
    <x v="32"/>
    <n v="1"/>
    <n v="1"/>
    <m/>
  </r>
  <r>
    <s v="G5"/>
    <s v="FEN1"/>
    <s v="AOP31560.1"/>
    <s v="fen1-like nuclease"/>
    <x v="33"/>
    <n v="1"/>
    <n v="1"/>
    <m/>
  </r>
  <r>
    <s v="G5"/>
    <s v="FEN1"/>
    <s v="ABD97651.1"/>
    <s v="unknown"/>
    <x v="34"/>
    <n v="1"/>
    <n v="1"/>
    <m/>
  </r>
  <r>
    <s v="G5"/>
    <s v="FEN1"/>
    <s v="AAO89361.1"/>
    <s v="unknown"/>
    <x v="35"/>
    <n v="0"/>
    <n v="1"/>
    <m/>
  </r>
  <r>
    <s v="G5"/>
    <s v="FEN1"/>
    <s v="CAA49008.1"/>
    <s v="H5R"/>
    <x v="36"/>
    <n v="0"/>
    <n v="1"/>
    <m/>
  </r>
  <r>
    <s v="G5"/>
    <s v="FEN1"/>
    <s v="CAB54667.1"/>
    <s v="I5R protein"/>
    <x v="37"/>
    <n v="1"/>
    <n v="1"/>
    <m/>
  </r>
  <r>
    <s v="G5"/>
    <s v="FEN1"/>
    <s v="AOP31771.1"/>
    <s v="fen1-like nuclease"/>
    <x v="38"/>
    <n v="1"/>
    <n v="1"/>
    <m/>
  </r>
  <r>
    <s v="G5"/>
    <s v="FEN1"/>
    <s v="ASC55597.1"/>
    <s v="hypothetical protein SePPVgORF032"/>
    <x v="39"/>
    <n v="1"/>
    <n v="1"/>
    <m/>
  </r>
  <r>
    <s v="G5"/>
    <s v="FEN1"/>
    <s v="AAR98398.1"/>
    <s v="ORF041 hypothetical protein"/>
    <x v="40"/>
    <n v="1"/>
    <n v="1"/>
    <m/>
  </r>
  <r>
    <s v="G5"/>
    <s v="FEN1"/>
    <s v="AAR98266.1"/>
    <s v="ORF041 hypothetical protein"/>
    <x v="41"/>
    <n v="1"/>
    <n v="1"/>
    <m/>
  </r>
  <r>
    <s v="G5"/>
    <s v="FEN1"/>
    <s v="ABA00558.1"/>
    <s v="hypothetical protein"/>
    <x v="41"/>
    <n v="1"/>
    <n v="1"/>
    <m/>
  </r>
  <r>
    <s v="G5"/>
    <s v="FEN1"/>
    <s v="AIZ77292.1"/>
    <s v="putative FEN-1 like endonuclease"/>
    <x v="42"/>
    <n v="0"/>
    <n v="1"/>
    <m/>
  </r>
  <r>
    <s v="G5"/>
    <s v="FEN1"/>
    <s v="ADC53942.1"/>
    <s v="hypothetical protein"/>
    <x v="43"/>
    <n v="1"/>
    <n v="1"/>
    <m/>
  </r>
  <r>
    <s v="G5"/>
    <s v="FEN1"/>
    <s v="AAL69790.1"/>
    <s v="SPV051 hypothetical protein"/>
    <x v="44"/>
    <n v="1"/>
    <n v="1"/>
    <m/>
  </r>
  <r>
    <s v="G5"/>
    <s v="FEN1"/>
    <s v="CAC21292.1"/>
    <s v="54R protein"/>
    <x v="45"/>
    <n v="0"/>
    <n v="1"/>
    <m/>
  </r>
  <r>
    <s v="G5"/>
    <s v="FEN1"/>
    <s v="AAR07410.1"/>
    <s v="54R"/>
    <x v="46"/>
    <n v="1"/>
    <n v="1"/>
    <m/>
  </r>
  <r>
    <s v="G5"/>
    <s v="FEN1"/>
    <s v="AAC97659.1"/>
    <s v="ORF MSV115 putative vaccinia G5R homolog, similar to GB:J03399"/>
    <x v="47"/>
    <n v="0"/>
    <n v="1"/>
    <m/>
  </r>
  <r>
    <s v="G5"/>
    <s v="FEN1"/>
    <s v="BAO49469.1"/>
    <s v="FEN1-like nuclease"/>
    <x v="48"/>
    <n v="1"/>
    <n v="1"/>
    <m/>
  </r>
  <r>
    <s v="G5"/>
    <s v="FEN1"/>
    <s v="CCU55478.1"/>
    <s v="FEN1-like nuclease (Cop-G5R)"/>
    <x v="49"/>
    <n v="0"/>
    <n v="1"/>
    <m/>
  </r>
  <r>
    <s v="G5"/>
    <s v="FEN1"/>
    <s v="AAG02885.1"/>
    <s v="AMV179"/>
    <x v="50"/>
    <n v="1"/>
    <n v="1"/>
    <m/>
  </r>
  <r>
    <s v="G5"/>
    <s v="FEN1"/>
    <s v="CCU55786.1"/>
    <s v="FEN1-like nuclease (Cop-G5R)"/>
    <x v="51"/>
    <n v="1"/>
    <n v="1"/>
    <m/>
  </r>
  <r>
    <s v="G5"/>
    <s v="FEN1"/>
    <s v="CCU56088.1"/>
    <s v="FEN1-like nuclease (Cop-G5R)"/>
    <x v="52"/>
    <n v="0"/>
    <n v="1"/>
    <m/>
  </r>
  <r>
    <s v="G5"/>
    <s v="FEN1"/>
    <s v="CCU56413.1"/>
    <s v="FEN1-like nuclease (Cop-G5R)"/>
    <x v="53"/>
    <n v="0"/>
    <n v="1"/>
    <m/>
  </r>
  <r>
    <s v="G5"/>
    <s v="FEN1"/>
    <s v="NP_659626.1"/>
    <s v="hypothetical protein SPPV_50"/>
    <x v="54"/>
    <n v="1"/>
    <n v="1"/>
    <m/>
  </r>
  <r>
    <s v="G5"/>
    <s v="FEN1"/>
    <s v="YP_001293245.1"/>
    <s v="hypothetical protein GTPV_gp050"/>
    <x v="55"/>
    <n v="0"/>
    <n v="1"/>
    <m/>
  </r>
  <r>
    <s v="H2"/>
    <s v="IMV entry-fusion"/>
    <s v="ATI21181.1"/>
    <s v="IMV membrane protein"/>
    <x v="0"/>
    <n v="1"/>
    <n v="1"/>
    <m/>
  </r>
  <r>
    <s v="H2"/>
    <s v="IMV entry-fusion"/>
    <s v="AWU47116.1"/>
    <s v="Entry/fusion IMV membrane protein"/>
    <x v="1"/>
    <n v="1"/>
    <n v="1"/>
    <m/>
  </r>
  <r>
    <s v="H2"/>
    <s v="IMV entry-fusion"/>
    <s v="APG58290.1"/>
    <s v="protein H2"/>
    <x v="2"/>
    <n v="0"/>
    <n v="1"/>
    <m/>
  </r>
  <r>
    <s v="H2"/>
    <s v="IMV entry-fusion"/>
    <s v="ADT91103.1"/>
    <s v="MV entry-fusion complex protein"/>
    <x v="3"/>
    <n v="0"/>
    <n v="1"/>
    <m/>
  </r>
  <r>
    <s v="H2"/>
    <s v="IMV entry-fusion"/>
    <s v="ANS71160.1"/>
    <s v="entry/fusion imv membrane protein"/>
    <x v="4"/>
    <n v="1"/>
    <n v="1"/>
    <m/>
  </r>
  <r>
    <s v="H2"/>
    <s v="IMV entry-fusion"/>
    <s v="AKR04292.1"/>
    <s v="viral late protein H2"/>
    <x v="5"/>
    <n v="1"/>
    <n v="1"/>
    <m/>
  </r>
  <r>
    <s v="H2"/>
    <s v="IMV entry-fusion"/>
    <s v="CCD83249.1"/>
    <s v="subunit of the poxvirus multiprotein entry-fusion complex"/>
    <x v="6"/>
    <n v="0"/>
    <n v="1"/>
    <m/>
  </r>
  <r>
    <s v="H2"/>
    <s v="IMV entry-fusion"/>
    <s v="ASK51278.1"/>
    <s v="Entry/fusion IMV protein"/>
    <x v="7"/>
    <n v="1"/>
    <n v="1"/>
    <m/>
  </r>
  <r>
    <s v="H2"/>
    <s v="IMV entry-fusion"/>
    <s v="AUD40243.1"/>
    <s v="hypothetical protein fgpv_145"/>
    <x v="8"/>
    <n v="0"/>
    <n v="1"/>
    <m/>
  </r>
  <r>
    <s v="H2"/>
    <s v="IMV entry-fusion"/>
    <s v="AID46875.1"/>
    <s v="hypothetical protein pepv_147"/>
    <x v="9"/>
    <n v="1"/>
    <n v="1"/>
    <m/>
  </r>
  <r>
    <s v="H2"/>
    <s v="IMV entry-fusion"/>
    <s v="AID46646.1"/>
    <s v="hypothetical protein fep_140"/>
    <x v="10"/>
    <n v="1"/>
    <n v="1"/>
    <m/>
  </r>
  <r>
    <s v="H2"/>
    <s v="IMV entry-fusion"/>
    <s v="ALA62476.1"/>
    <s v="hypothetical protein"/>
    <x v="11"/>
    <n v="1"/>
    <n v="1"/>
    <m/>
  </r>
  <r>
    <s v="H2"/>
    <s v="IMV entry-fusion"/>
    <s v="AAR83530.1"/>
    <s v="CNPV184 conserved hypothetical protein"/>
    <x v="12"/>
    <n v="1"/>
    <n v="1"/>
    <m/>
  </r>
  <r>
    <s v="H2"/>
    <s v="IMV entry-fusion"/>
    <s v="AAF44483.1"/>
    <s v="ORF FPV139"/>
    <x v="13"/>
    <n v="1"/>
    <n v="1"/>
    <m/>
  </r>
  <r>
    <s v="H2"/>
    <s v="IMV entry-fusion"/>
    <s v="YP_001293264.1"/>
    <s v="hypothetical protein GTPV_gp069"/>
    <x v="55"/>
    <n v="0"/>
    <n v="1"/>
    <m/>
  </r>
  <r>
    <s v="H2"/>
    <s v="IMV entry-fusion"/>
    <s v="AAK85034.1"/>
    <s v="LSDV073 hypothetical protein"/>
    <x v="14"/>
    <n v="0"/>
    <n v="1"/>
    <m/>
  </r>
  <r>
    <s v="H2"/>
    <s v="IMV entry-fusion"/>
    <s v="NP_659645.1"/>
    <s v="hypothetical protein SPPV_69"/>
    <x v="54"/>
    <n v="1"/>
    <n v="1"/>
    <m/>
  </r>
  <r>
    <s v="H2"/>
    <s v="IMV entry-fusion"/>
    <s v="AST09291.1"/>
    <s v="essential component of virus entry complex"/>
    <x v="15"/>
    <n v="1"/>
    <n v="1"/>
    <m/>
  </r>
  <r>
    <s v="H2"/>
    <s v="IMV entry-fusion"/>
    <s v="AEN03669.1"/>
    <s v="essential component of virus entry complex"/>
    <x v="16"/>
    <n v="1"/>
    <n v="1"/>
    <m/>
  </r>
  <r>
    <s v="H2"/>
    <s v="IMV entry-fusion"/>
    <s v="ABI99237.1"/>
    <s v="hypothetical protein DpV83gp082"/>
    <x v="17"/>
    <n v="0"/>
    <n v="1"/>
    <m/>
  </r>
  <r>
    <s v="H2"/>
    <s v="IMV entry-fusion"/>
    <s v="ABJ08992.1"/>
    <s v="IMV membrane protein"/>
    <x v="18"/>
    <n v="1"/>
    <n v="1"/>
    <m/>
  </r>
  <r>
    <s v="H2"/>
    <s v="IMV entry-fusion"/>
    <s v="AAF14958.1"/>
    <s v="m070R"/>
    <x v="19"/>
    <n v="1"/>
    <n v="1"/>
    <m/>
  </r>
  <r>
    <s v="H2"/>
    <s v="IMV entry-fusion"/>
    <s v="AFU77334.1"/>
    <s v="m070R"/>
    <x v="19"/>
    <n v="1"/>
    <n v="1"/>
    <m/>
  </r>
  <r>
    <s v="H2"/>
    <s v="IMV entry-fusion"/>
    <s v="AAF17952.1"/>
    <s v="gp070R"/>
    <x v="20"/>
    <n v="1"/>
    <n v="1"/>
    <m/>
  </r>
  <r>
    <s v="H2"/>
    <s v="IMV entry-fusion"/>
    <s v="AAC55211.1"/>
    <s v="MC083R"/>
    <x v="21"/>
    <n v="0"/>
    <n v="1"/>
    <m/>
  </r>
  <r>
    <s v="H2"/>
    <s v="IMV entry-fusion"/>
    <s v="AYN64666.1"/>
    <s v="putative H2R protein"/>
    <x v="22"/>
    <n v="1"/>
    <n v="1"/>
    <m/>
  </r>
  <r>
    <s v="H2"/>
    <s v="IMV entry-fusion"/>
    <s v="AXN74893.1"/>
    <s v="putative viral membrane protein"/>
    <x v="23"/>
    <n v="1"/>
    <n v="1"/>
    <m/>
  </r>
  <r>
    <s v="H2"/>
    <s v="IMV entry-fusion"/>
    <s v="ABH08207.1"/>
    <s v="HSPV101"/>
    <x v="24"/>
    <n v="1"/>
    <n v="1"/>
    <m/>
  </r>
  <r>
    <s v="H2"/>
    <s v="IMV entry-fusion"/>
    <s v="AAL73805.1"/>
    <s v="hypothetical protein"/>
    <x v="26"/>
    <n v="0"/>
    <n v="1"/>
    <m/>
  </r>
  <r>
    <s v="H2"/>
    <s v="IMV entry-fusion"/>
    <s v="AAG37570.1"/>
    <s v="CMP97R"/>
    <x v="25"/>
    <n v="0"/>
    <n v="1"/>
    <m/>
  </r>
  <r>
    <s v="H2"/>
    <s v="IMV entry-fusion"/>
    <s v="AAM13554.1"/>
    <s v="CPXV111 protein"/>
    <x v="27"/>
    <n v="1"/>
    <n v="1"/>
    <m/>
  </r>
  <r>
    <s v="H2"/>
    <s v="IMV entry-fusion"/>
    <s v="AAM92388.1"/>
    <s v="EVM084"/>
    <x v="28"/>
    <n v="1"/>
    <n v="1"/>
    <m/>
  </r>
  <r>
    <s v="H2"/>
    <s v="IMV entry-fusion"/>
    <s v="AFH54647.1"/>
    <s v="entry and cell to cell fusion protein"/>
    <x v="29"/>
    <n v="0"/>
    <n v="1"/>
    <m/>
  </r>
  <r>
    <s v="H2"/>
    <s v="IMV entry-fusion"/>
    <s v="AAL40550.1"/>
    <s v="H2R"/>
    <x v="30"/>
    <n v="0"/>
    <n v="1"/>
    <m/>
  </r>
  <r>
    <s v="H2"/>
    <s v="IMV entry-fusion"/>
    <s v="AAX09187.1"/>
    <s v="MPXV-COP-086"/>
    <x v="31"/>
    <n v="0"/>
    <n v="1"/>
    <m/>
  </r>
  <r>
    <s v="H2"/>
    <s v="IMV entry-fusion"/>
    <s v="AKJ93729.1"/>
    <s v="Entry-fusion complex essential componen"/>
    <x v="32"/>
    <n v="1"/>
    <n v="1"/>
    <m/>
  </r>
  <r>
    <s v="H2"/>
    <s v="IMV entry-fusion"/>
    <s v="AOP31578.1"/>
    <s v="entry-fusion complex essential componen"/>
    <x v="33"/>
    <n v="1"/>
    <n v="1"/>
    <m/>
  </r>
  <r>
    <s v="H2"/>
    <s v="IMV entry-fusion"/>
    <s v="ABD97668.1"/>
    <s v="IMV membrane protein"/>
    <x v="34"/>
    <n v="1"/>
    <n v="1"/>
    <m/>
  </r>
  <r>
    <s v="H2"/>
    <s v="IMV entry-fusion"/>
    <s v="AAO89379.1"/>
    <s v="unknown"/>
    <x v="35"/>
    <n v="0"/>
    <n v="1"/>
    <m/>
  </r>
  <r>
    <s v="H2"/>
    <s v="IMV entry-fusion"/>
    <s v="CAA49026.1"/>
    <s v="I2R"/>
    <x v="36"/>
    <n v="0"/>
    <n v="1"/>
    <m/>
  </r>
  <r>
    <s v="H2"/>
    <s v="IMV entry-fusion"/>
    <s v="CAB54685.1"/>
    <s v="J2R protein"/>
    <x v="37"/>
    <n v="1"/>
    <n v="1"/>
    <m/>
  </r>
  <r>
    <s v="H2"/>
    <s v="IMV entry-fusion"/>
    <s v="AOP31789.1"/>
    <s v="entry-fusion complex essential componen"/>
    <x v="38"/>
    <n v="1"/>
    <n v="1"/>
    <m/>
  </r>
  <r>
    <s v="H2"/>
    <s v="IMV entry-fusion"/>
    <s v="ASF89969.1"/>
    <s v="hypothetical protein SePPVgORF049"/>
    <x v="39"/>
    <n v="1"/>
    <n v="1"/>
    <m/>
  </r>
  <r>
    <s v="H2"/>
    <s v="IMV entry-fusion"/>
    <s v="AAR98415.1"/>
    <s v="ORF058 hypothetical protein"/>
    <x v="40"/>
    <n v="1"/>
    <n v="1"/>
    <m/>
  </r>
  <r>
    <s v="H2"/>
    <s v="IMV entry-fusion"/>
    <s v="AAR98283.1"/>
    <s v="ORF058 hypothetical protein"/>
    <x v="41"/>
    <n v="1"/>
    <n v="1"/>
    <m/>
  </r>
  <r>
    <s v="H2"/>
    <s v="IMV entry-fusion"/>
    <s v="ABA00575.1"/>
    <s v="IMV, viral entry"/>
    <x v="41"/>
    <n v="1"/>
    <n v="1"/>
    <m/>
  </r>
  <r>
    <s v="H2"/>
    <s v="IMV entry-fusion"/>
    <s v="AIZ77309.1"/>
    <s v="hypothetical protein"/>
    <x v="42"/>
    <n v="0"/>
    <n v="1"/>
    <m/>
  </r>
  <r>
    <s v="H2"/>
    <s v="IMV entry-fusion"/>
    <s v="ADC53959.1"/>
    <s v="IMV viral entry protein"/>
    <x v="43"/>
    <n v="1"/>
    <n v="1"/>
    <m/>
  </r>
  <r>
    <s v="H2"/>
    <s v="IMV entry-fusion"/>
    <s v="AAL69809.1"/>
    <s v="SPV070 hypothetical protein"/>
    <x v="44"/>
    <n v="1"/>
    <n v="1"/>
    <m/>
  </r>
  <r>
    <s v="H2"/>
    <s v="IMV entry-fusion"/>
    <s v="CAC21311.1"/>
    <s v="73R protein"/>
    <x v="45"/>
    <n v="0"/>
    <n v="1"/>
    <m/>
  </r>
  <r>
    <s v="H2"/>
    <s v="IMV entry-fusion"/>
    <s v="AAR07429.1"/>
    <s v="73R"/>
    <x v="46"/>
    <n v="1"/>
    <n v="1"/>
    <m/>
  </r>
  <r>
    <s v="H2"/>
    <s v="IMV entry-fusion"/>
    <s v="AAC97818.1"/>
    <s v="ORF MSV060 putative vaccinia H2R homolog, similar to SW:P20496"/>
    <x v="47"/>
    <n v="0"/>
    <n v="1"/>
    <m/>
  </r>
  <r>
    <s v="H2"/>
    <s v="IMV entry-fusion"/>
    <s v="BAO49538.1"/>
    <s v="putative viral membrane protein"/>
    <x v="48"/>
    <n v="1"/>
    <n v="1"/>
    <m/>
  </r>
  <r>
    <s v="H2"/>
    <s v="IMV entry-fusion"/>
    <s v="CCU55515.1"/>
    <s v="entry-fusion complex essential component (Cop-H2R)"/>
    <x v="49"/>
    <n v="0"/>
    <n v="1"/>
    <m/>
  </r>
  <r>
    <s v="H2"/>
    <s v="IMV entry-fusion"/>
    <s v="AAG02833.1"/>
    <s v="AMV127"/>
    <x v="50"/>
    <n v="1"/>
    <n v="1"/>
    <m/>
  </r>
  <r>
    <s v="H2"/>
    <s v="IMV entry-fusion"/>
    <s v="CCU55749.1"/>
    <s v="entry-fusion complex essential component (Cop-H2R)"/>
    <x v="51"/>
    <n v="1"/>
    <n v="1"/>
    <m/>
  </r>
  <r>
    <s v="H2"/>
    <s v="IMV entry-fusion"/>
    <s v="CCU56051.1"/>
    <s v="entry-fusion complex essential component (Cop-H2R)"/>
    <x v="52"/>
    <n v="0"/>
    <n v="1"/>
    <m/>
  </r>
  <r>
    <s v="H2"/>
    <s v="IMV entry-fusion"/>
    <s v="CCU56354.1"/>
    <s v="entry-fusion complex essential component (Cop-H2R)"/>
    <x v="53"/>
    <n v="0"/>
    <n v="1"/>
    <m/>
  </r>
  <r>
    <s v="H4"/>
    <s v="RAP94"/>
    <s v="ATI21183.1"/>
    <s v="RAP94"/>
    <x v="0"/>
    <n v="1"/>
    <n v="1"/>
    <m/>
  </r>
  <r>
    <s v="H4"/>
    <s v="RAP94"/>
    <s v="AWU47118.1"/>
    <s v="RNA polymerase associated protein"/>
    <x v="1"/>
    <n v="1"/>
    <n v="1"/>
    <m/>
  </r>
  <r>
    <s v="H4"/>
    <s v="RAP94"/>
    <s v="APG58293.1"/>
    <s v="RNA polymerase-associated transcription-specificity factor RAP94"/>
    <x v="2"/>
    <n v="0"/>
    <n v="1"/>
    <m/>
  </r>
  <r>
    <s v="H4"/>
    <s v="RAP94"/>
    <s v="ADT91105.1"/>
    <s v="DNA-dependent RNA polymerase associated protein RAP94"/>
    <x v="3"/>
    <n v="0"/>
    <n v="1"/>
    <m/>
  </r>
  <r>
    <s v="H4"/>
    <s v="RAP94"/>
    <s v="ANS71162.1"/>
    <s v="RNA polymerase associated protein"/>
    <x v="4"/>
    <n v="1"/>
    <n v="1"/>
    <m/>
  </r>
  <r>
    <s v="H4"/>
    <s v="RAP94"/>
    <s v="AKR04293.1"/>
    <s v="RNA polymerase-associated transcription specificity factor Rap94"/>
    <x v="5"/>
    <n v="1"/>
    <n v="1"/>
    <m/>
  </r>
  <r>
    <s v="H4"/>
    <s v="RAP94"/>
    <s v="CCD83251.1"/>
    <s v="DNA-dependent RNA polymerase subunit RAP94"/>
    <x v="6"/>
    <n v="0"/>
    <n v="1"/>
    <m/>
  </r>
  <r>
    <s v="H4"/>
    <s v="RAP94"/>
    <s v="ASK51280.1"/>
    <s v="RNA polymerase-associated protein"/>
    <x v="7"/>
    <n v="1"/>
    <n v="1"/>
    <m/>
  </r>
  <r>
    <s v="H4"/>
    <s v="RAP94"/>
    <s v="AUD40245.1"/>
    <s v="RNA polymerase-associated protein 94"/>
    <x v="8"/>
    <n v="0"/>
    <n v="1"/>
    <m/>
  </r>
  <r>
    <s v="H4"/>
    <s v="RAP94"/>
    <s v="AID46877.1"/>
    <s v="RNA polymerase-associated protein RAP94"/>
    <x v="9"/>
    <n v="1"/>
    <n v="1"/>
    <m/>
  </r>
  <r>
    <s v="H4"/>
    <s v="RAP94"/>
    <s v="AID46648.1"/>
    <s v="RNA polymerase-associated protein RAP94"/>
    <x v="10"/>
    <n v="1"/>
    <n v="1"/>
    <m/>
  </r>
  <r>
    <s v="H4"/>
    <s v="RAP94"/>
    <s v="ALA62479.1"/>
    <s v="RNA polymerase associated protein RAP94"/>
    <x v="11"/>
    <n v="1"/>
    <n v="1"/>
    <m/>
  </r>
  <r>
    <s v="H4"/>
    <s v="RAP94"/>
    <s v="AAR83533.1"/>
    <s v="CNPV187 RNA polymerase associated protein RAP94"/>
    <x v="12"/>
    <n v="1"/>
    <n v="1"/>
    <m/>
  </r>
  <r>
    <s v="H4"/>
    <s v="RAP94"/>
    <s v="AAF44485.1"/>
    <s v="ORF FPV141 RNA polymerase associated protein RAP94"/>
    <x v="13"/>
    <n v="1"/>
    <n v="1"/>
    <m/>
  </r>
  <r>
    <s v="H4"/>
    <s v="RAP94"/>
    <s v="AAK85036.1"/>
    <s v="LSDV075 RNA polymerase-associated protein"/>
    <x v="14"/>
    <n v="0"/>
    <n v="1"/>
    <m/>
  </r>
  <r>
    <s v="H4"/>
    <s v="RAP94"/>
    <s v="AST09293.1"/>
    <s v="RPO-associated proteinRAP94"/>
    <x v="15"/>
    <n v="1"/>
    <n v="1"/>
    <m/>
  </r>
  <r>
    <s v="H4"/>
    <s v="RAP94"/>
    <s v="AEN03671.1"/>
    <s v="RPO-associated protein,RAP94"/>
    <x v="16"/>
    <n v="1"/>
    <n v="1"/>
    <m/>
  </r>
  <r>
    <s v="H4"/>
    <s v="RAP94"/>
    <s v="ABI99239.1"/>
    <s v="RNA polymerase-associated RAP94"/>
    <x v="17"/>
    <n v="0"/>
    <n v="1"/>
    <m/>
  </r>
  <r>
    <s v="H4"/>
    <s v="RAP94"/>
    <s v="ABJ08995.1"/>
    <s v="RNA-polymerase associated protein"/>
    <x v="18"/>
    <n v="1"/>
    <n v="1"/>
    <m/>
  </r>
  <r>
    <s v="H4"/>
    <s v="RAP94"/>
    <s v="AAF14960.1"/>
    <s v="m72L"/>
    <x v="19"/>
    <n v="1"/>
    <n v="1"/>
    <m/>
  </r>
  <r>
    <s v="H4"/>
    <s v="RAP94"/>
    <s v="AFU77336.1"/>
    <s v="m72L"/>
    <x v="19"/>
    <n v="1"/>
    <n v="1"/>
    <m/>
  </r>
  <r>
    <s v="H4"/>
    <s v="RAP94"/>
    <s v="AAF17954.1"/>
    <s v="gp072L"/>
    <x v="20"/>
    <n v="1"/>
    <n v="1"/>
    <m/>
  </r>
  <r>
    <s v="H4"/>
    <s v="RAP94"/>
    <s v="AAC55213.1"/>
    <s v="MC085L"/>
    <x v="21"/>
    <n v="0"/>
    <n v="1"/>
    <m/>
  </r>
  <r>
    <s v="H4"/>
    <s v="RAP94"/>
    <s v="AYN64668.1"/>
    <s v="putative H4L protein"/>
    <x v="22"/>
    <n v="1"/>
    <n v="1"/>
    <m/>
  </r>
  <r>
    <s v="H4"/>
    <s v="RAP94"/>
    <s v="AXN74895.1"/>
    <s v="RNA polymerase-associated protein"/>
    <x v="23"/>
    <n v="1"/>
    <n v="1"/>
    <m/>
  </r>
  <r>
    <s v="H4"/>
    <s v="RAP94"/>
    <s v="ABH08209.1"/>
    <s v="HSPV103"/>
    <x v="24"/>
    <n v="1"/>
    <n v="1"/>
    <m/>
  </r>
  <r>
    <s v="H4"/>
    <s v="RAP94"/>
    <s v="AAL73807.1"/>
    <s v="RNA polymerase-associated RAP94"/>
    <x v="26"/>
    <n v="0"/>
    <n v="1"/>
    <m/>
  </r>
  <r>
    <s v="H4"/>
    <s v="RAP94"/>
    <s v="AAG37572.1"/>
    <s v="CMP99L"/>
    <x v="25"/>
    <n v="0"/>
    <n v="1"/>
    <m/>
  </r>
  <r>
    <s v="H4"/>
    <s v="RAP94"/>
    <s v="AAM13556.1"/>
    <s v="CPXV113 protein"/>
    <x v="27"/>
    <n v="1"/>
    <n v="1"/>
    <m/>
  </r>
  <r>
    <s v="H4"/>
    <s v="RAP94"/>
    <s v="AAM92390.1"/>
    <s v="EVM086"/>
    <x v="28"/>
    <n v="1"/>
    <n v="1"/>
    <m/>
  </r>
  <r>
    <s v="H4"/>
    <s v="RAP94"/>
    <s v="AFH54649.1"/>
    <s v="RNA polymerase associated protein rap94"/>
    <x v="29"/>
    <n v="0"/>
    <n v="1"/>
    <m/>
  </r>
  <r>
    <s v="H4"/>
    <s v="RAP94"/>
    <s v="AAL40552.1"/>
    <s v="H4L"/>
    <x v="30"/>
    <n v="0"/>
    <n v="1"/>
    <m/>
  </r>
  <r>
    <s v="H4"/>
    <s v="RAP94"/>
    <s v="AAX09189.1"/>
    <s v="MPXV-COP-088"/>
    <x v="31"/>
    <n v="0"/>
    <n v="1"/>
    <m/>
  </r>
  <r>
    <s v="H4"/>
    <s v="RAP94"/>
    <s v="AKJ93731.1"/>
    <s v="RAP94"/>
    <x v="32"/>
    <n v="1"/>
    <n v="1"/>
    <m/>
  </r>
  <r>
    <s v="H4"/>
    <s v="RAP94"/>
    <s v="AOP31580.1"/>
    <s v="rap94"/>
    <x v="33"/>
    <n v="1"/>
    <n v="1"/>
    <m/>
  </r>
  <r>
    <s v="H4"/>
    <s v="RAP94"/>
    <s v="ABD97670.1"/>
    <s v="RNA polymerase subunit RAP94"/>
    <x v="34"/>
    <n v="1"/>
    <n v="1"/>
    <m/>
  </r>
  <r>
    <s v="H4"/>
    <s v="RAP94"/>
    <s v="AAO89381.1"/>
    <s v="RAP94"/>
    <x v="35"/>
    <n v="0"/>
    <n v="1"/>
    <m/>
  </r>
  <r>
    <s v="H4"/>
    <s v="RAP94"/>
    <s v="CAA49028.1"/>
    <s v="I4L"/>
    <x v="36"/>
    <n v="0"/>
    <n v="1"/>
    <m/>
  </r>
  <r>
    <s v="H4"/>
    <s v="RAP94"/>
    <s v="CAB54687.1"/>
    <s v="J4L protein"/>
    <x v="37"/>
    <n v="1"/>
    <n v="1"/>
    <m/>
  </r>
  <r>
    <s v="H4"/>
    <s v="RAP94"/>
    <s v="AOP31791.1"/>
    <s v="rap94"/>
    <x v="38"/>
    <n v="1"/>
    <n v="1"/>
    <m/>
  </r>
  <r>
    <s v="H4"/>
    <s v="RAP94"/>
    <s v="ASC55580.1"/>
    <s v="RNA polymerase-associated protein RAP94-like protein"/>
    <x v="39"/>
    <n v="1"/>
    <n v="1"/>
    <m/>
  </r>
  <r>
    <s v="H4"/>
    <s v="RAP94"/>
    <s v="AAR98417.1"/>
    <s v="ORF060 RNA polymerase-associated protein RAP94"/>
    <x v="40"/>
    <n v="1"/>
    <n v="1"/>
    <m/>
  </r>
  <r>
    <s v="H4"/>
    <s v="RAP94"/>
    <s v="AAR98285.1"/>
    <s v="ORF060 RNA polymerase-associated protein RAP94"/>
    <x v="41"/>
    <n v="1"/>
    <n v="1"/>
    <m/>
  </r>
  <r>
    <s v="H4"/>
    <s v="RAP94"/>
    <s v="ABA00577.1"/>
    <s v="RNA-polymerase associated RAP94"/>
    <x v="41"/>
    <n v="1"/>
    <n v="1"/>
    <m/>
  </r>
  <r>
    <s v="H4"/>
    <s v="RAP94"/>
    <s v="AIZ77311.1"/>
    <s v="putative RNA polymerase-associated protein RAP94"/>
    <x v="42"/>
    <n v="0"/>
    <n v="1"/>
    <m/>
  </r>
  <r>
    <s v="H4"/>
    <s v="RAP94"/>
    <s v="ADC53961.1"/>
    <s v="RNA-polymerase associated RAP94"/>
    <x v="43"/>
    <n v="1"/>
    <n v="1"/>
    <m/>
  </r>
  <r>
    <s v="H4"/>
    <s v="RAP94"/>
    <s v="AAL69811.1"/>
    <s v="SPV072 RNA polymerase-associated protein RAP94"/>
    <x v="44"/>
    <n v="1"/>
    <n v="1"/>
    <m/>
  </r>
  <r>
    <s v="H4"/>
    <s v="RAP94"/>
    <s v="CAC21313.1"/>
    <s v="75L protein"/>
    <x v="45"/>
    <n v="0"/>
    <n v="1"/>
    <m/>
  </r>
  <r>
    <s v="H4"/>
    <s v="RAP94"/>
    <s v="AAR07431.1"/>
    <s v="75L"/>
    <x v="46"/>
    <n v="1"/>
    <n v="1"/>
    <m/>
  </r>
  <r>
    <s v="H4"/>
    <s v="RAP94"/>
    <s v="AAC97801.1"/>
    <s v="ORF MSV119 putative RNA polymerase associated vaccinia RAP94 homolog (vaccinia H4L), similar to SW:P33067"/>
    <x v="47"/>
    <n v="0"/>
    <n v="1"/>
    <m/>
  </r>
  <r>
    <s v="H4"/>
    <s v="RAP94"/>
    <s v="BAO49510.1"/>
    <s v="putative RNA polymerase associated transcriptional specificity factor"/>
    <x v="48"/>
    <n v="1"/>
    <n v="1"/>
    <m/>
  </r>
  <r>
    <s v="H4"/>
    <s v="RAP94"/>
    <s v="CCU55375.1"/>
    <s v="RAP94 RNA pol assoc protein"/>
    <x v="49"/>
    <n v="0"/>
    <n v="1"/>
    <m/>
  </r>
  <r>
    <s v="H4"/>
    <s v="RAP94"/>
    <s v="AAG02760.1"/>
    <s v="AMV054"/>
    <x v="50"/>
    <n v="1"/>
    <n v="1"/>
    <m/>
  </r>
  <r>
    <s v="H4"/>
    <s v="RAP94"/>
    <s v="CCU55665.1"/>
    <s v="RAP94 RNA pol assoc protein"/>
    <x v="51"/>
    <n v="1"/>
    <n v="1"/>
    <m/>
  </r>
  <r>
    <s v="H4"/>
    <s v="RAP94"/>
    <s v="CCU55975.1"/>
    <s v="RAP94 RNA pol assoc protein"/>
    <x v="52"/>
    <n v="0"/>
    <n v="1"/>
    <m/>
  </r>
  <r>
    <s v="H4"/>
    <s v="RAP94"/>
    <s v="CCU56277.1"/>
    <s v="RAP94 RNA pol assoc protein"/>
    <x v="53"/>
    <n v="0"/>
    <n v="1"/>
    <m/>
  </r>
  <r>
    <s v="H4"/>
    <s v="RAP94"/>
    <s v="YP_001293266.1"/>
    <s v="hypothetical protein GTPV_gp071"/>
    <x v="55"/>
    <n v="0"/>
    <n v="1"/>
    <m/>
  </r>
  <r>
    <s v="H4"/>
    <s v="RAP94"/>
    <s v="NP_659647.1"/>
    <s v="RNA polymerase-associated protein, RAP94"/>
    <x v="54"/>
    <n v="1"/>
    <n v="1"/>
    <m/>
  </r>
  <r>
    <s v="H6"/>
    <s v="DNA topoisomerase"/>
    <s v="ATI21185.1"/>
    <s v="DNA topoisomerase type I"/>
    <x v="0"/>
    <n v="1"/>
    <n v="1"/>
    <m/>
  </r>
  <r>
    <s v="H6"/>
    <s v="DNA topoisomerase"/>
    <s v="AWU47120.1"/>
    <s v="DNA topoisomerase type I"/>
    <x v="1"/>
    <n v="1"/>
    <n v="1"/>
    <m/>
  </r>
  <r>
    <s v="H6"/>
    <s v="DNA topoisomerase"/>
    <s v="APG58296.1"/>
    <s v="DNA topoisomerase 1"/>
    <x v="2"/>
    <n v="0"/>
    <n v="1"/>
    <m/>
  </r>
  <r>
    <s v="H6"/>
    <s v="DNA topoisomerase"/>
    <s v="ADT91107.1"/>
    <s v="DNA topoisomerase type I"/>
    <x v="3"/>
    <n v="0"/>
    <n v="1"/>
    <m/>
  </r>
  <r>
    <s v="H6"/>
    <s v="DNA topoisomerase"/>
    <s v="ANS71164.1"/>
    <s v="DNA topoisomerase type I"/>
    <x v="4"/>
    <n v="1"/>
    <n v="1"/>
    <m/>
  </r>
  <r>
    <s v="H6"/>
    <s v="DNA topoisomerase"/>
    <s v="AKR04295.1"/>
    <s v="DNA topoisomerase I"/>
    <x v="5"/>
    <n v="1"/>
    <n v="1"/>
    <m/>
  </r>
  <r>
    <s v="H6"/>
    <s v="DNA topoisomerase"/>
    <s v="CCD83253.1"/>
    <s v="topoisomerase"/>
    <x v="6"/>
    <n v="0"/>
    <n v="1"/>
    <m/>
  </r>
  <r>
    <s v="H6"/>
    <s v="DNA topoisomerase"/>
    <s v="ASK51282.1"/>
    <s v="DNA topoisomerase type I"/>
    <x v="7"/>
    <n v="1"/>
    <n v="1"/>
    <m/>
  </r>
  <r>
    <s v="H6"/>
    <s v="DNA topoisomerase"/>
    <s v="AUD40247.1"/>
    <s v="DNA topoisomerase"/>
    <x v="8"/>
    <n v="0"/>
    <n v="1"/>
    <m/>
  </r>
  <r>
    <s v="H6"/>
    <s v="DNA topoisomerase"/>
    <s v="AID46879.1"/>
    <s v="DNA topoisomerase"/>
    <x v="9"/>
    <n v="1"/>
    <n v="1"/>
    <m/>
  </r>
  <r>
    <s v="H6"/>
    <s v="DNA topoisomerase"/>
    <s v="AID46650.1"/>
    <s v="DNA topoisomerase"/>
    <x v="10"/>
    <n v="1"/>
    <n v="1"/>
    <m/>
  </r>
  <r>
    <s v="H6"/>
    <s v="DNA topoisomerase"/>
    <s v="ALA62481.1"/>
    <s v="DNA topoisomerase"/>
    <x v="11"/>
    <n v="1"/>
    <n v="1"/>
    <m/>
  </r>
  <r>
    <s v="H6"/>
    <s v="DNA topoisomerase"/>
    <s v="AAR83535.1"/>
    <s v="CNPV189 DNA topoisomerase"/>
    <x v="12"/>
    <n v="1"/>
    <n v="1"/>
    <m/>
  </r>
  <r>
    <s v="H6"/>
    <s v="DNA topoisomerase"/>
    <s v="AAF44487.1"/>
    <s v="ORF FPV143 DNA topoisomerase"/>
    <x v="13"/>
    <n v="1"/>
    <n v="1"/>
    <m/>
  </r>
  <r>
    <s v="H6"/>
    <s v="DNA topoisomerase"/>
    <s v="AAK85038.1"/>
    <s v="LSDV077 DNA topoisomerase"/>
    <x v="14"/>
    <n v="0"/>
    <n v="1"/>
    <m/>
  </r>
  <r>
    <s v="H6"/>
    <s v="DNA topoisomerase"/>
    <s v="AST09295.1"/>
    <s v="DNA topoisomerase type I"/>
    <x v="15"/>
    <n v="1"/>
    <n v="1"/>
    <m/>
  </r>
  <r>
    <s v="H6"/>
    <s v="DNA topoisomerase"/>
    <s v="AEN03673.1"/>
    <s v="DNA topoisomerase type I"/>
    <x v="16"/>
    <n v="1"/>
    <n v="1"/>
    <m/>
  </r>
  <r>
    <s v="H6"/>
    <s v="DNA topoisomerase"/>
    <s v="ABI99241.1"/>
    <s v="DNA topoisomerase"/>
    <x v="17"/>
    <n v="0"/>
    <n v="1"/>
    <m/>
  </r>
  <r>
    <s v="H6"/>
    <s v="DNA topoisomerase"/>
    <s v="ABJ08997.1"/>
    <s v="DNA topoisomerase IB"/>
    <x v="18"/>
    <n v="1"/>
    <n v="1"/>
    <m/>
  </r>
  <r>
    <s v="H6"/>
    <s v="DNA topoisomerase"/>
    <s v="AAF14962.1"/>
    <s v="m74R"/>
    <x v="19"/>
    <n v="1"/>
    <n v="1"/>
    <m/>
  </r>
  <r>
    <s v="H6"/>
    <s v="DNA topoisomerase"/>
    <s v="AFU77338.1"/>
    <s v="m74R"/>
    <x v="19"/>
    <n v="1"/>
    <n v="1"/>
    <m/>
  </r>
  <r>
    <s v="H6"/>
    <s v="DNA topoisomerase"/>
    <s v="AAF17956.1"/>
    <s v="gp074R"/>
    <x v="20"/>
    <n v="1"/>
    <n v="1"/>
    <m/>
  </r>
  <r>
    <s v="H6"/>
    <s v="DNA topoisomerase"/>
    <s v="AAC55215.1"/>
    <s v="MC087R"/>
    <x v="21"/>
    <n v="0"/>
    <n v="1"/>
    <m/>
  </r>
  <r>
    <s v="H6"/>
    <s v="DNA topoisomerase"/>
    <s v="AYN64670.1"/>
    <s v="putative H6R protein"/>
    <x v="22"/>
    <n v="1"/>
    <n v="1"/>
    <m/>
  </r>
  <r>
    <s v="H6"/>
    <s v="DNA topoisomerase"/>
    <s v="AXN74897.1"/>
    <s v="DNA topoisomerase type-1"/>
    <x v="23"/>
    <n v="1"/>
    <n v="1"/>
    <m/>
  </r>
  <r>
    <s v="H6"/>
    <s v="DNA topoisomerase"/>
    <s v="ABH08211.1"/>
    <s v="HSPV105"/>
    <x v="24"/>
    <n v="1"/>
    <n v="1"/>
    <m/>
  </r>
  <r>
    <s v="H6"/>
    <s v="DNA topoisomerase"/>
    <s v="AAG37574.1"/>
    <s v="CMP101R"/>
    <x v="25"/>
    <n v="0"/>
    <n v="1"/>
    <m/>
  </r>
  <r>
    <s v="H6"/>
    <s v="DNA topoisomerase"/>
    <s v="AAL73809.1"/>
    <s v="DNA topoisomerase"/>
    <x v="26"/>
    <n v="0"/>
    <n v="1"/>
    <m/>
  </r>
  <r>
    <s v="H6"/>
    <s v="DNA topoisomerase"/>
    <s v="AAM13558.1"/>
    <s v="CPXV115 protein"/>
    <x v="27"/>
    <n v="1"/>
    <n v="1"/>
    <m/>
  </r>
  <r>
    <s v="H6"/>
    <s v="DNA topoisomerase"/>
    <s v="AAM92392.1"/>
    <s v="EVM088"/>
    <x v="28"/>
    <n v="1"/>
    <n v="1"/>
    <m/>
  </r>
  <r>
    <s v="H6"/>
    <s v="DNA topoisomerase"/>
    <s v="AFH54651.1"/>
    <s v="topoisomerase type I"/>
    <x v="29"/>
    <n v="0"/>
    <n v="1"/>
    <m/>
  </r>
  <r>
    <s v="H6"/>
    <s v="DNA topoisomerase"/>
    <s v="AAL40554.1"/>
    <s v="H6R"/>
    <x v="30"/>
    <n v="0"/>
    <n v="1"/>
    <m/>
  </r>
  <r>
    <s v="H6"/>
    <s v="DNA topoisomerase"/>
    <s v="AAX09191.1"/>
    <s v="MPXV-COP-090"/>
    <x v="31"/>
    <n v="0"/>
    <n v="1"/>
    <m/>
  </r>
  <r>
    <s v="H6"/>
    <s v="DNA topoisomerase"/>
    <s v="AKJ93733.1"/>
    <s v="DNA Topoisomerase type I"/>
    <x v="32"/>
    <n v="1"/>
    <n v="1"/>
    <m/>
  </r>
  <r>
    <s v="H6"/>
    <s v="DNA topoisomerase"/>
    <s v="AOP31582.1"/>
    <s v="DNA topoisomerase type I"/>
    <x v="33"/>
    <n v="1"/>
    <n v="1"/>
    <m/>
  </r>
  <r>
    <s v="H6"/>
    <s v="DNA topoisomerase"/>
    <s v="ABD97672.1"/>
    <s v="topoisomerase type IB"/>
    <x v="34"/>
    <n v="1"/>
    <n v="1"/>
    <m/>
  </r>
  <r>
    <s v="H6"/>
    <s v="DNA topoisomerase"/>
    <s v="AAO89383.1"/>
    <s v="topoisomerase type IB"/>
    <x v="35"/>
    <n v="0"/>
    <n v="1"/>
    <m/>
  </r>
  <r>
    <s v="H6"/>
    <s v="DNA topoisomerase"/>
    <s v="CAA49030.1"/>
    <s v="I6R"/>
    <x v="36"/>
    <n v="0"/>
    <n v="1"/>
    <m/>
  </r>
  <r>
    <s v="H6"/>
    <s v="DNA topoisomerase"/>
    <s v="CAB54689.1"/>
    <s v="J6R protein"/>
    <x v="37"/>
    <n v="1"/>
    <n v="1"/>
    <m/>
  </r>
  <r>
    <s v="H6"/>
    <s v="DNA topoisomerase"/>
    <s v="AOP31793.1"/>
    <s v="DNA topoisomerase type I"/>
    <x v="38"/>
    <n v="1"/>
    <n v="1"/>
    <m/>
  </r>
  <r>
    <s v="H6"/>
    <s v="DNA topoisomerase"/>
    <s v="ASC55578.1"/>
    <s v="DNA topoisomerase type I-like protein"/>
    <x v="39"/>
    <n v="1"/>
    <n v="1"/>
    <m/>
  </r>
  <r>
    <s v="H6"/>
    <s v="DNA topoisomerase"/>
    <s v="AAR98419.1"/>
    <s v="ORF062 DNA topoisomerase type I"/>
    <x v="40"/>
    <n v="1"/>
    <n v="1"/>
    <m/>
  </r>
  <r>
    <s v="H6"/>
    <s v="DNA topoisomerase"/>
    <s v="AAR98287.1"/>
    <s v="ORF062 DNA topoisomerase type I"/>
    <x v="41"/>
    <n v="1"/>
    <n v="1"/>
    <m/>
  </r>
  <r>
    <s v="H6"/>
    <s v="DNA topoisomerase"/>
    <s v="ABA00579.1"/>
    <s v="topoisomerase I"/>
    <x v="41"/>
    <n v="1"/>
    <n v="1"/>
    <m/>
  </r>
  <r>
    <s v="H6"/>
    <s v="DNA topoisomerase"/>
    <s v="AIZ77313.1"/>
    <s v="putative DNA topoisomerase type I"/>
    <x v="42"/>
    <n v="0"/>
    <n v="1"/>
    <m/>
  </r>
  <r>
    <s v="H6"/>
    <s v="DNA topoisomerase"/>
    <s v="ADC53963.1"/>
    <s v="topoisomerase I"/>
    <x v="43"/>
    <n v="1"/>
    <n v="1"/>
    <m/>
  </r>
  <r>
    <s v="H6"/>
    <s v="DNA topoisomerase"/>
    <s v="AAL69813.1"/>
    <s v="SPV074 DNA topoisomerase"/>
    <x v="44"/>
    <n v="1"/>
    <n v="1"/>
    <m/>
  </r>
  <r>
    <s v="H6"/>
    <s v="DNA topoisomerase"/>
    <s v="CAC21315.1"/>
    <s v="77R protein"/>
    <x v="45"/>
    <n v="0"/>
    <n v="1"/>
    <m/>
  </r>
  <r>
    <s v="H6"/>
    <s v="DNA topoisomerase"/>
    <s v="AAR07433.1"/>
    <s v="77R"/>
    <x v="46"/>
    <n v="1"/>
    <n v="1"/>
    <m/>
  </r>
  <r>
    <s v="H6"/>
    <s v="DNA topoisomerase"/>
    <s v="AAC97665.1"/>
    <s v="ORF MSV130 putative DNA topoisomerase I, Amsacta moorei entomopoxvirus topoisomerase (vaccinia H6R) homolog, similar to GB:U80056"/>
    <x v="47"/>
    <n v="0"/>
    <n v="1"/>
    <m/>
  </r>
  <r>
    <s v="H6"/>
    <s v="DNA topoisomerase"/>
    <s v="BAO49512.1"/>
    <s v="DNA topoisomerase type I"/>
    <x v="48"/>
    <n v="1"/>
    <n v="1"/>
    <m/>
  </r>
  <r>
    <s v="H6"/>
    <s v="DNA topoisomerase"/>
    <s v="CCU55373.1"/>
    <s v="DNA Topoisomerase type I"/>
    <x v="49"/>
    <n v="0"/>
    <n v="1"/>
    <m/>
  </r>
  <r>
    <s v="H6"/>
    <s v="DNA topoisomerase"/>
    <s v="AAG02758.1"/>
    <s v="AMV052"/>
    <x v="50"/>
    <n v="1"/>
    <n v="1"/>
    <m/>
  </r>
  <r>
    <s v="H6"/>
    <s v="DNA topoisomerase"/>
    <s v="CCU55663.1"/>
    <s v="DNA Topoisomerase type I"/>
    <x v="51"/>
    <n v="1"/>
    <n v="1"/>
    <m/>
  </r>
  <r>
    <s v="H6"/>
    <s v="DNA topoisomerase"/>
    <s v="CCU55973.1"/>
    <s v="DNA Topoisomerase type I"/>
    <x v="52"/>
    <n v="0"/>
    <n v="1"/>
    <m/>
  </r>
  <r>
    <s v="H6"/>
    <s v="DNA topoisomerase"/>
    <s v="CCU56275.1"/>
    <s v="DNA Topoisomerase type I"/>
    <x v="53"/>
    <n v="0"/>
    <n v="1"/>
    <m/>
  </r>
  <r>
    <s v="H6"/>
    <s v="DNA topoisomerase"/>
    <s v="NP_659649.1"/>
    <s v="DNA topoisomerase"/>
    <x v="54"/>
    <n v="1"/>
    <n v="1"/>
    <m/>
  </r>
  <r>
    <s v="H6"/>
    <s v="DNA topoisomerase"/>
    <s v="YP_001293268.1"/>
    <s v="hypothetical protein GTPV_gp073"/>
    <x v="55"/>
    <n v="0"/>
    <n v="1"/>
    <m/>
  </r>
  <r>
    <s v="I8"/>
    <s v="NPH-II"/>
    <s v="ATI21157.1"/>
    <s v="RNA helicase DExH-NPH-II domain"/>
    <x v="0"/>
    <n v="1"/>
    <n v="1"/>
    <m/>
  </r>
  <r>
    <s v="I8"/>
    <s v="NPH-II"/>
    <s v="AWU47094.1"/>
    <s v="RNA helicase"/>
    <x v="1"/>
    <n v="1"/>
    <n v="1"/>
    <m/>
  </r>
  <r>
    <s v="I8"/>
    <s v="NPH-II"/>
    <s v="APG58264.1"/>
    <s v="RNA helicase NPH-II"/>
    <x v="2"/>
    <n v="0"/>
    <n v="1"/>
    <m/>
  </r>
  <r>
    <s v="I8"/>
    <s v="NPH-II"/>
    <s v="ADT91081.1"/>
    <s v="RNA helicase NPH-II"/>
    <x v="3"/>
    <n v="0"/>
    <n v="1"/>
    <m/>
  </r>
  <r>
    <s v="I8"/>
    <s v="NPH-II"/>
    <s v="ANS71138.1"/>
    <s v="RNA helicase, dexh-nph-ii domain"/>
    <x v="4"/>
    <n v="1"/>
    <n v="1"/>
    <m/>
  </r>
  <r>
    <s v="I8"/>
    <s v="NPH-II"/>
    <s v="AKR04274.1"/>
    <s v="RNA-helicase DExH-NPH-II"/>
    <x v="5"/>
    <n v="1"/>
    <n v="1"/>
    <m/>
  </r>
  <r>
    <s v="I8"/>
    <s v="NPH-II"/>
    <s v="CCD83226.1"/>
    <s v="encapsidated ATP-dependent RNA helicase"/>
    <x v="6"/>
    <n v="0"/>
    <n v="1"/>
    <m/>
  </r>
  <r>
    <s v="I8"/>
    <s v="NPH-II"/>
    <s v="ASK51254.1"/>
    <s v="RNA-helicase, DExH-NPH-II"/>
    <x v="7"/>
    <n v="1"/>
    <n v="1"/>
    <m/>
  </r>
  <r>
    <s v="I8"/>
    <s v="NPH-II"/>
    <s v="AUD40185.1"/>
    <s v="DNA/RNA helicase/NPH-11"/>
    <x v="8"/>
    <n v="0"/>
    <n v="1"/>
    <m/>
  </r>
  <r>
    <s v="I8"/>
    <s v="NPH-II"/>
    <s v="AID46820.1"/>
    <s v="DNA/RNA helicase/NPH-11"/>
    <x v="9"/>
    <n v="1"/>
    <n v="1"/>
    <m/>
  </r>
  <r>
    <s v="I8"/>
    <s v="NPH-II"/>
    <s v="AID46591.1"/>
    <s v="DNA/RNA helicase/NPH-11"/>
    <x v="10"/>
    <n v="1"/>
    <n v="1"/>
    <m/>
  </r>
  <r>
    <s v="I8"/>
    <s v="NPH-II"/>
    <s v="ALA62429.1"/>
    <s v="NPH-II RNA helicase"/>
    <x v="11"/>
    <n v="1"/>
    <n v="1"/>
    <m/>
  </r>
  <r>
    <s v="I8"/>
    <s v="NPH-II"/>
    <s v="AAR83455.1"/>
    <s v="CNPV109 NPH-II, RNA helicase"/>
    <x v="12"/>
    <n v="1"/>
    <n v="1"/>
    <m/>
  </r>
  <r>
    <s v="I8"/>
    <s v="NPH-II"/>
    <s v="AAF44426.1"/>
    <s v="ORF FPV082 RNA helicase/NPH-II"/>
    <x v="13"/>
    <n v="1"/>
    <n v="1"/>
    <m/>
  </r>
  <r>
    <s v="I8"/>
    <s v="NPH-II"/>
    <s v="AAK85010.1"/>
    <s v="LSDV049 putative RNA helicase"/>
    <x v="14"/>
    <n v="0"/>
    <n v="1"/>
    <m/>
  </r>
  <r>
    <s v="I8"/>
    <s v="NPH-II"/>
    <s v="AST09268.1"/>
    <s v="RNA-helicase DExH-NPH-II domain"/>
    <x v="15"/>
    <n v="1"/>
    <n v="1"/>
    <m/>
  </r>
  <r>
    <s v="I8"/>
    <s v="NPH-II"/>
    <s v="AEN03645.1"/>
    <s v="RNA-helicase, DExH-NPH-II domain"/>
    <x v="16"/>
    <n v="1"/>
    <n v="1"/>
    <m/>
  </r>
  <r>
    <s v="I8"/>
    <s v="NPH-II"/>
    <s v="ABI99213.1"/>
    <s v="RNA helicase"/>
    <x v="17"/>
    <n v="0"/>
    <n v="1"/>
    <m/>
  </r>
  <r>
    <s v="I8"/>
    <s v="NPH-II"/>
    <s v="ABJ08962.1"/>
    <s v="RNA helicase NPH-II"/>
    <x v="18"/>
    <n v="1"/>
    <n v="1"/>
    <m/>
  </r>
  <r>
    <s v="I8"/>
    <s v="NPH-II"/>
    <s v="AAF14932.1"/>
    <s v="m44R"/>
    <x v="19"/>
    <n v="1"/>
    <n v="1"/>
    <m/>
  </r>
  <r>
    <s v="I8"/>
    <s v="NPH-II"/>
    <s v="AFU77309.1"/>
    <s v="m44R"/>
    <x v="19"/>
    <n v="1"/>
    <n v="1"/>
    <m/>
  </r>
  <r>
    <s v="I8"/>
    <s v="NPH-II"/>
    <s v="AAF17926.1"/>
    <s v="gp044R"/>
    <x v="20"/>
    <n v="1"/>
    <n v="1"/>
    <m/>
  </r>
  <r>
    <s v="I8"/>
    <s v="NPH-II"/>
    <s v="AAC55178.1"/>
    <s v="MC050R"/>
    <x v="21"/>
    <n v="0"/>
    <n v="1"/>
    <m/>
  </r>
  <r>
    <s v="I8"/>
    <s v="NPH-II"/>
    <s v="AYN64644.1"/>
    <s v="putative I8R protein"/>
    <x v="22"/>
    <n v="1"/>
    <n v="1"/>
    <m/>
  </r>
  <r>
    <s v="I8"/>
    <s v="NPH-II"/>
    <s v="AXN74869.1"/>
    <s v="RNA helicase"/>
    <x v="23"/>
    <n v="1"/>
    <n v="1"/>
    <m/>
  </r>
  <r>
    <s v="I8"/>
    <s v="NPH-II"/>
    <s v="ABH08184.1"/>
    <s v="HSPV078"/>
    <x v="24"/>
    <n v="1"/>
    <n v="1"/>
    <m/>
  </r>
  <r>
    <s v="I8"/>
    <s v="NPH-II"/>
    <s v="AAG37544.1"/>
    <s v="CMP74R"/>
    <x v="25"/>
    <n v="0"/>
    <n v="1"/>
    <m/>
  </r>
  <r>
    <s v="I8"/>
    <s v="NPH-II"/>
    <s v="AAL73782.1"/>
    <s v="putative NPH-II RNA helicase"/>
    <x v="26"/>
    <n v="0"/>
    <n v="1"/>
    <m/>
  </r>
  <r>
    <s v="I8"/>
    <s v="NPH-II"/>
    <s v="AAM13532.1"/>
    <s v="CPXV087 protein"/>
    <x v="27"/>
    <n v="1"/>
    <n v="1"/>
    <m/>
  </r>
  <r>
    <s v="I8"/>
    <s v="NPH-II"/>
    <s v="AAM92365.1"/>
    <s v="EVM061"/>
    <x v="28"/>
    <n v="1"/>
    <n v="1"/>
    <m/>
  </r>
  <r>
    <s v="I8"/>
    <s v="NPH-II"/>
    <s v="AFH54624.1"/>
    <s v="RNA helicase"/>
    <x v="29"/>
    <n v="0"/>
    <n v="1"/>
    <m/>
  </r>
  <r>
    <s v="I8"/>
    <s v="NPH-II"/>
    <s v="AAL40527.1"/>
    <s v="I8R"/>
    <x v="30"/>
    <n v="0"/>
    <n v="1"/>
    <m/>
  </r>
  <r>
    <s v="I8"/>
    <s v="NPH-II"/>
    <s v="AAX09164.1"/>
    <s v="MPXV-COP-063"/>
    <x v="31"/>
    <n v="0"/>
    <n v="1"/>
    <m/>
  </r>
  <r>
    <s v="I8"/>
    <s v="NPH-II"/>
    <s v="AKJ93706.1"/>
    <s v="RNA-helicase, DExH-NPH-II"/>
    <x v="32"/>
    <n v="1"/>
    <n v="1"/>
    <m/>
  </r>
  <r>
    <s v="I8"/>
    <s v="NPH-II"/>
    <s v="AOP31555.1"/>
    <s v="RNA helicase"/>
    <x v="33"/>
    <n v="1"/>
    <n v="1"/>
    <m/>
  </r>
  <r>
    <s v="I8"/>
    <s v="NPH-II"/>
    <s v="ABD97646.1"/>
    <s v="RNA-helicase"/>
    <x v="34"/>
    <n v="1"/>
    <n v="1"/>
    <m/>
  </r>
  <r>
    <s v="I8"/>
    <s v="NPH-II"/>
    <s v="AAO89356.1"/>
    <s v="RNA-helicase, DExH-NPH-II"/>
    <x v="35"/>
    <n v="0"/>
    <n v="1"/>
    <m/>
  </r>
  <r>
    <s v="I8"/>
    <s v="NPH-II"/>
    <s v="CAA49003.1"/>
    <s v="K8R"/>
    <x v="36"/>
    <n v="0"/>
    <n v="1"/>
    <m/>
  </r>
  <r>
    <s v="I8"/>
    <s v="NPH-II"/>
    <s v="CAB54662.1"/>
    <s v="L8R protein"/>
    <x v="37"/>
    <n v="1"/>
    <n v="1"/>
    <m/>
  </r>
  <r>
    <s v="I8"/>
    <s v="NPH-II"/>
    <s v="AOP31766.1"/>
    <s v="RNA helicase"/>
    <x v="38"/>
    <n v="1"/>
    <n v="1"/>
    <m/>
  </r>
  <r>
    <s v="I8"/>
    <s v="NPH-II"/>
    <s v="ASC55602.1"/>
    <s v="RNA helicase NPH-II-like protein"/>
    <x v="39"/>
    <n v="1"/>
    <n v="1"/>
    <m/>
  </r>
  <r>
    <s v="I8"/>
    <s v="NPH-II"/>
    <s v="AAR98393.1"/>
    <s v="ORF036 RNA helicase NPH-II"/>
    <x v="40"/>
    <n v="1"/>
    <n v="1"/>
    <m/>
  </r>
  <r>
    <s v="I8"/>
    <s v="NPH-II"/>
    <s v="AAR98261.1"/>
    <s v="ORF036 RNA helicase NPH-II"/>
    <x v="41"/>
    <n v="1"/>
    <n v="1"/>
    <m/>
  </r>
  <r>
    <s v="I8"/>
    <s v="NPH-II"/>
    <s v="ABA00553.1"/>
    <s v="RNA helicase"/>
    <x v="41"/>
    <n v="1"/>
    <n v="1"/>
    <m/>
  </r>
  <r>
    <s v="I8"/>
    <s v="NPH-II"/>
    <s v="AIZ77287.1"/>
    <s v="putative RNA helicase NPH-II"/>
    <x v="42"/>
    <n v="0"/>
    <n v="1"/>
    <m/>
  </r>
  <r>
    <s v="I8"/>
    <s v="NPH-II"/>
    <s v="ADC53937.1"/>
    <s v="RNA helicase NPH-II"/>
    <x v="43"/>
    <n v="1"/>
    <n v="1"/>
    <m/>
  </r>
  <r>
    <s v="I8"/>
    <s v="NPH-II"/>
    <s v="AAL69785.1"/>
    <s v="SPV046 putative NPH-II RNA helicase"/>
    <x v="44"/>
    <n v="1"/>
    <n v="1"/>
    <m/>
  </r>
  <r>
    <s v="I8"/>
    <s v="NPH-II"/>
    <s v="CAC21287.1"/>
    <s v="49R protein"/>
    <x v="45"/>
    <n v="0"/>
    <n v="1"/>
    <m/>
  </r>
  <r>
    <s v="I8"/>
    <s v="NPH-II"/>
    <s v="AAR07405.1"/>
    <s v="49R"/>
    <x v="46"/>
    <n v="1"/>
    <n v="1"/>
    <m/>
  </r>
  <r>
    <s v="I8"/>
    <s v="NPH-II"/>
    <s v="AAC97810.1"/>
    <s v="ORF MSV086 putative RNA helicase (vaccinia I8R), similar to GB:L22579"/>
    <x v="47"/>
    <n v="0"/>
    <n v="1"/>
    <m/>
  </r>
  <r>
    <s v="I8"/>
    <s v="NPH-II"/>
    <s v="BAO49530.1"/>
    <s v="RNA helicase NPH-II"/>
    <x v="48"/>
    <n v="1"/>
    <n v="1"/>
    <m/>
  </r>
  <r>
    <s v="I8"/>
    <s v="NPH-II"/>
    <s v="CCU55400.1"/>
    <s v="RNA helicase, DExH-NPH-II domain"/>
    <x v="49"/>
    <n v="0"/>
    <n v="1"/>
    <m/>
  </r>
  <r>
    <s v="I8"/>
    <s v="NPH-II"/>
    <s v="AAG02787.1"/>
    <s v="AMV081"/>
    <x v="50"/>
    <n v="1"/>
    <n v="1"/>
    <m/>
  </r>
  <r>
    <s v="I8"/>
    <s v="NPH-II"/>
    <s v="CCU55706.1"/>
    <s v="RNA helicase, DExH-NPH-II domain"/>
    <x v="51"/>
    <n v="1"/>
    <n v="1"/>
    <m/>
  </r>
  <r>
    <s v="I8"/>
    <s v="NPH-II"/>
    <s v="CCU56008.1"/>
    <s v="RNA helicase, DExH-NPH-II domain"/>
    <x v="52"/>
    <n v="0"/>
    <n v="1"/>
    <m/>
  </r>
  <r>
    <s v="I8"/>
    <s v="NPH-II"/>
    <s v="CCU56302.1"/>
    <s v="RNA helicase, DExH-NPH-II domain"/>
    <x v="53"/>
    <n v="0"/>
    <n v="1"/>
    <m/>
  </r>
  <r>
    <s v="I8"/>
    <s v="NPH-II"/>
    <s v="NP_659621.1"/>
    <s v="NPH-II, RNA helicase"/>
    <x v="54"/>
    <n v="1"/>
    <n v="1"/>
    <m/>
  </r>
  <r>
    <s v="I8"/>
    <s v="NPH-II"/>
    <s v="YP_001293240.1"/>
    <s v="hypothetical protein GTPV_gp045"/>
    <x v="55"/>
    <n v="0"/>
    <n v="1"/>
    <m/>
  </r>
  <r>
    <s v="J3"/>
    <s v="polyA polymerase small"/>
    <s v="ATI21175.1"/>
    <s v="polymerase small subunit VP39"/>
    <x v="0"/>
    <n v="1"/>
    <n v="1"/>
    <m/>
  </r>
  <r>
    <s v="J3"/>
    <s v="polyA polymerase small"/>
    <s v="AWU47111.1"/>
    <s v="poly polymerase small subuni"/>
    <x v="1"/>
    <n v="1"/>
    <n v="1"/>
    <m/>
  </r>
  <r>
    <s v="J3"/>
    <s v="polyA polymerase small"/>
    <s v="APG58285.1"/>
    <s v="cap-specific mRNA nucleoside-2'-O--methyltransferase"/>
    <x v="2"/>
    <n v="0"/>
    <n v="1"/>
    <m/>
  </r>
  <r>
    <s v="J3"/>
    <s v="polyA polymerase small"/>
    <s v="ADT91098.1"/>
    <s v="polyA polymerase small subuni"/>
    <x v="3"/>
    <n v="0"/>
    <n v="1"/>
    <m/>
  </r>
  <r>
    <s v="J3"/>
    <s v="polyA polymerase small"/>
    <s v="ANS71155.1"/>
    <s v="poly(a) polymerase small subuni"/>
    <x v="4"/>
    <n v="1"/>
    <n v="1"/>
    <m/>
  </r>
  <r>
    <s v="J3"/>
    <s v="polyA polymerase small"/>
    <s v="AKR04186.1"/>
    <s v="poly(A) polymerase small subunit PAPS"/>
    <x v="5"/>
    <n v="1"/>
    <n v="1"/>
    <m/>
  </r>
  <r>
    <s v="J3"/>
    <s v="polyA polymerase small"/>
    <s v="CCD83243.1"/>
    <s v="poly(A) polymerase and RNA methyltransferase"/>
    <x v="6"/>
    <n v="0"/>
    <n v="1"/>
    <m/>
  </r>
  <r>
    <s v="J3"/>
    <s v="polyA polymerase small"/>
    <s v="ASK51273.1"/>
    <s v="Poly (A) polymerase small subuni"/>
    <x v="7"/>
    <n v="1"/>
    <n v="1"/>
    <m/>
  </r>
  <r>
    <s v="J3"/>
    <s v="polyA polymerase small"/>
    <s v="AUD40238.1"/>
    <s v="polyA polymerase small subuni"/>
    <x v="8"/>
    <n v="0"/>
    <n v="1"/>
    <m/>
  </r>
  <r>
    <s v="J3"/>
    <s v="polyA polymerase small"/>
    <s v="AID46870.1"/>
    <s v="polyA polymerase PAPs"/>
    <x v="9"/>
    <n v="1"/>
    <n v="1"/>
    <m/>
  </r>
  <r>
    <s v="J3"/>
    <s v="polyA polymerase small"/>
    <s v="AID46641.1"/>
    <s v="polyA polymerase PAPs"/>
    <x v="10"/>
    <n v="1"/>
    <n v="1"/>
    <m/>
  </r>
  <r>
    <s v="J3"/>
    <s v="polyA polymerase small"/>
    <s v="ALA62471.1"/>
    <s v="poly(A) polymerase small subunit PAPS"/>
    <x v="11"/>
    <n v="1"/>
    <n v="1"/>
    <m/>
  </r>
  <r>
    <s v="J3"/>
    <s v="polyA polymerase small"/>
    <s v="AAR83525.1"/>
    <s v="CNPV179 poly(A) polymerase small subunit PAPS"/>
    <x v="12"/>
    <n v="1"/>
    <n v="1"/>
    <m/>
  </r>
  <r>
    <s v="J3"/>
    <s v="polyA polymerase small"/>
    <s v="AAF44478.1"/>
    <s v="ORF FPV134 Poly(A) polymerase small subunit PAP-S"/>
    <x v="13"/>
    <n v="1"/>
    <n v="1"/>
    <m/>
  </r>
  <r>
    <s v="J3"/>
    <s v="polyA polymerase small"/>
    <s v="AAK85029.1"/>
    <s v="LSDV068 poly(A) polymerase small subuni"/>
    <x v="14"/>
    <n v="0"/>
    <n v="1"/>
    <m/>
  </r>
  <r>
    <s v="J3"/>
    <s v="polyA polymerase small"/>
    <s v="AST09286.1"/>
    <s v="VP39"/>
    <x v="15"/>
    <n v="1"/>
    <n v="1"/>
    <m/>
  </r>
  <r>
    <s v="J3"/>
    <s v="polyA polymerase small"/>
    <s v="AEN03664.1"/>
    <s v="VP39"/>
    <x v="16"/>
    <n v="1"/>
    <n v="1"/>
    <m/>
  </r>
  <r>
    <s v="J3"/>
    <s v="polyA polymerase small"/>
    <s v="ABI99232.1"/>
    <s v="poly(A) polymerase small subuni"/>
    <x v="17"/>
    <n v="0"/>
    <n v="1"/>
    <m/>
  </r>
  <r>
    <s v="J3"/>
    <s v="polyA polymerase small"/>
    <s v="ABJ08987.1"/>
    <s v="poly(A) polymerase small subuni"/>
    <x v="18"/>
    <n v="1"/>
    <n v="1"/>
    <m/>
  </r>
  <r>
    <s v="J3"/>
    <s v="polyA polymerase small"/>
    <s v="AAF14953.1"/>
    <s v="m65R"/>
    <x v="19"/>
    <n v="1"/>
    <n v="1"/>
    <m/>
  </r>
  <r>
    <s v="J3"/>
    <s v="polyA polymerase small"/>
    <s v="AFU77329.1"/>
    <s v="m65R"/>
    <x v="19"/>
    <n v="1"/>
    <n v="1"/>
    <m/>
  </r>
  <r>
    <s v="J3"/>
    <s v="polyA polymerase small"/>
    <s v="AAF17947.1"/>
    <s v="gp065R"/>
    <x v="20"/>
    <n v="1"/>
    <n v="1"/>
    <m/>
  </r>
  <r>
    <s v="J3"/>
    <s v="polyA polymerase small"/>
    <s v="AAC55204.1"/>
    <s v="MC076R"/>
    <x v="21"/>
    <n v="0"/>
    <n v="1"/>
    <m/>
  </r>
  <r>
    <s v="J3"/>
    <s v="polyA polymerase small"/>
    <s v="AYN64661.1"/>
    <s v="putative J3R protein"/>
    <x v="22"/>
    <n v="1"/>
    <n v="1"/>
    <m/>
  </r>
  <r>
    <s v="J3"/>
    <s v="polyA polymerase small"/>
    <s v="AXN74888.1"/>
    <s v="Poly(A) polymerase small subuni"/>
    <x v="23"/>
    <n v="1"/>
    <n v="1"/>
    <m/>
  </r>
  <r>
    <s v="J3"/>
    <s v="polyA polymerase small"/>
    <s v="ABH08202.1"/>
    <s v="HSPV096"/>
    <x v="24"/>
    <n v="1"/>
    <n v="1"/>
    <m/>
  </r>
  <r>
    <s v="J3"/>
    <s v="polyA polymerase small"/>
    <s v="AAG37564.1"/>
    <s v="CMP92R"/>
    <x v="25"/>
    <n v="0"/>
    <n v="1"/>
    <m/>
  </r>
  <r>
    <s v="J3"/>
    <s v="polyA polymerase small"/>
    <s v="AAL73800.1"/>
    <s v="poly(A) polymerase small subunit PAPS"/>
    <x v="26"/>
    <n v="0"/>
    <n v="1"/>
    <m/>
  </r>
  <r>
    <s v="J3"/>
    <s v="polyA polymerase small"/>
    <s v="AAM13549.1"/>
    <s v="CPXV106 protein"/>
    <x v="27"/>
    <n v="1"/>
    <n v="1"/>
    <m/>
  </r>
  <r>
    <s v="J3"/>
    <s v="polyA polymerase small"/>
    <s v="AAM92383.1"/>
    <s v="EVM079"/>
    <x v="28"/>
    <n v="1"/>
    <n v="1"/>
    <m/>
  </r>
  <r>
    <s v="J3"/>
    <s v="polyA polymerase small"/>
    <s v="AFH54642.1"/>
    <s v="poly(a) polymerase small subuni"/>
    <x v="29"/>
    <n v="0"/>
    <n v="1"/>
    <m/>
  </r>
  <r>
    <s v="J3"/>
    <s v="polyA polymerase small"/>
    <s v="AAL40545.1"/>
    <s v="L3R"/>
    <x v="30"/>
    <n v="0"/>
    <n v="1"/>
    <m/>
  </r>
  <r>
    <s v="J3"/>
    <s v="polyA polymerase small"/>
    <s v="AAX09182.1"/>
    <s v="MPXV-COP-081"/>
    <x v="31"/>
    <n v="0"/>
    <n v="1"/>
    <m/>
  </r>
  <r>
    <s v="J3"/>
    <s v="polyA polymerase small"/>
    <s v="AKJ93724.1"/>
    <s v="Multifunctional poly-A polymerase small subunit protein VP39"/>
    <x v="32"/>
    <n v="1"/>
    <n v="1"/>
    <m/>
  </r>
  <r>
    <s v="J3"/>
    <s v="polyA polymerase small"/>
    <s v="AOP31573.1"/>
    <s v="poly polymerase small subuni"/>
    <x v="33"/>
    <n v="1"/>
    <n v="1"/>
    <m/>
  </r>
  <r>
    <s v="J3"/>
    <s v="polyA polymerase small"/>
    <s v="ABD97664.1"/>
    <s v="poly-A polymerase subuni"/>
    <x v="34"/>
    <n v="1"/>
    <n v="1"/>
    <m/>
  </r>
  <r>
    <s v="J3"/>
    <s v="polyA polymerase small"/>
    <s v="AAO89374.1"/>
    <s v="multifunctional poly-A polymerase subuni"/>
    <x v="35"/>
    <n v="0"/>
    <n v="1"/>
    <m/>
  </r>
  <r>
    <s v="J3"/>
    <s v="polyA polymerase small"/>
    <s v="CAA49021.1"/>
    <s v="L3R"/>
    <x v="36"/>
    <n v="0"/>
    <n v="1"/>
    <m/>
  </r>
  <r>
    <s v="J3"/>
    <s v="polyA polymerase small"/>
    <s v="CAB54680.1"/>
    <s v="M3R protein"/>
    <x v="37"/>
    <n v="1"/>
    <n v="1"/>
    <m/>
  </r>
  <r>
    <s v="J3"/>
    <s v="polyA polymerase small"/>
    <s v="AOP31784.1"/>
    <s v="poly polymerase small subuni"/>
    <x v="38"/>
    <n v="1"/>
    <n v="1"/>
    <m/>
  </r>
  <r>
    <s v="J3"/>
    <s v="polyA polymerase small"/>
    <s v="ASC55587.1"/>
    <s v="poly(A) polymerase small subunit-like protein"/>
    <x v="39"/>
    <n v="1"/>
    <n v="1"/>
    <m/>
  </r>
  <r>
    <s v="J3"/>
    <s v="polyA polymerase small"/>
    <s v="AAR98410.1"/>
    <s v="ORF053 poly-A polymerase small subunit VP39 PAPS"/>
    <x v="40"/>
    <n v="1"/>
    <n v="1"/>
    <m/>
  </r>
  <r>
    <s v="J3"/>
    <s v="polyA polymerase small"/>
    <s v="AAR98278.1"/>
    <s v="ORF053 poly-A polymerase small subunit VP39 PAPS"/>
    <x v="41"/>
    <n v="1"/>
    <n v="1"/>
    <m/>
  </r>
  <r>
    <s v="J3"/>
    <s v="polyA polymerase small"/>
    <s v="ABA00570.1"/>
    <s v="poly(A) polymerase subuni"/>
    <x v="41"/>
    <n v="1"/>
    <n v="1"/>
    <m/>
  </r>
  <r>
    <s v="J3"/>
    <s v="polyA polymerase small"/>
    <s v="AIZ77304.1"/>
    <s v="putative poly-A polymerase small subunit VP39 PAPS"/>
    <x v="42"/>
    <n v="0"/>
    <n v="1"/>
    <m/>
  </r>
  <r>
    <s v="J3"/>
    <s v="polyA polymerase small"/>
    <s v="ADC53954.1"/>
    <s v="poly(A)-polymerase subuni"/>
    <x v="43"/>
    <n v="1"/>
    <n v="1"/>
    <m/>
  </r>
  <r>
    <s v="J3"/>
    <s v="polyA polymerase small"/>
    <s v="AAL69804.1"/>
    <s v="SPV065 poly(A) polymerase small subunit PAPS"/>
    <x v="44"/>
    <n v="1"/>
    <n v="1"/>
    <m/>
  </r>
  <r>
    <s v="J3"/>
    <s v="polyA polymerase small"/>
    <s v="CAC21306.1"/>
    <s v="68R protein"/>
    <x v="45"/>
    <n v="0"/>
    <n v="1"/>
    <m/>
  </r>
  <r>
    <s v="J3"/>
    <s v="polyA polymerase small"/>
    <s v="AAR07424.1"/>
    <s v="68R"/>
    <x v="46"/>
    <n v="1"/>
    <n v="1"/>
    <m/>
  </r>
  <r>
    <s v="J3"/>
    <s v="polyA polymerase small"/>
    <s v="AAC97833.1"/>
    <s v="ORF MSV041 putative poly(A) polymerase small subunit PAP-S homolog (vaccinia J3R), similar to GB:L22579"/>
    <x v="47"/>
    <n v="0"/>
    <n v="1"/>
    <m/>
  </r>
  <r>
    <s v="J3"/>
    <s v="polyA polymerase small"/>
    <s v="BAO49540.1"/>
    <s v="putative poly(A) polymerase small subuni"/>
    <x v="48"/>
    <n v="1"/>
    <n v="1"/>
    <m/>
  </r>
  <r>
    <s v="J3"/>
    <s v="polyA polymerase small"/>
    <s v="CCU55378.1"/>
    <s v="poly(A) polymerase small subunit VP39"/>
    <x v="49"/>
    <n v="0"/>
    <n v="1"/>
    <m/>
  </r>
  <r>
    <s v="J3"/>
    <s v="polyA polymerase small"/>
    <s v="AAG02766.1"/>
    <s v="AMV060"/>
    <x v="50"/>
    <n v="1"/>
    <n v="1"/>
    <m/>
  </r>
  <r>
    <s v="J3"/>
    <s v="polyA polymerase small"/>
    <s v="CCU55673.1"/>
    <s v="poly(A) polymerase small subunit VP39"/>
    <x v="51"/>
    <n v="1"/>
    <n v="1"/>
    <m/>
  </r>
  <r>
    <s v="J3"/>
    <s v="polyA polymerase small"/>
    <s v="CCU55984.1"/>
    <s v="poly(A) polymerase small subunit VP39"/>
    <x v="52"/>
    <n v="0"/>
    <n v="1"/>
    <m/>
  </r>
  <r>
    <s v="J3"/>
    <s v="polyA polymerase small"/>
    <s v="CCU56281.1"/>
    <s v="poly(A) polymerase small subunit VP39"/>
    <x v="53"/>
    <n v="0"/>
    <n v="1"/>
    <m/>
  </r>
  <r>
    <s v="J3"/>
    <s v="polyA polymerase small"/>
    <s v="NP_659640.1"/>
    <s v="Poly(A) polymerase small subunit PAPs"/>
    <x v="54"/>
    <n v="1"/>
    <n v="1"/>
    <m/>
  </r>
  <r>
    <s v="J3"/>
    <s v="polyA polymerase small"/>
    <s v="YP_001293259.1"/>
    <s v="hypothetical protein GTPV_gp064"/>
    <x v="55"/>
    <n v="0"/>
    <n v="1"/>
    <m/>
  </r>
  <r>
    <s v="J6"/>
    <s v="RPO147"/>
    <s v="ATI21178.1"/>
    <s v="RNA polymerase"/>
    <x v="0"/>
    <n v="1"/>
    <n v="1"/>
    <m/>
  </r>
  <r>
    <s v="J6"/>
    <s v="RPO147"/>
    <s v="AWU47114.1"/>
    <s v="RNA polymerase"/>
    <x v="1"/>
    <n v="1"/>
    <n v="1"/>
    <m/>
  </r>
  <r>
    <s v="J6"/>
    <s v="RPO147"/>
    <s v="APG58288.1"/>
    <s v="DNA-directed RNA polymerase 147 kDa polypeptide"/>
    <x v="2"/>
    <n v="0"/>
    <n v="1"/>
    <m/>
  </r>
  <r>
    <s v="J6"/>
    <s v="RPO147"/>
    <s v="ADT91101.1"/>
    <s v="DNA-dependent RNA polymerase subunit RPO147"/>
    <x v="3"/>
    <n v="0"/>
    <n v="1"/>
    <m/>
  </r>
  <r>
    <s v="J6"/>
    <s v="RPO147"/>
    <s v="ANS71158.1"/>
    <s v="RNA polymerase"/>
    <x v="4"/>
    <n v="1"/>
    <n v="1"/>
    <m/>
  </r>
  <r>
    <s v="J6"/>
    <s v="RPO147"/>
    <s v="AKR04289.1"/>
    <s v="DNA-directed RNA polymerase subunit alpha"/>
    <x v="5"/>
    <n v="1"/>
    <n v="1"/>
    <m/>
  </r>
  <r>
    <s v="J6"/>
    <s v="RPO147"/>
    <s v="CCD83246.1"/>
    <s v="DNA-dependent RNA polymerase subunit rpo147"/>
    <x v="6"/>
    <n v="0"/>
    <n v="1"/>
    <m/>
  </r>
  <r>
    <s v="J6"/>
    <s v="RPO147"/>
    <s v="ASK51276.1"/>
    <s v="RNA polymerase subuni"/>
    <x v="7"/>
    <n v="1"/>
    <n v="1"/>
    <m/>
  </r>
  <r>
    <s v="J6"/>
    <s v="RPO147"/>
    <s v="AUD40241.1"/>
    <s v="RNA polymerase subunit 147"/>
    <x v="8"/>
    <n v="0"/>
    <n v="1"/>
    <m/>
  </r>
  <r>
    <s v="J6"/>
    <s v="RPO147"/>
    <s v="AID46873.1"/>
    <s v="RNA polymerase subunit RPO147"/>
    <x v="9"/>
    <n v="1"/>
    <n v="1"/>
    <m/>
  </r>
  <r>
    <s v="J6"/>
    <s v="RPO147"/>
    <s v="AID46644.1"/>
    <s v="RNA polymerase subunit RPO147"/>
    <x v="10"/>
    <n v="1"/>
    <n v="1"/>
    <m/>
  </r>
  <r>
    <s v="J6"/>
    <s v="RPO147"/>
    <s v="ALA62474.1"/>
    <s v="RNA polymerase subuni"/>
    <x v="11"/>
    <n v="1"/>
    <n v="1"/>
    <m/>
  </r>
  <r>
    <s v="J6"/>
    <s v="RPO147"/>
    <s v="AAR83528.1"/>
    <s v="CNPV182 RNA polymerase subunit RPO147"/>
    <x v="12"/>
    <n v="1"/>
    <n v="1"/>
    <m/>
  </r>
  <r>
    <s v="J6"/>
    <s v="RPO147"/>
    <s v="AAF44481.1"/>
    <s v="ORF FPV137 RNA polymerase subunit, RPO147"/>
    <x v="13"/>
    <n v="1"/>
    <n v="1"/>
    <m/>
  </r>
  <r>
    <s v="J6"/>
    <s v="RPO147"/>
    <s v="AAK85032.1"/>
    <s v="LSDV071 RNA polymerase subuni"/>
    <x v="14"/>
    <n v="0"/>
    <n v="1"/>
    <m/>
  </r>
  <r>
    <s v="J6"/>
    <s v="RPO147"/>
    <s v="AST09289.1"/>
    <s v="DNA-dependent RNA polymerase subunit rpo147"/>
    <x v="15"/>
    <n v="1"/>
    <n v="1"/>
    <m/>
  </r>
  <r>
    <s v="J6"/>
    <s v="RPO147"/>
    <s v="AEN03667.1"/>
    <s v="DNA-dependent RNA polymerase subunit rpo147"/>
    <x v="16"/>
    <n v="1"/>
    <n v="1"/>
    <m/>
  </r>
  <r>
    <s v="J6"/>
    <s v="RPO147"/>
    <s v="ABI99235.1"/>
    <s v="RNA polymerase subunit RPO147"/>
    <x v="17"/>
    <n v="0"/>
    <n v="1"/>
    <m/>
  </r>
  <r>
    <s v="J6"/>
    <s v="RPO147"/>
    <s v="ABJ08990.1"/>
    <s v="RNA polymerase subunit RPO147"/>
    <x v="18"/>
    <n v="1"/>
    <n v="1"/>
    <m/>
  </r>
  <r>
    <s v="J6"/>
    <s v="RPO147"/>
    <s v="AAF14956.1"/>
    <s v="m68R"/>
    <x v="19"/>
    <n v="1"/>
    <n v="1"/>
    <m/>
  </r>
  <r>
    <s v="J6"/>
    <s v="RPO147"/>
    <s v="AFU77332.1"/>
    <s v="m68R"/>
    <x v="19"/>
    <n v="1"/>
    <n v="1"/>
    <m/>
  </r>
  <r>
    <s v="J6"/>
    <s v="RPO147"/>
    <s v="AAF17950.1"/>
    <s v="gp068R"/>
    <x v="20"/>
    <n v="1"/>
    <n v="1"/>
    <m/>
  </r>
  <r>
    <s v="J6"/>
    <s v="RPO147"/>
    <s v="AAC55207.1"/>
    <s v="MC079R"/>
    <x v="21"/>
    <n v="0"/>
    <n v="1"/>
    <m/>
  </r>
  <r>
    <s v="J6"/>
    <s v="RPO147"/>
    <s v="AYN64664.1"/>
    <s v="putative J6R protein"/>
    <x v="22"/>
    <n v="1"/>
    <n v="1"/>
    <m/>
  </r>
  <r>
    <s v="J6"/>
    <s v="RPO147"/>
    <s v="AXN74891.1"/>
    <s v="RNA polymerase subuni"/>
    <x v="23"/>
    <n v="1"/>
    <n v="1"/>
    <m/>
  </r>
  <r>
    <s v="J6"/>
    <s v="RPO147"/>
    <s v="ABH08205.1"/>
    <s v="HSPV099"/>
    <x v="24"/>
    <n v="1"/>
    <n v="1"/>
    <m/>
  </r>
  <r>
    <s v="J6"/>
    <s v="RPO147"/>
    <s v="AAG37567.1"/>
    <s v="CMP95R"/>
    <x v="25"/>
    <n v="0"/>
    <n v="1"/>
    <m/>
  </r>
  <r>
    <s v="J6"/>
    <s v="RPO147"/>
    <s v="AAL73803.1"/>
    <s v="RNA polymerase subunit RPO147"/>
    <x v="26"/>
    <n v="0"/>
    <n v="1"/>
    <m/>
  </r>
  <r>
    <s v="J6"/>
    <s v="RPO147"/>
    <s v="AAM13552.1"/>
    <s v="CPXV109 protein"/>
    <x v="27"/>
    <n v="1"/>
    <n v="1"/>
    <m/>
  </r>
  <r>
    <s v="J6"/>
    <s v="RPO147"/>
    <s v="AAM92386.1"/>
    <s v="EVM082"/>
    <x v="28"/>
    <n v="1"/>
    <n v="1"/>
    <m/>
  </r>
  <r>
    <s v="J6"/>
    <s v="RPO147"/>
    <s v="AFH54645.1"/>
    <s v="RNA polymerase 147 subuni"/>
    <x v="29"/>
    <n v="0"/>
    <n v="1"/>
    <m/>
  </r>
  <r>
    <s v="J6"/>
    <s v="RPO147"/>
    <s v="AAL40548.1"/>
    <s v="L6R"/>
    <x v="30"/>
    <n v="0"/>
    <n v="1"/>
    <m/>
  </r>
  <r>
    <s v="J6"/>
    <s v="RPO147"/>
    <s v="AAX09185.1"/>
    <s v="MPXV-COP-084"/>
    <x v="31"/>
    <n v="0"/>
    <n v="1"/>
    <m/>
  </r>
  <r>
    <s v="J6"/>
    <s v="RPO147"/>
    <s v="AKJ93727.1"/>
    <s v="RNA polymerase subunit RPO147 protein"/>
    <x v="32"/>
    <n v="1"/>
    <n v="1"/>
    <m/>
  </r>
  <r>
    <s v="J6"/>
    <s v="RPO147"/>
    <s v="AOP31576.1"/>
    <s v="RNA polymerase"/>
    <x v="33"/>
    <n v="1"/>
    <n v="1"/>
    <m/>
  </r>
  <r>
    <s v="J6"/>
    <s v="RPO147"/>
    <s v="ABD97666.1"/>
    <s v="DNA-dependent RNA polymerase subunit rpo147"/>
    <x v="34"/>
    <n v="1"/>
    <n v="1"/>
    <m/>
  </r>
  <r>
    <s v="J6"/>
    <s v="RPO147"/>
    <s v="AAO89377.1"/>
    <s v="DNA-dependent RNA polymerase subunit rpo147"/>
    <x v="35"/>
    <n v="0"/>
    <n v="1"/>
    <m/>
  </r>
  <r>
    <s v="J6"/>
    <s v="RPO147"/>
    <s v="CAA49024.1"/>
    <s v="L6R"/>
    <x v="36"/>
    <n v="0"/>
    <n v="1"/>
    <m/>
  </r>
  <r>
    <s v="J6"/>
    <s v="RPO147"/>
    <s v="CAB54683.1"/>
    <s v="M6R protein"/>
    <x v="37"/>
    <n v="1"/>
    <n v="1"/>
    <m/>
  </r>
  <r>
    <s v="J6"/>
    <s v="RPO147"/>
    <s v="AOP31787.1"/>
    <s v="RNA polymerase"/>
    <x v="38"/>
    <n v="1"/>
    <n v="1"/>
    <m/>
  </r>
  <r>
    <s v="J6"/>
    <s v="RPO147"/>
    <s v="ASC55584.1"/>
    <s v="RNA polymerase subunit RPO147-like protein"/>
    <x v="39"/>
    <n v="1"/>
    <n v="1"/>
    <m/>
  </r>
  <r>
    <s v="J6"/>
    <s v="RPO147"/>
    <s v="AAR98413.1"/>
    <s v="ORF056 RNA polymerase subunit RPO147"/>
    <x v="40"/>
    <n v="1"/>
    <n v="1"/>
    <m/>
  </r>
  <r>
    <s v="J6"/>
    <s v="RPO147"/>
    <s v="AAR98281.1"/>
    <s v="ORF056 RNA polymerase subunit RPO147"/>
    <x v="41"/>
    <n v="1"/>
    <n v="1"/>
    <m/>
  </r>
  <r>
    <s v="J6"/>
    <s v="RPO147"/>
    <s v="ABA00573.1"/>
    <s v="RNA polymerase subunit RPO147"/>
    <x v="41"/>
    <n v="1"/>
    <n v="1"/>
    <m/>
  </r>
  <r>
    <s v="J6"/>
    <s v="RPO147"/>
    <s v="AIZ77307.1"/>
    <s v="putative RNA polymerase subunit RPO147"/>
    <x v="42"/>
    <n v="0"/>
    <n v="1"/>
    <m/>
  </r>
  <r>
    <s v="J6"/>
    <s v="RPO147"/>
    <s v="ADC53957.1"/>
    <s v="RNA-polymerase subunit RPO147"/>
    <x v="43"/>
    <n v="1"/>
    <n v="1"/>
    <m/>
  </r>
  <r>
    <s v="J6"/>
    <s v="RPO147"/>
    <s v="AAL69807.1"/>
    <s v="SPV068 RNA polymerase subunit RPO147"/>
    <x v="44"/>
    <n v="1"/>
    <n v="1"/>
    <m/>
  </r>
  <r>
    <s v="J6"/>
    <s v="RPO147"/>
    <s v="CAC21309.1"/>
    <s v="71R protein"/>
    <x v="45"/>
    <n v="0"/>
    <n v="1"/>
    <m/>
  </r>
  <r>
    <s v="J6"/>
    <s v="RPO147"/>
    <s v="AAR07427.1"/>
    <s v="71R"/>
    <x v="46"/>
    <n v="1"/>
    <n v="1"/>
    <m/>
  </r>
  <r>
    <s v="J6"/>
    <s v="RPO147"/>
    <s v="AAC97832.1"/>
    <s v="ORF MSV043 putative RNA polymerase largest subunit RPO147 homolog (vaccinia J6R), similar to SW:P20504"/>
    <x v="47"/>
    <n v="0"/>
    <n v="1"/>
    <m/>
  </r>
  <r>
    <s v="J6"/>
    <s v="RPO147"/>
    <s v="BAO49590.1"/>
    <s v="putative RNA polymerase largest subuni"/>
    <x v="48"/>
    <n v="1"/>
    <n v="1"/>
    <m/>
  </r>
  <r>
    <s v="J6"/>
    <s v="RPO147"/>
    <s v="CCU55520.1"/>
    <s v="RNA polymerase RPO147"/>
    <x v="49"/>
    <n v="0"/>
    <n v="1"/>
    <m/>
  </r>
  <r>
    <s v="J6"/>
    <s v="RPO147"/>
    <s v="AAG02927.1"/>
    <s v="AMV221"/>
    <x v="50"/>
    <n v="1"/>
    <n v="1"/>
    <m/>
  </r>
  <r>
    <s v="J6"/>
    <s v="RPO147"/>
    <s v="CCU55824.1"/>
    <s v="RNA polymerase RPO147"/>
    <x v="51"/>
    <n v="1"/>
    <n v="1"/>
    <m/>
  </r>
  <r>
    <s v="J6"/>
    <s v="RPO147"/>
    <s v="CCU56124.1"/>
    <s v="RNA polymerase RPO147"/>
    <x v="52"/>
    <n v="0"/>
    <n v="1"/>
    <m/>
  </r>
  <r>
    <s v="J6"/>
    <s v="RPO147"/>
    <s v="CCU56442.1"/>
    <s v="RNA polymerase RPO147"/>
    <x v="53"/>
    <n v="0"/>
    <n v="1"/>
    <m/>
  </r>
  <r>
    <s v="J6"/>
    <s v="RPO147"/>
    <s v="NP_659643.1"/>
    <s v="RNA polymerase subunit RPO147"/>
    <x v="54"/>
    <n v="1"/>
    <n v="1"/>
    <m/>
  </r>
  <r>
    <s v="J6"/>
    <s v="RPO147"/>
    <s v="YP_001293262.1"/>
    <s v="hypothetical protein GTPV_gp067"/>
    <x v="55"/>
    <n v="0"/>
    <n v="1"/>
    <m/>
  </r>
  <r>
    <s v="L1"/>
    <s v="IMV membrane protein"/>
    <s v="ATI21168.1"/>
    <s v="IMV membrane protein"/>
    <x v="0"/>
    <n v="1"/>
    <n v="1"/>
    <m/>
  </r>
  <r>
    <s v="L1"/>
    <s v="IMV membrane protein"/>
    <s v="AWU47105.1"/>
    <s v="IMV myristylated membrane protein"/>
    <x v="1"/>
    <n v="1"/>
    <n v="1"/>
    <m/>
  </r>
  <r>
    <s v="L1"/>
    <s v="IMV membrane protein"/>
    <s v="APG58277.1"/>
    <s v="protein L1"/>
    <x v="2"/>
    <n v="0"/>
    <n v="1"/>
    <m/>
  </r>
  <r>
    <s v="L1"/>
    <s v="IMV membrane protein"/>
    <s v="ADT91092.1"/>
    <s v="myristylated MV membrane protein"/>
    <x v="3"/>
    <n v="0"/>
    <n v="1"/>
    <m/>
  </r>
  <r>
    <s v="L1"/>
    <s v="IMV membrane protein"/>
    <s v="ANS71149.1"/>
    <s v="imv membrane protein"/>
    <x v="4"/>
    <n v="1"/>
    <n v="1"/>
    <m/>
  </r>
  <r>
    <s v="L1"/>
    <s v="IMV membrane protein"/>
    <s v="AKR04221.1"/>
    <s v="myristylated IMV envelope protein L1R"/>
    <x v="5"/>
    <n v="1"/>
    <n v="1"/>
    <m/>
  </r>
  <r>
    <s v="L1"/>
    <s v="IMV membrane protein"/>
    <s v="CCD83237.1"/>
    <s v="myristylprotein / IMV protein"/>
    <x v="6"/>
    <n v="0"/>
    <n v="1"/>
    <m/>
  </r>
  <r>
    <s v="L1"/>
    <s v="IMV membrane protein"/>
    <s v="ASK51265.1"/>
    <s v="Myristylated IMV envelope protein"/>
    <x v="7"/>
    <n v="1"/>
    <n v="1"/>
    <m/>
  </r>
  <r>
    <s v="L1"/>
    <s v="IMV membrane protein"/>
    <s v="AUD40232.1"/>
    <s v="myristylated MV membrane protein"/>
    <x v="8"/>
    <n v="0"/>
    <n v="1"/>
    <m/>
  </r>
  <r>
    <s v="L1"/>
    <s v="IMV membrane protein"/>
    <s v="AID46864.1"/>
    <s v="myristylated protein"/>
    <x v="9"/>
    <n v="1"/>
    <n v="1"/>
    <m/>
  </r>
  <r>
    <s v="L1"/>
    <s v="IMV membrane protein"/>
    <s v="AID46635.1"/>
    <s v="myristylated protein"/>
    <x v="10"/>
    <n v="1"/>
    <n v="1"/>
    <m/>
  </r>
  <r>
    <s v="L1"/>
    <s v="IMV membrane protein"/>
    <s v="ALA62465.1"/>
    <s v="myristylated membrane protein"/>
    <x v="11"/>
    <n v="1"/>
    <n v="1"/>
    <m/>
  </r>
  <r>
    <s v="L1"/>
    <s v="IMV membrane protein"/>
    <s v="AAR83519.1"/>
    <s v="CNPV173 putative myristylated IMV envelope protein"/>
    <x v="12"/>
    <n v="1"/>
    <n v="1"/>
    <m/>
  </r>
  <r>
    <s v="L1"/>
    <s v="IMV membrane protein"/>
    <s v="AAF44472.1"/>
    <s v="ORF FPV128 Myristylated membrane protein"/>
    <x v="13"/>
    <n v="1"/>
    <n v="1"/>
    <m/>
  </r>
  <r>
    <s v="L1"/>
    <s v="IMV membrane protein"/>
    <s v="YP_001293251.1"/>
    <s v="hypothetical protein GTPV_gp056"/>
    <x v="55"/>
    <n v="0"/>
    <n v="1"/>
    <m/>
  </r>
  <r>
    <s v="L1"/>
    <s v="IMV membrane protein"/>
    <s v="AAK85021.1"/>
    <s v="LSDV060 putative myristylated IMV envelope protein"/>
    <x v="14"/>
    <n v="0"/>
    <n v="1"/>
    <m/>
  </r>
  <r>
    <s v="L1"/>
    <s v="IMV membrane protein"/>
    <s v="NP_659632.1"/>
    <s v="Myristylated IMV envelope protein"/>
    <x v="54"/>
    <n v="1"/>
    <n v="1"/>
    <m/>
  </r>
  <r>
    <s v="L1"/>
    <s v="IMV membrane protein"/>
    <s v="AST09279.1"/>
    <s v="IMV membrane protein"/>
    <x v="15"/>
    <n v="1"/>
    <n v="1"/>
    <m/>
  </r>
  <r>
    <s v="L1"/>
    <s v="IMV membrane protein"/>
    <s v="AEN03657.1"/>
    <s v="IMV membrane protein"/>
    <x v="16"/>
    <n v="1"/>
    <n v="1"/>
    <m/>
  </r>
  <r>
    <s v="L1"/>
    <s v="IMV membrane protein"/>
    <s v="ABI99224.1"/>
    <s v="myristylated IMV envelope protein"/>
    <x v="17"/>
    <n v="0"/>
    <n v="1"/>
    <m/>
  </r>
  <r>
    <s v="L1"/>
    <s v="IMV membrane protein"/>
    <s v="ABJ08973.1"/>
    <s v="myristylated IMV envelope protein"/>
    <x v="18"/>
    <n v="1"/>
    <n v="1"/>
    <m/>
  </r>
  <r>
    <s v="L1"/>
    <s v="IMV membrane protein"/>
    <s v="AAF14943.1"/>
    <s v="m55R"/>
    <x v="19"/>
    <n v="1"/>
    <n v="1"/>
    <m/>
  </r>
  <r>
    <s v="L1"/>
    <s v="IMV membrane protein"/>
    <s v="AFU77319.1"/>
    <s v="m55R"/>
    <x v="19"/>
    <n v="1"/>
    <n v="1"/>
    <m/>
  </r>
  <r>
    <s v="L1"/>
    <s v="IMV membrane protein"/>
    <s v="AAF17937.1"/>
    <s v="gp055R"/>
    <x v="20"/>
    <n v="1"/>
    <n v="1"/>
    <m/>
  </r>
  <r>
    <s v="L1"/>
    <s v="IMV membrane protein"/>
    <s v="AAC55197.1"/>
    <s v="MC069R"/>
    <x v="21"/>
    <n v="0"/>
    <n v="1"/>
    <m/>
  </r>
  <r>
    <s v="L1"/>
    <s v="IMV membrane protein"/>
    <s v="AYN64654.1"/>
    <s v="putative L1R protein"/>
    <x v="22"/>
    <n v="1"/>
    <n v="1"/>
    <m/>
  </r>
  <r>
    <s v="L1"/>
    <s v="IMV membrane protein"/>
    <s v="AXN74881.1"/>
    <s v="IMV membrane protein"/>
    <x v="23"/>
    <n v="1"/>
    <n v="1"/>
    <m/>
  </r>
  <r>
    <s v="L1"/>
    <s v="IMV membrane protein"/>
    <s v="ABH08195.1"/>
    <s v="HSPV089"/>
    <x v="24"/>
    <n v="1"/>
    <n v="1"/>
    <m/>
  </r>
  <r>
    <s v="L1"/>
    <s v="IMV membrane protein"/>
    <s v="AAG37557.1"/>
    <s v="CMP85R"/>
    <x v="25"/>
    <n v="0"/>
    <n v="1"/>
    <m/>
  </r>
  <r>
    <s v="L1"/>
    <s v="IMV membrane protein"/>
    <s v="AAL73793.1"/>
    <s v="putative myristylated IMV envelope protein"/>
    <x v="26"/>
    <n v="0"/>
    <n v="1"/>
    <m/>
  </r>
  <r>
    <s v="L1"/>
    <s v="IMV membrane protein"/>
    <s v="AAM13543.1"/>
    <s v="CPXV099 protein"/>
    <x v="27"/>
    <n v="1"/>
    <n v="1"/>
    <m/>
  </r>
  <r>
    <s v="L1"/>
    <s v="IMV membrane protein"/>
    <s v="AAM92376.1"/>
    <s v="EVM072"/>
    <x v="28"/>
    <n v="1"/>
    <n v="1"/>
    <m/>
  </r>
  <r>
    <s v="L1"/>
    <s v="IMV membrane protein"/>
    <s v="AFH54635.1"/>
    <s v="IMV myristylated membrane protein"/>
    <x v="29"/>
    <n v="0"/>
    <n v="1"/>
    <m/>
  </r>
  <r>
    <s v="L1"/>
    <s v="IMV membrane protein"/>
    <s v="AAL40538.1"/>
    <s v="M1R"/>
    <x v="30"/>
    <n v="0"/>
    <n v="1"/>
    <m/>
  </r>
  <r>
    <s v="L1"/>
    <s v="IMV membrane protein"/>
    <s v="AAX09175.1"/>
    <s v="MPXV-COP-074"/>
    <x v="31"/>
    <n v="0"/>
    <n v="1"/>
    <m/>
  </r>
  <r>
    <s v="L1"/>
    <s v="IMV membrane protein"/>
    <s v="AKJ93717.1"/>
    <s v="IMV membrane protein"/>
    <x v="32"/>
    <n v="1"/>
    <n v="1"/>
    <m/>
  </r>
  <r>
    <s v="L1"/>
    <s v="IMV membrane protein"/>
    <s v="AOP31566.1"/>
    <s v="imv membrane protein"/>
    <x v="33"/>
    <n v="1"/>
    <n v="1"/>
    <m/>
  </r>
  <r>
    <s v="L1"/>
    <s v="IMV membrane protein"/>
    <s v="ABD97657.1"/>
    <s v="IMV membrane protein"/>
    <x v="34"/>
    <n v="1"/>
    <n v="1"/>
    <m/>
  </r>
  <r>
    <s v="L1"/>
    <s v="IMV membrane protein"/>
    <s v="AAO89367.1"/>
    <s v="IMV membrane protein"/>
    <x v="35"/>
    <n v="0"/>
    <n v="1"/>
    <m/>
  </r>
  <r>
    <s v="L1"/>
    <s v="IMV membrane protein"/>
    <s v="CAA49014.1"/>
    <s v="M1R"/>
    <x v="36"/>
    <n v="0"/>
    <n v="1"/>
    <m/>
  </r>
  <r>
    <s v="L1"/>
    <s v="IMV membrane protein"/>
    <s v="CAB54673.1"/>
    <s v="N1R protein"/>
    <x v="37"/>
    <n v="1"/>
    <n v="1"/>
    <m/>
  </r>
  <r>
    <s v="L1"/>
    <s v="IMV membrane protein"/>
    <s v="AOP31777.1"/>
    <s v="imv membrane protein"/>
    <x v="38"/>
    <n v="1"/>
    <n v="1"/>
    <m/>
  </r>
  <r>
    <s v="L1"/>
    <s v="IMV membrane protein"/>
    <s v="ASC55592.1"/>
    <s v="myristylated IMV envelope protein-like protein"/>
    <x v="39"/>
    <n v="1"/>
    <n v="1"/>
    <m/>
  </r>
  <r>
    <s v="L1"/>
    <s v="IMV membrane protein"/>
    <s v="AAR98404.1"/>
    <s v="ORF047 myristylated IMV envelope protein"/>
    <x v="40"/>
    <n v="1"/>
    <n v="1"/>
    <m/>
  </r>
  <r>
    <s v="L1"/>
    <s v="IMV membrane protein"/>
    <s v="AAR98272.1"/>
    <s v="ORF047 putative myristylated IMV envelope protein"/>
    <x v="41"/>
    <n v="1"/>
    <n v="1"/>
    <m/>
  </r>
  <r>
    <s v="L1"/>
    <s v="IMV membrane protein"/>
    <s v="ABA00564.1"/>
    <s v="IMV protein"/>
    <x v="41"/>
    <n v="1"/>
    <n v="1"/>
    <m/>
  </r>
  <r>
    <s v="L1"/>
    <s v="IMV membrane protein"/>
    <s v="AIZ77298.1"/>
    <s v="putative myristylated IMV envelope protein"/>
    <x v="42"/>
    <n v="0"/>
    <n v="1"/>
    <m/>
  </r>
  <r>
    <s v="L1"/>
    <s v="IMV membrane protein"/>
    <s v="ADC53948.1"/>
    <s v="IMV protein"/>
    <x v="43"/>
    <n v="1"/>
    <n v="1"/>
    <m/>
  </r>
  <r>
    <s v="L1"/>
    <s v="IMV membrane protein"/>
    <s v="AAL69796.1"/>
    <s v="SPV057 putative myristylated IMV envelope protein"/>
    <x v="44"/>
    <n v="1"/>
    <n v="1"/>
    <m/>
  </r>
  <r>
    <s v="L1"/>
    <s v="IMV membrane protein"/>
    <s v="CAC21298.1"/>
    <s v="60R protein"/>
    <x v="45"/>
    <n v="0"/>
    <n v="1"/>
    <m/>
  </r>
  <r>
    <s v="L1"/>
    <s v="IMV membrane protein"/>
    <s v="AAR07416.1"/>
    <s v="60R"/>
    <x v="46"/>
    <n v="1"/>
    <n v="1"/>
    <m/>
  </r>
  <r>
    <s v="L1"/>
    <s v="IMV membrane protein"/>
    <s v="AAC97691.1"/>
    <s v="ORF MSV183 putative myristylated membrane protein, Molluscum contagiosum virus MC069R (vaccinia L1R) homolog, similar to GB:U60315"/>
    <x v="47"/>
    <n v="0"/>
    <n v="1"/>
    <m/>
  </r>
  <r>
    <s v="L1"/>
    <s v="IMV membrane protein"/>
    <s v="BAO49457.1"/>
    <s v="putative myristylated membrane protein"/>
    <x v="48"/>
    <n v="1"/>
    <n v="1"/>
    <m/>
  </r>
  <r>
    <s v="L1"/>
    <s v="IMV membrane protein"/>
    <s v="CCU55456.1"/>
    <s v="IMV membrane protein (Cop-L1R)"/>
    <x v="49"/>
    <n v="0"/>
    <n v="1"/>
    <m/>
  </r>
  <r>
    <s v="L1"/>
    <s v="IMV membrane protein"/>
    <s v="AAG02923.1"/>
    <s v="AMV217"/>
    <x v="50"/>
    <n v="1"/>
    <n v="1"/>
    <m/>
  </r>
  <r>
    <s v="L1"/>
    <s v="IMV membrane protein"/>
    <s v="CCU55814.1"/>
    <s v="IMV membrane protein (Cop-L1R)"/>
    <x v="51"/>
    <n v="1"/>
    <n v="1"/>
    <m/>
  </r>
  <r>
    <s v="L1"/>
    <s v="IMV membrane protein"/>
    <s v="CCU56113.1"/>
    <s v="IMV membrane protein (Cop-L1R)"/>
    <x v="52"/>
    <n v="0"/>
    <n v="1"/>
    <m/>
  </r>
  <r>
    <s v="L1"/>
    <s v="IMV membrane protein"/>
    <s v="CCU56438.1"/>
    <s v="IMV membrane protein (Cop-L1R)"/>
    <x v="53"/>
    <n v="0"/>
    <n v="1"/>
    <m/>
  </r>
  <r>
    <m/>
    <m/>
    <m/>
    <m/>
    <x v="56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61" firstHeaderRow="0" firstDataRow="1" firstDataCol="1"/>
  <pivotFields count="8">
    <pivotField showAll="0"/>
    <pivotField showAll="0"/>
    <pivotField showAll="0"/>
    <pivotField showAll="0"/>
    <pivotField axis="axisRow" showAll="0">
      <items count="58">
        <item x="49"/>
        <item x="23"/>
        <item x="50"/>
        <item x="48"/>
        <item x="2"/>
        <item x="40"/>
        <item x="25"/>
        <item x="26"/>
        <item x="12"/>
        <item x="51"/>
        <item x="52"/>
        <item x="3"/>
        <item x="27"/>
        <item x="17"/>
        <item x="0"/>
        <item x="28"/>
        <item x="29"/>
        <item x="7"/>
        <item x="8"/>
        <item x="13"/>
        <item x="55"/>
        <item x="24"/>
        <item x="14"/>
        <item x="47"/>
        <item x="21"/>
        <item x="31"/>
        <item x="30"/>
        <item x="15"/>
        <item x="53"/>
        <item x="19"/>
        <item x="18"/>
        <item x="41"/>
        <item x="22"/>
        <item x="42"/>
        <item x="9"/>
        <item x="10"/>
        <item x="43"/>
        <item x="4"/>
        <item x="20"/>
        <item x="32"/>
        <item x="5"/>
        <item x="1"/>
        <item x="39"/>
        <item x="54"/>
        <item x="33"/>
        <item x="6"/>
        <item x="44"/>
        <item x="34"/>
        <item x="11"/>
        <item x="35"/>
        <item x="37"/>
        <item x="36"/>
        <item x="38"/>
        <item x="46"/>
        <item x="45"/>
        <item x="16"/>
        <item x="56"/>
        <item t="default"/>
      </items>
    </pivotField>
    <pivotField dataField="1" showAll="0"/>
    <pivotField dataField="1" showAll="0"/>
    <pivotField showAll="0"/>
  </pivotFields>
  <rowFields count="1">
    <field x="4"/>
  </rowFields>
  <rowItems count="5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IsolateAccession" fld="5" baseField="0" baseItem="0"/>
    <dataField name="Sum of GroupNameGood" fld="6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ncbi.nlm.nih.gov/nuccore/AF170726" TargetMode="External"/><Relationship Id="rId170" Type="http://schemas.openxmlformats.org/officeDocument/2006/relationships/hyperlink" Target="https://www.ncbi.nlm.nih.gov/nuccore/HF679132" TargetMode="External"/><Relationship Id="rId268" Type="http://schemas.openxmlformats.org/officeDocument/2006/relationships/hyperlink" Target="https://www.ncbi.nlm.nih.gov/nuccore/DQ437594" TargetMode="External"/><Relationship Id="rId475" Type="http://schemas.openxmlformats.org/officeDocument/2006/relationships/hyperlink" Target="https://www.ncbi.nlm.nih.gov/nuccore/KJ801920" TargetMode="External"/><Relationship Id="rId682" Type="http://schemas.openxmlformats.org/officeDocument/2006/relationships/hyperlink" Target="https://www.ncbi.nlm.nih.gov/nuccore/AY386265" TargetMode="External"/><Relationship Id="rId128" Type="http://schemas.openxmlformats.org/officeDocument/2006/relationships/hyperlink" Target="https://www.ncbi.nlm.nih.gov/nuccore/KP728110" TargetMode="External"/><Relationship Id="rId335" Type="http://schemas.openxmlformats.org/officeDocument/2006/relationships/hyperlink" Target="https://www.ncbi.nlm.nih.gov/nuccore/KM502564" TargetMode="External"/><Relationship Id="rId542" Type="http://schemas.openxmlformats.org/officeDocument/2006/relationships/hyperlink" Target="https://www.ncbi.nlm.nih.gov/nuccore/AF170726" TargetMode="External"/><Relationship Id="rId987" Type="http://schemas.openxmlformats.org/officeDocument/2006/relationships/hyperlink" Target="https://www.ncbi.nlm.nih.gov/nuccore/MF467281" TargetMode="External"/><Relationship Id="rId1172" Type="http://schemas.openxmlformats.org/officeDocument/2006/relationships/hyperlink" Target="https://www.ncbi.nlm.nih.gov/nuccore/KP728110" TargetMode="External"/><Relationship Id="rId402" Type="http://schemas.openxmlformats.org/officeDocument/2006/relationships/hyperlink" Target="https://www.ncbi.nlm.nih.gov/nuccore/HF679132" TargetMode="External"/><Relationship Id="rId847" Type="http://schemas.openxmlformats.org/officeDocument/2006/relationships/hyperlink" Target="https://www.ncbi.nlm.nih.gov/nuccore/KU749310" TargetMode="External"/><Relationship Id="rId1032" Type="http://schemas.openxmlformats.org/officeDocument/2006/relationships/hyperlink" Target="https://www.ncbi.nlm.nih.gov/nuccore/GQ329670" TargetMode="External"/><Relationship Id="rId707" Type="http://schemas.openxmlformats.org/officeDocument/2006/relationships/hyperlink" Target="https://www.ncbi.nlm.nih.gov/nuccore/KJ801920" TargetMode="External"/><Relationship Id="rId914" Type="http://schemas.openxmlformats.org/officeDocument/2006/relationships/hyperlink" Target="https://www.ncbi.nlm.nih.gov/nuccore/AY386264" TargetMode="External"/><Relationship Id="rId1337" Type="http://schemas.openxmlformats.org/officeDocument/2006/relationships/hyperlink" Target="https://www.ncbi.nlm.nih.gov/nuccore/KY094066" TargetMode="External"/><Relationship Id="rId43" Type="http://schemas.openxmlformats.org/officeDocument/2006/relationships/hyperlink" Target="https://www.ncbi.nlm.nih.gov/nuccore/AY386264" TargetMode="External"/><Relationship Id="rId1404" Type="http://schemas.openxmlformats.org/officeDocument/2006/relationships/hyperlink" Target="https://www.ncbi.nlm.nih.gov/nuccore/KP728110" TargetMode="External"/><Relationship Id="rId192" Type="http://schemas.openxmlformats.org/officeDocument/2006/relationships/hyperlink" Target="https://www.ncbi.nlm.nih.gov/nuccore/MF001304" TargetMode="External"/><Relationship Id="rId497" Type="http://schemas.openxmlformats.org/officeDocument/2006/relationships/hyperlink" Target="https://www.ncbi.nlm.nih.gov/nuccore/AY753185" TargetMode="External"/><Relationship Id="rId357" Type="http://schemas.openxmlformats.org/officeDocument/2006/relationships/hyperlink" Target="https://www.ncbi.nlm.nih.gov/nuccore/MF678796" TargetMode="External"/><Relationship Id="rId1194" Type="http://schemas.openxmlformats.org/officeDocument/2006/relationships/hyperlink" Target="https://www.ncbi.nlm.nih.gov/nuccore/KP143769" TargetMode="External"/><Relationship Id="rId217" Type="http://schemas.openxmlformats.org/officeDocument/2006/relationships/hyperlink" Target="https://www.ncbi.nlm.nih.gov/nuccore/KY382358" TargetMode="External"/><Relationship Id="rId564" Type="http://schemas.openxmlformats.org/officeDocument/2006/relationships/hyperlink" Target="https://www.ncbi.nlm.nih.gov/nuccore/AY386265" TargetMode="External"/><Relationship Id="rId771" Type="http://schemas.openxmlformats.org/officeDocument/2006/relationships/hyperlink" Target="https://www.ncbi.nlm.nih.gov/nuccore/HQ849551" TargetMode="External"/><Relationship Id="rId869" Type="http://schemas.openxmlformats.org/officeDocument/2006/relationships/hyperlink" Target="https://www.ncbi.nlm.nih.gov/nuccore/AY077832" TargetMode="External"/><Relationship Id="rId424" Type="http://schemas.openxmlformats.org/officeDocument/2006/relationships/hyperlink" Target="https://www.ncbi.nlm.nih.gov/nuccore/AY689436" TargetMode="External"/><Relationship Id="rId631" Type="http://schemas.openxmlformats.org/officeDocument/2006/relationships/hyperlink" Target="https://www.ncbi.nlm.nih.gov/nuccore/AY386371" TargetMode="External"/><Relationship Id="rId729" Type="http://schemas.openxmlformats.org/officeDocument/2006/relationships/hyperlink" Target="https://www.ncbi.nlm.nih.gov/nuccore/AY753185" TargetMode="External"/><Relationship Id="rId1054" Type="http://schemas.openxmlformats.org/officeDocument/2006/relationships/hyperlink" Target="https://www.ncbi.nlm.nih.gov/nuccore/KJ859677" TargetMode="External"/><Relationship Id="rId1261" Type="http://schemas.openxmlformats.org/officeDocument/2006/relationships/hyperlink" Target="https://www.ncbi.nlm.nih.gov/nuccore/AY386264" TargetMode="External"/><Relationship Id="rId1359" Type="http://schemas.openxmlformats.org/officeDocument/2006/relationships/hyperlink" Target="https://www.ncbi.nlm.nih.gov/nuccore/MH607141" TargetMode="External"/><Relationship Id="rId936" Type="http://schemas.openxmlformats.org/officeDocument/2006/relationships/hyperlink" Target="https://www.ncbi.nlm.nih.gov/nuccore/KY747497" TargetMode="External"/><Relationship Id="rId1121" Type="http://schemas.openxmlformats.org/officeDocument/2006/relationships/hyperlink" Target="https://www.ncbi.nlm.nih.gov/nuccore/DQ356948" TargetMode="External"/><Relationship Id="rId1219" Type="http://schemas.openxmlformats.org/officeDocument/2006/relationships/hyperlink" Target="https://www.ncbi.nlm.nih.gov/nuccore/MF467281" TargetMode="External"/><Relationship Id="rId65" Type="http://schemas.openxmlformats.org/officeDocument/2006/relationships/hyperlink" Target="https://www.ncbi.nlm.nih.gov/nuccore/HE601899" TargetMode="External"/><Relationship Id="rId1426" Type="http://schemas.openxmlformats.org/officeDocument/2006/relationships/hyperlink" Target="https://www.ncbi.nlm.nih.gov/nuccore/AF380138" TargetMode="External"/><Relationship Id="rId281" Type="http://schemas.openxmlformats.org/officeDocument/2006/relationships/hyperlink" Target="https://www.ncbi.nlm.nih.gov/nuccore/AY386371" TargetMode="External"/><Relationship Id="rId141" Type="http://schemas.openxmlformats.org/officeDocument/2006/relationships/hyperlink" Target="https://www.ncbi.nlm.nih.gov/nuccore/MH607141" TargetMode="External"/><Relationship Id="rId379" Type="http://schemas.openxmlformats.org/officeDocument/2006/relationships/hyperlink" Target="https://www.ncbi.nlm.nih.gov/nuccore/AFH54685" TargetMode="External"/><Relationship Id="rId586" Type="http://schemas.openxmlformats.org/officeDocument/2006/relationships/hyperlink" Target="https://www.ncbi.nlm.nih.gov/nuccore/KT159937" TargetMode="External"/><Relationship Id="rId793" Type="http://schemas.openxmlformats.org/officeDocument/2006/relationships/hyperlink" Target="https://www.ncbi.nlm.nih.gov/nuccore/Y16780" TargetMode="External"/><Relationship Id="rId7" Type="http://schemas.openxmlformats.org/officeDocument/2006/relationships/hyperlink" Target="https://www.ncbi.nlm.nih.gov/nuccore/HE601899" TargetMode="External"/><Relationship Id="rId239" Type="http://schemas.openxmlformats.org/officeDocument/2006/relationships/hyperlink" Target="https://www.ncbi.nlm.nih.gov/nuccore/HE601899" TargetMode="External"/><Relationship Id="rId446" Type="http://schemas.openxmlformats.org/officeDocument/2006/relationships/hyperlink" Target="https://www.ncbi.nlm.nih.gov/nuccore/KU749311" TargetMode="External"/><Relationship Id="rId653" Type="http://schemas.openxmlformats.org/officeDocument/2006/relationships/hyperlink" Target="https://www.ncbi.nlm.nih.gov/nuccore/AY077835" TargetMode="External"/><Relationship Id="rId1076" Type="http://schemas.openxmlformats.org/officeDocument/2006/relationships/hyperlink" Target="https://www.ncbi.nlm.nih.gov/nuccore/AF012825" TargetMode="External"/><Relationship Id="rId1283" Type="http://schemas.openxmlformats.org/officeDocument/2006/relationships/hyperlink" Target="https://www.ncbi.nlm.nih.gov/nuccore/HE601899" TargetMode="External"/><Relationship Id="rId306" Type="http://schemas.openxmlformats.org/officeDocument/2006/relationships/hyperlink" Target="https://www.ncbi.nlm.nih.gov/nuccore/MF001304" TargetMode="External"/><Relationship Id="rId860" Type="http://schemas.openxmlformats.org/officeDocument/2006/relationships/hyperlink" Target="https://www.ncbi.nlm.nih.gov/nuccore/AJ293568" TargetMode="External"/><Relationship Id="rId958" Type="http://schemas.openxmlformats.org/officeDocument/2006/relationships/hyperlink" Target="https://www.ncbi.nlm.nih.gov/nuccore/AF012825" TargetMode="External"/><Relationship Id="rId1143" Type="http://schemas.openxmlformats.org/officeDocument/2006/relationships/hyperlink" Target="https://www.ncbi.nlm.nih.gov/nuccore/KY382358" TargetMode="External"/><Relationship Id="rId87" Type="http://schemas.openxmlformats.org/officeDocument/2006/relationships/hyperlink" Target="https://www.ncbi.nlm.nih.gov/nuccore/AF482758" TargetMode="External"/><Relationship Id="rId513" Type="http://schemas.openxmlformats.org/officeDocument/2006/relationships/hyperlink" Target="https://www.ncbi.nlm.nih.gov/nuccore/AY386371" TargetMode="External"/><Relationship Id="rId720" Type="http://schemas.openxmlformats.org/officeDocument/2006/relationships/hyperlink" Target="https://www.ncbi.nlm.nih.gov/nuccore/MH816996" TargetMode="External"/><Relationship Id="rId818" Type="http://schemas.openxmlformats.org/officeDocument/2006/relationships/hyperlink" Target="https://www.ncbi.nlm.nih.gov/nuccore/KT159937" TargetMode="External"/><Relationship Id="rId1350" Type="http://schemas.openxmlformats.org/officeDocument/2006/relationships/hyperlink" Target="https://www.ncbi.nlm.nih.gov/nuccore/MF001304" TargetMode="External"/><Relationship Id="rId1448" Type="http://schemas.openxmlformats.org/officeDocument/2006/relationships/hyperlink" Target="https://www.ncbi.nlm.nih.gov/nuccore/HF679132" TargetMode="External"/><Relationship Id="rId1003" Type="http://schemas.openxmlformats.org/officeDocument/2006/relationships/hyperlink" Target="https://www.ncbi.nlm.nih.gov/nuccore/HQ849551" TargetMode="External"/><Relationship Id="rId1210" Type="http://schemas.openxmlformats.org/officeDocument/2006/relationships/hyperlink" Target="https://www.ncbi.nlm.nih.gov/nuccore/AF063866" TargetMode="External"/><Relationship Id="rId1308" Type="http://schemas.openxmlformats.org/officeDocument/2006/relationships/hyperlink" Target="https://www.ncbi.nlm.nih.gov/nuccore/AF380138" TargetMode="External"/><Relationship Id="rId14" Type="http://schemas.openxmlformats.org/officeDocument/2006/relationships/hyperlink" Target="https://www.ncbi.nlm.nih.gov/nuccore/AF198100" TargetMode="External"/><Relationship Id="rId163" Type="http://schemas.openxmlformats.org/officeDocument/2006/relationships/hyperlink" Target="https://www.ncbi.nlm.nih.gov/nuccore/AF410153" TargetMode="External"/><Relationship Id="rId370" Type="http://schemas.openxmlformats.org/officeDocument/2006/relationships/hyperlink" Target="https://www.ncbi.nlm.nih.gov/nuccore/AF170722" TargetMode="External"/><Relationship Id="rId230" Type="http://schemas.openxmlformats.org/officeDocument/2006/relationships/hyperlink" Target="https://www.ncbi.nlm.nih.gov/nuccore/HF679132" TargetMode="External"/><Relationship Id="rId468" Type="http://schemas.openxmlformats.org/officeDocument/2006/relationships/hyperlink" Target="https://www.ncbi.nlm.nih.gov/nuccore/HQ647181" TargetMode="External"/><Relationship Id="rId675" Type="http://schemas.openxmlformats.org/officeDocument/2006/relationships/hyperlink" Target="https://www.ncbi.nlm.nih.gov/nuccore/KU749310" TargetMode="External"/><Relationship Id="rId882" Type="http://schemas.openxmlformats.org/officeDocument/2006/relationships/hyperlink" Target="https://www.ncbi.nlm.nih.gov/nuccore/KP728110" TargetMode="External"/><Relationship Id="rId1098" Type="http://schemas.openxmlformats.org/officeDocument/2006/relationships/hyperlink" Target="https://www.ncbi.nlm.nih.gov/nuccore/HF679131" TargetMode="External"/><Relationship Id="rId328" Type="http://schemas.openxmlformats.org/officeDocument/2006/relationships/hyperlink" Target="https://www.ncbi.nlm.nih.gov/nuccore/X69198" TargetMode="External"/><Relationship Id="rId535" Type="http://schemas.openxmlformats.org/officeDocument/2006/relationships/hyperlink" Target="https://www.ncbi.nlm.nih.gov/nuccore/AY318871" TargetMode="External"/><Relationship Id="rId742" Type="http://schemas.openxmlformats.org/officeDocument/2006/relationships/hyperlink" Target="https://www.ncbi.nlm.nih.gov/nuccore/GQ329670" TargetMode="External"/><Relationship Id="rId1165" Type="http://schemas.openxmlformats.org/officeDocument/2006/relationships/hyperlink" Target="https://www.ncbi.nlm.nih.gov/nuccore/KU980965" TargetMode="External"/><Relationship Id="rId1372" Type="http://schemas.openxmlformats.org/officeDocument/2006/relationships/hyperlink" Target="https://www.ncbi.nlm.nih.gov/nuccore/X69198" TargetMode="External"/><Relationship Id="rId602" Type="http://schemas.openxmlformats.org/officeDocument/2006/relationships/hyperlink" Target="https://www.ncbi.nlm.nih.gov/nuccore/AF170726" TargetMode="External"/><Relationship Id="rId1025" Type="http://schemas.openxmlformats.org/officeDocument/2006/relationships/hyperlink" Target="https://www.ncbi.nlm.nih.gov/nuccore/Y16780" TargetMode="External"/><Relationship Id="rId1232" Type="http://schemas.openxmlformats.org/officeDocument/2006/relationships/hyperlink" Target="https://www.ncbi.nlm.nih.gov/nuccore/AF198100" TargetMode="External"/><Relationship Id="rId907" Type="http://schemas.openxmlformats.org/officeDocument/2006/relationships/hyperlink" Target="https://www.ncbi.nlm.nih.gov/nuccore/AY243312" TargetMode="External"/><Relationship Id="rId36" Type="http://schemas.openxmlformats.org/officeDocument/2006/relationships/hyperlink" Target="https://www.ncbi.nlm.nih.gov/nuccore/DQ437594" TargetMode="External"/><Relationship Id="rId185" Type="http://schemas.openxmlformats.org/officeDocument/2006/relationships/hyperlink" Target="https://www.ncbi.nlm.nih.gov/nuccore/KJ801920" TargetMode="External"/><Relationship Id="rId392" Type="http://schemas.openxmlformats.org/officeDocument/2006/relationships/hyperlink" Target="https://www.ncbi.nlm.nih.gov/nuccore/AY386264" TargetMode="External"/><Relationship Id="rId697" Type="http://schemas.openxmlformats.org/officeDocument/2006/relationships/hyperlink" Target="https://www.ncbi.nlm.nih.gov/nuccore/MF467281" TargetMode="External"/><Relationship Id="rId252" Type="http://schemas.openxmlformats.org/officeDocument/2006/relationships/hyperlink" Target="https://www.ncbi.nlm.nih.gov/nuccore/AF170726" TargetMode="External"/><Relationship Id="rId1187" Type="http://schemas.openxmlformats.org/officeDocument/2006/relationships/hyperlink" Target="https://www.ncbi.nlm.nih.gov/nuccore/AY009089" TargetMode="External"/><Relationship Id="rId112" Type="http://schemas.openxmlformats.org/officeDocument/2006/relationships/hyperlink" Target="https://www.ncbi.nlm.nih.gov/nuccore/HF679132" TargetMode="External"/><Relationship Id="rId557" Type="http://schemas.openxmlformats.org/officeDocument/2006/relationships/hyperlink" Target="https://www.ncbi.nlm.nih.gov/nuccore/KU749310" TargetMode="External"/><Relationship Id="rId764" Type="http://schemas.openxmlformats.org/officeDocument/2006/relationships/hyperlink" Target="https://www.ncbi.nlm.nih.gov/nuccore/KJ859677" TargetMode="External"/><Relationship Id="rId971" Type="http://schemas.openxmlformats.org/officeDocument/2006/relationships/hyperlink" Target="https://www.ncbi.nlm.nih.gov/nuccore/AY386264" TargetMode="External"/><Relationship Id="rId1394" Type="http://schemas.openxmlformats.org/officeDocument/2006/relationships/hyperlink" Target="https://www.ncbi.nlm.nih.gov/nuccore/MH427217" TargetMode="External"/><Relationship Id="rId417" Type="http://schemas.openxmlformats.org/officeDocument/2006/relationships/hyperlink" Target="https://www.ncbi.nlm.nih.gov/nuccore/KJ801920" TargetMode="External"/><Relationship Id="rId624" Type="http://schemas.openxmlformats.org/officeDocument/2006/relationships/hyperlink" Target="https://www.ncbi.nlm.nih.gov/nuccore/AY386265" TargetMode="External"/><Relationship Id="rId831" Type="http://schemas.openxmlformats.org/officeDocument/2006/relationships/hyperlink" Target="https://www.ncbi.nlm.nih.gov/nuccore/DQ356948" TargetMode="External"/><Relationship Id="rId1047" Type="http://schemas.openxmlformats.org/officeDocument/2006/relationships/hyperlink" Target="https://www.ncbi.nlm.nih.gov/nuccore/KY094066" TargetMode="External"/><Relationship Id="rId1254" Type="http://schemas.openxmlformats.org/officeDocument/2006/relationships/hyperlink" Target="https://www.ncbi.nlm.nih.gov/nuccore/DQ437594" TargetMode="External"/><Relationship Id="rId1461" Type="http://schemas.openxmlformats.org/officeDocument/2006/relationships/hyperlink" Target="https://www.ncbi.nlm.nih.gov/nuccore/MF467280" TargetMode="External"/><Relationship Id="rId929" Type="http://schemas.openxmlformats.org/officeDocument/2006/relationships/hyperlink" Target="https://www.ncbi.nlm.nih.gov/nuccore/MF467281" TargetMode="External"/><Relationship Id="rId1114" Type="http://schemas.openxmlformats.org/officeDocument/2006/relationships/hyperlink" Target="https://www.ncbi.nlm.nih.gov/nuccore/KP728110" TargetMode="External"/><Relationship Id="rId1321" Type="http://schemas.openxmlformats.org/officeDocument/2006/relationships/hyperlink" Target="https://www.ncbi.nlm.nih.gov/nuccore/KM502564" TargetMode="External"/><Relationship Id="rId58" Type="http://schemas.openxmlformats.org/officeDocument/2006/relationships/hyperlink" Target="https://www.ncbi.nlm.nih.gov/nuccore/AY077835" TargetMode="External"/><Relationship Id="rId1419" Type="http://schemas.openxmlformats.org/officeDocument/2006/relationships/hyperlink" Target="https://www.ncbi.nlm.nih.gov/nuccore/MH607141" TargetMode="External"/><Relationship Id="rId274" Type="http://schemas.openxmlformats.org/officeDocument/2006/relationships/hyperlink" Target="https://www.ncbi.nlm.nih.gov/nuccore/AY386265" TargetMode="External"/><Relationship Id="rId481" Type="http://schemas.openxmlformats.org/officeDocument/2006/relationships/hyperlink" Target="https://www.ncbi.nlm.nih.gov/nuccore/HQ849551" TargetMode="External"/><Relationship Id="rId134" Type="http://schemas.openxmlformats.org/officeDocument/2006/relationships/hyperlink" Target="https://www.ncbi.nlm.nih.gov/nuccore/AY689436" TargetMode="External"/><Relationship Id="rId579" Type="http://schemas.openxmlformats.org/officeDocument/2006/relationships/hyperlink" Target="https://www.ncbi.nlm.nih.gov/nuccore/AY077832" TargetMode="External"/><Relationship Id="rId786" Type="http://schemas.openxmlformats.org/officeDocument/2006/relationships/hyperlink" Target="https://www.ncbi.nlm.nih.gov/nuccore/AF380138" TargetMode="External"/><Relationship Id="rId993" Type="http://schemas.openxmlformats.org/officeDocument/2006/relationships/hyperlink" Target="https://www.ncbi.nlm.nih.gov/nuccore/HE601899" TargetMode="External"/><Relationship Id="rId341" Type="http://schemas.openxmlformats.org/officeDocument/2006/relationships/hyperlink" Target="https://www.ncbi.nlm.nih.gov/nuccore/AP013055" TargetMode="External"/><Relationship Id="rId439" Type="http://schemas.openxmlformats.org/officeDocument/2006/relationships/hyperlink" Target="https://www.ncbi.nlm.nih.gov/nuccore/AY753185" TargetMode="External"/><Relationship Id="rId646" Type="http://schemas.openxmlformats.org/officeDocument/2006/relationships/hyperlink" Target="https://www.ncbi.nlm.nih.gov/nuccore/KY747497" TargetMode="External"/><Relationship Id="rId1069" Type="http://schemas.openxmlformats.org/officeDocument/2006/relationships/hyperlink" Target="https://www.ncbi.nlm.nih.gov/nuccore/U60315" TargetMode="External"/><Relationship Id="rId1276" Type="http://schemas.openxmlformats.org/officeDocument/2006/relationships/hyperlink" Target="https://www.ncbi.nlm.nih.gov/nuccore/AY077835" TargetMode="External"/><Relationship Id="rId201" Type="http://schemas.openxmlformats.org/officeDocument/2006/relationships/hyperlink" Target="https://www.ncbi.nlm.nih.gov/nuccore/MH607141" TargetMode="External"/><Relationship Id="rId506" Type="http://schemas.openxmlformats.org/officeDocument/2006/relationships/hyperlink" Target="https://www.ncbi.nlm.nih.gov/nuccore/AY386265" TargetMode="External"/><Relationship Id="rId853" Type="http://schemas.openxmlformats.org/officeDocument/2006/relationships/hyperlink" Target="https://www.ncbi.nlm.nih.gov/nuccore/KY382358" TargetMode="External"/><Relationship Id="rId1136" Type="http://schemas.openxmlformats.org/officeDocument/2006/relationships/hyperlink" Target="https://www.ncbi.nlm.nih.gov/nuccore/KP143769" TargetMode="External"/><Relationship Id="rId713" Type="http://schemas.openxmlformats.org/officeDocument/2006/relationships/hyperlink" Target="https://www.ncbi.nlm.nih.gov/nuccore/HQ849551" TargetMode="External"/><Relationship Id="rId920" Type="http://schemas.openxmlformats.org/officeDocument/2006/relationships/hyperlink" Target="https://www.ncbi.nlm.nih.gov/nuccore/AF063866" TargetMode="External"/><Relationship Id="rId1343" Type="http://schemas.openxmlformats.org/officeDocument/2006/relationships/hyperlink" Target="https://www.ncbi.nlm.nih.gov/nuccore/MF678796" TargetMode="External"/><Relationship Id="rId1203" Type="http://schemas.openxmlformats.org/officeDocument/2006/relationships/hyperlink" Target="https://www.ncbi.nlm.nih.gov/nuccore/AY386264" TargetMode="External"/><Relationship Id="rId1410" Type="http://schemas.openxmlformats.org/officeDocument/2006/relationships/hyperlink" Target="https://www.ncbi.nlm.nih.gov/nuccore/MF001304" TargetMode="External"/><Relationship Id="rId296" Type="http://schemas.openxmlformats.org/officeDocument/2006/relationships/hyperlink" Target="https://www.ncbi.nlm.nih.gov/nuccore/KT159937" TargetMode="External"/><Relationship Id="rId156" Type="http://schemas.openxmlformats.org/officeDocument/2006/relationships/hyperlink" Target="https://www.ncbi.nlm.nih.gov/nuccore/KU749311" TargetMode="External"/><Relationship Id="rId363" Type="http://schemas.openxmlformats.org/officeDocument/2006/relationships/hyperlink" Target="https://www.ncbi.nlm.nih.gov/nuccore/AF325528" TargetMode="External"/><Relationship Id="rId570" Type="http://schemas.openxmlformats.org/officeDocument/2006/relationships/hyperlink" Target="https://www.ncbi.nlm.nih.gov/nuccore/AJ293568" TargetMode="External"/><Relationship Id="rId223" Type="http://schemas.openxmlformats.org/officeDocument/2006/relationships/hyperlink" Target="https://www.ncbi.nlm.nih.gov/nuccore/AF410153" TargetMode="External"/><Relationship Id="rId430" Type="http://schemas.openxmlformats.org/officeDocument/2006/relationships/hyperlink" Target="https://www.ncbi.nlm.nih.gov/nuccore/MH816996" TargetMode="External"/><Relationship Id="rId668" Type="http://schemas.openxmlformats.org/officeDocument/2006/relationships/hyperlink" Target="https://www.ncbi.nlm.nih.gov/nuccore/AY009089" TargetMode="External"/><Relationship Id="rId875" Type="http://schemas.openxmlformats.org/officeDocument/2006/relationships/hyperlink" Target="https://www.ncbi.nlm.nih.gov/nuccore/KU980965" TargetMode="External"/><Relationship Id="rId1060" Type="http://schemas.openxmlformats.org/officeDocument/2006/relationships/hyperlink" Target="https://www.ncbi.nlm.nih.gov/nuccore/AF325528" TargetMode="External"/><Relationship Id="rId1298" Type="http://schemas.openxmlformats.org/officeDocument/2006/relationships/hyperlink" Target="https://www.ncbi.nlm.nih.gov/nuccore/AF170722" TargetMode="External"/><Relationship Id="rId528" Type="http://schemas.openxmlformats.org/officeDocument/2006/relationships/hyperlink" Target="https://www.ncbi.nlm.nih.gov/nuccore/KT159937" TargetMode="External"/><Relationship Id="rId735" Type="http://schemas.openxmlformats.org/officeDocument/2006/relationships/hyperlink" Target="https://www.ncbi.nlm.nih.gov/nuccore/Y16780" TargetMode="External"/><Relationship Id="rId942" Type="http://schemas.openxmlformats.org/officeDocument/2006/relationships/hyperlink" Target="https://www.ncbi.nlm.nih.gov/nuccore/AF198100" TargetMode="External"/><Relationship Id="rId1158" Type="http://schemas.openxmlformats.org/officeDocument/2006/relationships/hyperlink" Target="https://www.ncbi.nlm.nih.gov/nuccore/HF679134" TargetMode="External"/><Relationship Id="rId1365" Type="http://schemas.openxmlformats.org/officeDocument/2006/relationships/hyperlink" Target="https://www.ncbi.nlm.nih.gov/nuccore/AFH54685" TargetMode="External"/><Relationship Id="rId1018" Type="http://schemas.openxmlformats.org/officeDocument/2006/relationships/hyperlink" Target="https://www.ncbi.nlm.nih.gov/nuccore/AF380138" TargetMode="External"/><Relationship Id="rId1225" Type="http://schemas.openxmlformats.org/officeDocument/2006/relationships/hyperlink" Target="https://www.ncbi.nlm.nih.gov/nuccore/HE601899" TargetMode="External"/><Relationship Id="rId1432" Type="http://schemas.openxmlformats.org/officeDocument/2006/relationships/hyperlink" Target="https://www.ncbi.nlm.nih.gov/nuccore/X69198" TargetMode="External"/><Relationship Id="rId71" Type="http://schemas.openxmlformats.org/officeDocument/2006/relationships/hyperlink" Target="https://www.ncbi.nlm.nih.gov/nuccore/AY318871" TargetMode="External"/><Relationship Id="rId802" Type="http://schemas.openxmlformats.org/officeDocument/2006/relationships/hyperlink" Target="https://www.ncbi.nlm.nih.gov/nuccore/AJ293568" TargetMode="External"/><Relationship Id="rId29" Type="http://schemas.openxmlformats.org/officeDocument/2006/relationships/hyperlink" Target="https://www.ncbi.nlm.nih.gov/nuccore/AF482758" TargetMode="External"/><Relationship Id="rId178" Type="http://schemas.openxmlformats.org/officeDocument/2006/relationships/hyperlink" Target="https://www.ncbi.nlm.nih.gov/nuccore/HQ647181" TargetMode="External"/><Relationship Id="rId385" Type="http://schemas.openxmlformats.org/officeDocument/2006/relationships/hyperlink" Target="https://www.ncbi.nlm.nih.gov/nuccore/AY243312" TargetMode="External"/><Relationship Id="rId592" Type="http://schemas.openxmlformats.org/officeDocument/2006/relationships/hyperlink" Target="https://www.ncbi.nlm.nih.gov/nuccore/KP728110" TargetMode="External"/><Relationship Id="rId245" Type="http://schemas.openxmlformats.org/officeDocument/2006/relationships/hyperlink" Target="https://www.ncbi.nlm.nih.gov/nuccore/AY318871" TargetMode="External"/><Relationship Id="rId452" Type="http://schemas.openxmlformats.org/officeDocument/2006/relationships/hyperlink" Target="https://www.ncbi.nlm.nih.gov/nuccore/GQ329670" TargetMode="External"/><Relationship Id="rId897" Type="http://schemas.openxmlformats.org/officeDocument/2006/relationships/hyperlink" Target="https://www.ncbi.nlm.nih.gov/nuccore/AY009089" TargetMode="External"/><Relationship Id="rId1082" Type="http://schemas.openxmlformats.org/officeDocument/2006/relationships/hyperlink" Target="https://www.ncbi.nlm.nih.gov/nuccore/DQ437594" TargetMode="External"/><Relationship Id="rId105" Type="http://schemas.openxmlformats.org/officeDocument/2006/relationships/hyperlink" Target="https://www.ncbi.nlm.nih.gov/nuccore/AF410153" TargetMode="External"/><Relationship Id="rId312" Type="http://schemas.openxmlformats.org/officeDocument/2006/relationships/hyperlink" Target="https://www.ncbi.nlm.nih.gov/nuccore/AF170722" TargetMode="External"/><Relationship Id="rId757" Type="http://schemas.openxmlformats.org/officeDocument/2006/relationships/hyperlink" Target="https://www.ncbi.nlm.nih.gov/nuccore/KY094066" TargetMode="External"/><Relationship Id="rId964" Type="http://schemas.openxmlformats.org/officeDocument/2006/relationships/hyperlink" Target="https://www.ncbi.nlm.nih.gov/nuccore/DQ437594" TargetMode="External"/><Relationship Id="rId1387" Type="http://schemas.openxmlformats.org/officeDocument/2006/relationships/hyperlink" Target="https://www.ncbi.nlm.nih.gov/nuccore/AF250284" TargetMode="External"/><Relationship Id="rId93" Type="http://schemas.openxmlformats.org/officeDocument/2006/relationships/hyperlink" Target="https://www.ncbi.nlm.nih.gov/nuccore/KU749310" TargetMode="External"/><Relationship Id="rId617" Type="http://schemas.openxmlformats.org/officeDocument/2006/relationships/hyperlink" Target="https://www.ncbi.nlm.nih.gov/nuccore/KU749310" TargetMode="External"/><Relationship Id="rId824" Type="http://schemas.openxmlformats.org/officeDocument/2006/relationships/hyperlink" Target="https://www.ncbi.nlm.nih.gov/nuccore/KP728110" TargetMode="External"/><Relationship Id="rId1247" Type="http://schemas.openxmlformats.org/officeDocument/2006/relationships/hyperlink" Target="https://www.ncbi.nlm.nih.gov/nuccore/AF482758" TargetMode="External"/><Relationship Id="rId1454" Type="http://schemas.openxmlformats.org/officeDocument/2006/relationships/hyperlink" Target="https://www.ncbi.nlm.nih.gov/nuccore/MF467280" TargetMode="External"/><Relationship Id="rId1107" Type="http://schemas.openxmlformats.org/officeDocument/2006/relationships/hyperlink" Target="https://www.ncbi.nlm.nih.gov/nuccore/KU980965" TargetMode="External"/><Relationship Id="rId1314" Type="http://schemas.openxmlformats.org/officeDocument/2006/relationships/hyperlink" Target="https://www.ncbi.nlm.nih.gov/nuccore/X69198" TargetMode="External"/><Relationship Id="rId20" Type="http://schemas.openxmlformats.org/officeDocument/2006/relationships/hyperlink" Target="https://www.ncbi.nlm.nih.gov/nuccore/AF170726" TargetMode="External"/><Relationship Id="rId267" Type="http://schemas.openxmlformats.org/officeDocument/2006/relationships/hyperlink" Target="https://www.ncbi.nlm.nih.gov/nuccore/KU749310" TargetMode="External"/><Relationship Id="rId474" Type="http://schemas.openxmlformats.org/officeDocument/2006/relationships/hyperlink" Target="https://www.ncbi.nlm.nih.gov/nuccore/KJ859677" TargetMode="External"/><Relationship Id="rId127" Type="http://schemas.openxmlformats.org/officeDocument/2006/relationships/hyperlink" Target="https://www.ncbi.nlm.nih.gov/nuccore/KJ801920" TargetMode="External"/><Relationship Id="rId681" Type="http://schemas.openxmlformats.org/officeDocument/2006/relationships/hyperlink" Target="https://www.ncbi.nlm.nih.gov/nuccore/KY382358" TargetMode="External"/><Relationship Id="rId779" Type="http://schemas.openxmlformats.org/officeDocument/2006/relationships/hyperlink" Target="https://www.ncbi.nlm.nih.gov/nuccore/MH607141" TargetMode="External"/><Relationship Id="rId986" Type="http://schemas.openxmlformats.org/officeDocument/2006/relationships/hyperlink" Target="https://www.ncbi.nlm.nih.gov/nuccore/AY077835" TargetMode="External"/><Relationship Id="rId334" Type="http://schemas.openxmlformats.org/officeDocument/2006/relationships/hyperlink" Target="https://www.ncbi.nlm.nih.gov/nuccore/AY386264" TargetMode="External"/><Relationship Id="rId541" Type="http://schemas.openxmlformats.org/officeDocument/2006/relationships/hyperlink" Target="https://www.ncbi.nlm.nih.gov/nuccore/DQ356948" TargetMode="External"/><Relationship Id="rId639" Type="http://schemas.openxmlformats.org/officeDocument/2006/relationships/hyperlink" Target="https://www.ncbi.nlm.nih.gov/nuccore/MF467281" TargetMode="External"/><Relationship Id="rId1171" Type="http://schemas.openxmlformats.org/officeDocument/2006/relationships/hyperlink" Target="https://www.ncbi.nlm.nih.gov/nuccore/KJ801920" TargetMode="External"/><Relationship Id="rId1269" Type="http://schemas.openxmlformats.org/officeDocument/2006/relationships/hyperlink" Target="https://www.ncbi.nlm.nih.gov/nuccore/AP013055" TargetMode="External"/><Relationship Id="rId401" Type="http://schemas.openxmlformats.org/officeDocument/2006/relationships/hyperlink" Target="https://www.ncbi.nlm.nih.gov/nuccore/AF250284" TargetMode="External"/><Relationship Id="rId846" Type="http://schemas.openxmlformats.org/officeDocument/2006/relationships/hyperlink" Target="https://www.ncbi.nlm.nih.gov/nuccore/KP143769" TargetMode="External"/><Relationship Id="rId1031" Type="http://schemas.openxmlformats.org/officeDocument/2006/relationships/hyperlink" Target="https://www.ncbi.nlm.nih.gov/nuccore/KM502564" TargetMode="External"/><Relationship Id="rId1129" Type="http://schemas.openxmlformats.org/officeDocument/2006/relationships/hyperlink" Target="https://www.ncbi.nlm.nih.gov/nuccore/AF438165" TargetMode="External"/><Relationship Id="rId706" Type="http://schemas.openxmlformats.org/officeDocument/2006/relationships/hyperlink" Target="https://www.ncbi.nlm.nih.gov/nuccore/KJ859677" TargetMode="External"/><Relationship Id="rId913" Type="http://schemas.openxmlformats.org/officeDocument/2006/relationships/hyperlink" Target="https://www.ncbi.nlm.nih.gov/nuccore/AY386264" TargetMode="External"/><Relationship Id="rId1336" Type="http://schemas.openxmlformats.org/officeDocument/2006/relationships/hyperlink" Target="https://www.ncbi.nlm.nih.gov/nuccore/MH427217" TargetMode="External"/><Relationship Id="rId42" Type="http://schemas.openxmlformats.org/officeDocument/2006/relationships/hyperlink" Target="https://www.ncbi.nlm.nih.gov/nuccore/AY386265" TargetMode="External"/><Relationship Id="rId1403" Type="http://schemas.openxmlformats.org/officeDocument/2006/relationships/hyperlink" Target="https://www.ncbi.nlm.nih.gov/nuccore/KJ801920" TargetMode="External"/><Relationship Id="rId191" Type="http://schemas.openxmlformats.org/officeDocument/2006/relationships/hyperlink" Target="https://www.ncbi.nlm.nih.gov/nuccore/AY077832" TargetMode="External"/><Relationship Id="rId289" Type="http://schemas.openxmlformats.org/officeDocument/2006/relationships/hyperlink" Target="https://www.ncbi.nlm.nih.gov/nuccore/AY077832" TargetMode="External"/><Relationship Id="rId496" Type="http://schemas.openxmlformats.org/officeDocument/2006/relationships/hyperlink" Target="https://www.ncbi.nlm.nih.gov/nuccore/AF380138" TargetMode="External"/><Relationship Id="rId149" Type="http://schemas.openxmlformats.org/officeDocument/2006/relationships/hyperlink" Target="https://www.ncbi.nlm.nih.gov/nuccore/AY753185" TargetMode="External"/><Relationship Id="rId356" Type="http://schemas.openxmlformats.org/officeDocument/2006/relationships/hyperlink" Target="https://www.ncbi.nlm.nih.gov/nuccore/KY747497" TargetMode="External"/><Relationship Id="rId563" Type="http://schemas.openxmlformats.org/officeDocument/2006/relationships/hyperlink" Target="https://www.ncbi.nlm.nih.gov/nuccore/KY382358" TargetMode="External"/><Relationship Id="rId770" Type="http://schemas.openxmlformats.org/officeDocument/2006/relationships/hyperlink" Target="https://www.ncbi.nlm.nih.gov/nuccore/MF001304" TargetMode="External"/><Relationship Id="rId1193" Type="http://schemas.openxmlformats.org/officeDocument/2006/relationships/hyperlink" Target="https://www.ncbi.nlm.nih.gov/nuccore/AY753185" TargetMode="External"/><Relationship Id="rId216" Type="http://schemas.openxmlformats.org/officeDocument/2006/relationships/hyperlink" Target="https://www.ncbi.nlm.nih.gov/nuccore/KU749311" TargetMode="External"/><Relationship Id="rId423" Type="http://schemas.openxmlformats.org/officeDocument/2006/relationships/hyperlink" Target="https://www.ncbi.nlm.nih.gov/nuccore/HQ849551" TargetMode="External"/><Relationship Id="rId868" Type="http://schemas.openxmlformats.org/officeDocument/2006/relationships/hyperlink" Target="https://www.ncbi.nlm.nih.gov/nuccore/HF679134" TargetMode="External"/><Relationship Id="rId1053" Type="http://schemas.openxmlformats.org/officeDocument/2006/relationships/hyperlink" Target="https://www.ncbi.nlm.nih.gov/nuccore/MF678796" TargetMode="External"/><Relationship Id="rId1260" Type="http://schemas.openxmlformats.org/officeDocument/2006/relationships/hyperlink" Target="https://www.ncbi.nlm.nih.gov/nuccore/AY386265" TargetMode="External"/><Relationship Id="rId630" Type="http://schemas.openxmlformats.org/officeDocument/2006/relationships/hyperlink" Target="https://www.ncbi.nlm.nih.gov/nuccore/AJ293568" TargetMode="External"/><Relationship Id="rId728" Type="http://schemas.openxmlformats.org/officeDocument/2006/relationships/hyperlink" Target="https://www.ncbi.nlm.nih.gov/nuccore/AF380138" TargetMode="External"/><Relationship Id="rId935" Type="http://schemas.openxmlformats.org/officeDocument/2006/relationships/hyperlink" Target="https://www.ncbi.nlm.nih.gov/nuccore/HE601899" TargetMode="External"/><Relationship Id="rId1358" Type="http://schemas.openxmlformats.org/officeDocument/2006/relationships/hyperlink" Target="https://www.ncbi.nlm.nih.gov/nuccore/MH816996" TargetMode="External"/><Relationship Id="rId64" Type="http://schemas.openxmlformats.org/officeDocument/2006/relationships/hyperlink" Target="https://www.ncbi.nlm.nih.gov/nuccore/KT159937" TargetMode="External"/><Relationship Id="rId1120" Type="http://schemas.openxmlformats.org/officeDocument/2006/relationships/hyperlink" Target="https://www.ncbi.nlm.nih.gov/nuccore/AY689436" TargetMode="External"/><Relationship Id="rId1218" Type="http://schemas.openxmlformats.org/officeDocument/2006/relationships/hyperlink" Target="https://www.ncbi.nlm.nih.gov/nuccore/AY077835" TargetMode="External"/><Relationship Id="rId1425" Type="http://schemas.openxmlformats.org/officeDocument/2006/relationships/hyperlink" Target="https://www.ncbi.nlm.nih.gov/nuccore/AFH54685" TargetMode="External"/><Relationship Id="rId280" Type="http://schemas.openxmlformats.org/officeDocument/2006/relationships/hyperlink" Target="https://www.ncbi.nlm.nih.gov/nuccore/AJ293568" TargetMode="External"/><Relationship Id="rId140" Type="http://schemas.openxmlformats.org/officeDocument/2006/relationships/hyperlink" Target="https://www.ncbi.nlm.nih.gov/nuccore/MH816996" TargetMode="External"/><Relationship Id="rId378" Type="http://schemas.openxmlformats.org/officeDocument/2006/relationships/hyperlink" Target="https://www.ncbi.nlm.nih.gov/nuccore/AF012825" TargetMode="External"/><Relationship Id="rId585" Type="http://schemas.openxmlformats.org/officeDocument/2006/relationships/hyperlink" Target="https://www.ncbi.nlm.nih.gov/nuccore/KU980965" TargetMode="External"/><Relationship Id="rId792" Type="http://schemas.openxmlformats.org/officeDocument/2006/relationships/hyperlink" Target="https://www.ncbi.nlm.nih.gov/nuccore/X69198" TargetMode="External"/><Relationship Id="rId6" Type="http://schemas.openxmlformats.org/officeDocument/2006/relationships/hyperlink" Target="https://www.ncbi.nlm.nih.gov/nuccore/KT159937" TargetMode="External"/><Relationship Id="rId238" Type="http://schemas.openxmlformats.org/officeDocument/2006/relationships/hyperlink" Target="https://www.ncbi.nlm.nih.gov/nuccore/KT159937" TargetMode="External"/><Relationship Id="rId445" Type="http://schemas.openxmlformats.org/officeDocument/2006/relationships/hyperlink" Target="https://www.ncbi.nlm.nih.gov/nuccore/Y16780" TargetMode="External"/><Relationship Id="rId652" Type="http://schemas.openxmlformats.org/officeDocument/2006/relationships/hyperlink" Target="https://www.ncbi.nlm.nih.gov/nuccore/AF198100" TargetMode="External"/><Relationship Id="rId1075" Type="http://schemas.openxmlformats.org/officeDocument/2006/relationships/hyperlink" Target="https://www.ncbi.nlm.nih.gov/nuccore/AF482758" TargetMode="External"/><Relationship Id="rId1282" Type="http://schemas.openxmlformats.org/officeDocument/2006/relationships/hyperlink" Target="https://www.ncbi.nlm.nih.gov/nuccore/KT159937" TargetMode="External"/><Relationship Id="rId305" Type="http://schemas.openxmlformats.org/officeDocument/2006/relationships/hyperlink" Target="https://www.ncbi.nlm.nih.gov/nuccore/AF325528" TargetMode="External"/><Relationship Id="rId512" Type="http://schemas.openxmlformats.org/officeDocument/2006/relationships/hyperlink" Target="https://www.ncbi.nlm.nih.gov/nuccore/AJ293568" TargetMode="External"/><Relationship Id="rId957" Type="http://schemas.openxmlformats.org/officeDocument/2006/relationships/hyperlink" Target="https://www.ncbi.nlm.nih.gov/nuccore/AF482758" TargetMode="External"/><Relationship Id="rId1142" Type="http://schemas.openxmlformats.org/officeDocument/2006/relationships/hyperlink" Target="https://www.ncbi.nlm.nih.gov/nuccore/KU749311" TargetMode="External"/><Relationship Id="rId86" Type="http://schemas.openxmlformats.org/officeDocument/2006/relationships/hyperlink" Target="https://www.ncbi.nlm.nih.gov/nuccore/AF438165" TargetMode="External"/><Relationship Id="rId817" Type="http://schemas.openxmlformats.org/officeDocument/2006/relationships/hyperlink" Target="https://www.ncbi.nlm.nih.gov/nuccore/KU980965" TargetMode="External"/><Relationship Id="rId1002" Type="http://schemas.openxmlformats.org/officeDocument/2006/relationships/hyperlink" Target="https://www.ncbi.nlm.nih.gov/nuccore/MF001304" TargetMode="External"/><Relationship Id="rId1447" Type="http://schemas.openxmlformats.org/officeDocument/2006/relationships/hyperlink" Target="https://www.ncbi.nlm.nih.gov/nuccore/AF250284" TargetMode="External"/><Relationship Id="rId1307" Type="http://schemas.openxmlformats.org/officeDocument/2006/relationships/hyperlink" Target="https://www.ncbi.nlm.nih.gov/nuccore/AFH54685" TargetMode="External"/><Relationship Id="rId13" Type="http://schemas.openxmlformats.org/officeDocument/2006/relationships/hyperlink" Target="https://www.ncbi.nlm.nih.gov/nuccore/AY318871" TargetMode="External"/><Relationship Id="rId162" Type="http://schemas.openxmlformats.org/officeDocument/2006/relationships/hyperlink" Target="https://www.ncbi.nlm.nih.gov/nuccore/GQ329670" TargetMode="External"/><Relationship Id="rId467" Type="http://schemas.openxmlformats.org/officeDocument/2006/relationships/hyperlink" Target="https://www.ncbi.nlm.nih.gov/nuccore/KY094066" TargetMode="External"/><Relationship Id="rId1097" Type="http://schemas.openxmlformats.org/officeDocument/2006/relationships/hyperlink" Target="https://www.ncbi.nlm.nih.gov/nuccore/AP013055" TargetMode="External"/><Relationship Id="rId674" Type="http://schemas.openxmlformats.org/officeDocument/2006/relationships/hyperlink" Target="https://www.ncbi.nlm.nih.gov/nuccore/KP143769" TargetMode="External"/><Relationship Id="rId881" Type="http://schemas.openxmlformats.org/officeDocument/2006/relationships/hyperlink" Target="https://www.ncbi.nlm.nih.gov/nuccore/KJ801920" TargetMode="External"/><Relationship Id="rId979" Type="http://schemas.openxmlformats.org/officeDocument/2006/relationships/hyperlink" Target="https://www.ncbi.nlm.nih.gov/nuccore/AP013055" TargetMode="External"/><Relationship Id="rId327" Type="http://schemas.openxmlformats.org/officeDocument/2006/relationships/hyperlink" Target="https://www.ncbi.nlm.nih.gov/nuccore/AY243312" TargetMode="External"/><Relationship Id="rId534" Type="http://schemas.openxmlformats.org/officeDocument/2006/relationships/hyperlink" Target="https://www.ncbi.nlm.nih.gov/nuccore/KP728110" TargetMode="External"/><Relationship Id="rId741" Type="http://schemas.openxmlformats.org/officeDocument/2006/relationships/hyperlink" Target="https://www.ncbi.nlm.nih.gov/nuccore/KM502564" TargetMode="External"/><Relationship Id="rId839" Type="http://schemas.openxmlformats.org/officeDocument/2006/relationships/hyperlink" Target="https://www.ncbi.nlm.nih.gov/nuccore/AY009089" TargetMode="External"/><Relationship Id="rId1164" Type="http://schemas.openxmlformats.org/officeDocument/2006/relationships/hyperlink" Target="https://www.ncbi.nlm.nih.gov/nuccore/HQ647181" TargetMode="External"/><Relationship Id="rId1371" Type="http://schemas.openxmlformats.org/officeDocument/2006/relationships/hyperlink" Target="https://www.ncbi.nlm.nih.gov/nuccore/AY243312" TargetMode="External"/><Relationship Id="rId1469" Type="http://schemas.openxmlformats.org/officeDocument/2006/relationships/hyperlink" Target="https://www.ncbi.nlm.nih.gov/nuccore/MF467280" TargetMode="External"/><Relationship Id="rId601" Type="http://schemas.openxmlformats.org/officeDocument/2006/relationships/hyperlink" Target="https://www.ncbi.nlm.nih.gov/nuccore/DQ356948" TargetMode="External"/><Relationship Id="rId1024" Type="http://schemas.openxmlformats.org/officeDocument/2006/relationships/hyperlink" Target="https://www.ncbi.nlm.nih.gov/nuccore/X69198" TargetMode="External"/><Relationship Id="rId1231" Type="http://schemas.openxmlformats.org/officeDocument/2006/relationships/hyperlink" Target="https://www.ncbi.nlm.nih.gov/nuccore/AY318871" TargetMode="External"/><Relationship Id="rId906" Type="http://schemas.openxmlformats.org/officeDocument/2006/relationships/hyperlink" Target="https://www.ncbi.nlm.nih.gov/nuccore/DQ437594" TargetMode="External"/><Relationship Id="rId1329" Type="http://schemas.openxmlformats.org/officeDocument/2006/relationships/hyperlink" Target="https://www.ncbi.nlm.nih.gov/nuccore/AF250284" TargetMode="External"/><Relationship Id="rId35" Type="http://schemas.openxmlformats.org/officeDocument/2006/relationships/hyperlink" Target="https://www.ncbi.nlm.nih.gov/nuccore/KU749310" TargetMode="External"/><Relationship Id="rId184" Type="http://schemas.openxmlformats.org/officeDocument/2006/relationships/hyperlink" Target="https://www.ncbi.nlm.nih.gov/nuccore/KJ859677" TargetMode="External"/><Relationship Id="rId391" Type="http://schemas.openxmlformats.org/officeDocument/2006/relationships/hyperlink" Target="https://www.ncbi.nlm.nih.gov/nuccore/AY386264" TargetMode="External"/><Relationship Id="rId251" Type="http://schemas.openxmlformats.org/officeDocument/2006/relationships/hyperlink" Target="https://www.ncbi.nlm.nih.gov/nuccore/DQ356948" TargetMode="External"/><Relationship Id="rId489" Type="http://schemas.openxmlformats.org/officeDocument/2006/relationships/hyperlink" Target="https://www.ncbi.nlm.nih.gov/nuccore/MH607141" TargetMode="External"/><Relationship Id="rId696" Type="http://schemas.openxmlformats.org/officeDocument/2006/relationships/hyperlink" Target="https://www.ncbi.nlm.nih.gov/nuccore/HF679134" TargetMode="External"/><Relationship Id="rId349" Type="http://schemas.openxmlformats.org/officeDocument/2006/relationships/hyperlink" Target="https://www.ncbi.nlm.nih.gov/nuccore/MF467281" TargetMode="External"/><Relationship Id="rId556" Type="http://schemas.openxmlformats.org/officeDocument/2006/relationships/hyperlink" Target="https://www.ncbi.nlm.nih.gov/nuccore/KP143769" TargetMode="External"/><Relationship Id="rId763" Type="http://schemas.openxmlformats.org/officeDocument/2006/relationships/hyperlink" Target="https://www.ncbi.nlm.nih.gov/nuccore/MF678796" TargetMode="External"/><Relationship Id="rId1186" Type="http://schemas.openxmlformats.org/officeDocument/2006/relationships/hyperlink" Target="https://www.ncbi.nlm.nih.gov/nuccore/DQ792504" TargetMode="External"/><Relationship Id="rId1393" Type="http://schemas.openxmlformats.org/officeDocument/2006/relationships/hyperlink" Target="https://www.ncbi.nlm.nih.gov/nuccore/MF467281" TargetMode="External"/><Relationship Id="rId111" Type="http://schemas.openxmlformats.org/officeDocument/2006/relationships/hyperlink" Target="https://www.ncbi.nlm.nih.gov/nuccore/AF250284" TargetMode="External"/><Relationship Id="rId209" Type="http://schemas.openxmlformats.org/officeDocument/2006/relationships/hyperlink" Target="https://www.ncbi.nlm.nih.gov/nuccore/AY753185" TargetMode="External"/><Relationship Id="rId416" Type="http://schemas.openxmlformats.org/officeDocument/2006/relationships/hyperlink" Target="https://www.ncbi.nlm.nih.gov/nuccore/KJ859677" TargetMode="External"/><Relationship Id="rId970" Type="http://schemas.openxmlformats.org/officeDocument/2006/relationships/hyperlink" Target="https://www.ncbi.nlm.nih.gov/nuccore/AY386265" TargetMode="External"/><Relationship Id="rId1046" Type="http://schemas.openxmlformats.org/officeDocument/2006/relationships/hyperlink" Target="https://www.ncbi.nlm.nih.gov/nuccore/MH427217" TargetMode="External"/><Relationship Id="rId1253" Type="http://schemas.openxmlformats.org/officeDocument/2006/relationships/hyperlink" Target="https://www.ncbi.nlm.nih.gov/nuccore/KU749310" TargetMode="External"/><Relationship Id="rId623" Type="http://schemas.openxmlformats.org/officeDocument/2006/relationships/hyperlink" Target="https://www.ncbi.nlm.nih.gov/nuccore/KY382358" TargetMode="External"/><Relationship Id="rId830" Type="http://schemas.openxmlformats.org/officeDocument/2006/relationships/hyperlink" Target="https://www.ncbi.nlm.nih.gov/nuccore/AY689436" TargetMode="External"/><Relationship Id="rId928" Type="http://schemas.openxmlformats.org/officeDocument/2006/relationships/hyperlink" Target="https://www.ncbi.nlm.nih.gov/nuccore/AY077835" TargetMode="External"/><Relationship Id="rId1460" Type="http://schemas.openxmlformats.org/officeDocument/2006/relationships/hyperlink" Target="https://www.ncbi.nlm.nih.gov/nuccore/MF467280" TargetMode="External"/><Relationship Id="rId57" Type="http://schemas.openxmlformats.org/officeDocument/2006/relationships/hyperlink" Target="https://www.ncbi.nlm.nih.gov/nuccore/AY077832" TargetMode="External"/><Relationship Id="rId1113" Type="http://schemas.openxmlformats.org/officeDocument/2006/relationships/hyperlink" Target="https://www.ncbi.nlm.nih.gov/nuccore/KJ801920" TargetMode="External"/><Relationship Id="rId1320" Type="http://schemas.openxmlformats.org/officeDocument/2006/relationships/hyperlink" Target="https://www.ncbi.nlm.nih.gov/nuccore/AY386264" TargetMode="External"/><Relationship Id="rId1418" Type="http://schemas.openxmlformats.org/officeDocument/2006/relationships/hyperlink" Target="https://www.ncbi.nlm.nih.gov/nuccore/MH816996" TargetMode="External"/><Relationship Id="rId273" Type="http://schemas.openxmlformats.org/officeDocument/2006/relationships/hyperlink" Target="https://www.ncbi.nlm.nih.gov/nuccore/KY382358" TargetMode="External"/><Relationship Id="rId480" Type="http://schemas.openxmlformats.org/officeDocument/2006/relationships/hyperlink" Target="https://www.ncbi.nlm.nih.gov/nuccore/MF001304" TargetMode="External"/><Relationship Id="rId133" Type="http://schemas.openxmlformats.org/officeDocument/2006/relationships/hyperlink" Target="https://www.ncbi.nlm.nih.gov/nuccore/HQ849551" TargetMode="External"/><Relationship Id="rId340" Type="http://schemas.openxmlformats.org/officeDocument/2006/relationships/hyperlink" Target="https://www.ncbi.nlm.nih.gov/nuccore/AF063866" TargetMode="External"/><Relationship Id="rId578" Type="http://schemas.openxmlformats.org/officeDocument/2006/relationships/hyperlink" Target="https://www.ncbi.nlm.nih.gov/nuccore/HF679134" TargetMode="External"/><Relationship Id="rId785" Type="http://schemas.openxmlformats.org/officeDocument/2006/relationships/hyperlink" Target="https://www.ncbi.nlm.nih.gov/nuccore/AFH54685" TargetMode="External"/><Relationship Id="rId992" Type="http://schemas.openxmlformats.org/officeDocument/2006/relationships/hyperlink" Target="https://www.ncbi.nlm.nih.gov/nuccore/KT159937" TargetMode="External"/><Relationship Id="rId200" Type="http://schemas.openxmlformats.org/officeDocument/2006/relationships/hyperlink" Target="https://www.ncbi.nlm.nih.gov/nuccore/MH816996" TargetMode="External"/><Relationship Id="rId438" Type="http://schemas.openxmlformats.org/officeDocument/2006/relationships/hyperlink" Target="https://www.ncbi.nlm.nih.gov/nuccore/AF380138" TargetMode="External"/><Relationship Id="rId645" Type="http://schemas.openxmlformats.org/officeDocument/2006/relationships/hyperlink" Target="https://www.ncbi.nlm.nih.gov/nuccore/HE601899" TargetMode="External"/><Relationship Id="rId852" Type="http://schemas.openxmlformats.org/officeDocument/2006/relationships/hyperlink" Target="https://www.ncbi.nlm.nih.gov/nuccore/KU749311" TargetMode="External"/><Relationship Id="rId1068" Type="http://schemas.openxmlformats.org/officeDocument/2006/relationships/hyperlink" Target="https://www.ncbi.nlm.nih.gov/nuccore/AF170722" TargetMode="External"/><Relationship Id="rId1275" Type="http://schemas.openxmlformats.org/officeDocument/2006/relationships/hyperlink" Target="https://www.ncbi.nlm.nih.gov/nuccore/AY077832" TargetMode="External"/><Relationship Id="rId505" Type="http://schemas.openxmlformats.org/officeDocument/2006/relationships/hyperlink" Target="https://www.ncbi.nlm.nih.gov/nuccore/KY382358" TargetMode="External"/><Relationship Id="rId712" Type="http://schemas.openxmlformats.org/officeDocument/2006/relationships/hyperlink" Target="https://www.ncbi.nlm.nih.gov/nuccore/MF001304" TargetMode="External"/><Relationship Id="rId1135" Type="http://schemas.openxmlformats.org/officeDocument/2006/relationships/hyperlink" Target="https://www.ncbi.nlm.nih.gov/nuccore/AY753185" TargetMode="External"/><Relationship Id="rId1342" Type="http://schemas.openxmlformats.org/officeDocument/2006/relationships/hyperlink" Target="https://www.ncbi.nlm.nih.gov/nuccore/KY747497" TargetMode="External"/><Relationship Id="rId79" Type="http://schemas.openxmlformats.org/officeDocument/2006/relationships/hyperlink" Target="https://www.ncbi.nlm.nih.gov/nuccore/AF170726" TargetMode="External"/><Relationship Id="rId1202" Type="http://schemas.openxmlformats.org/officeDocument/2006/relationships/hyperlink" Target="https://www.ncbi.nlm.nih.gov/nuccore/AY386265" TargetMode="External"/><Relationship Id="rId295" Type="http://schemas.openxmlformats.org/officeDocument/2006/relationships/hyperlink" Target="https://www.ncbi.nlm.nih.gov/nuccore/KU980965" TargetMode="External"/><Relationship Id="rId155" Type="http://schemas.openxmlformats.org/officeDocument/2006/relationships/hyperlink" Target="https://www.ncbi.nlm.nih.gov/nuccore/Y16780" TargetMode="External"/><Relationship Id="rId362" Type="http://schemas.openxmlformats.org/officeDocument/2006/relationships/hyperlink" Target="https://www.ncbi.nlm.nih.gov/nuccore/AF198100" TargetMode="External"/><Relationship Id="rId1297" Type="http://schemas.openxmlformats.org/officeDocument/2006/relationships/hyperlink" Target="https://www.ncbi.nlm.nih.gov/nuccore/AF170726" TargetMode="External"/><Relationship Id="rId222" Type="http://schemas.openxmlformats.org/officeDocument/2006/relationships/hyperlink" Target="https://www.ncbi.nlm.nih.gov/nuccore/GQ329670" TargetMode="External"/><Relationship Id="rId667" Type="http://schemas.openxmlformats.org/officeDocument/2006/relationships/hyperlink" Target="https://www.ncbi.nlm.nih.gov/nuccore/AF438165" TargetMode="External"/><Relationship Id="rId874" Type="http://schemas.openxmlformats.org/officeDocument/2006/relationships/hyperlink" Target="https://www.ncbi.nlm.nih.gov/nuccore/HQ647181" TargetMode="External"/><Relationship Id="rId527" Type="http://schemas.openxmlformats.org/officeDocument/2006/relationships/hyperlink" Target="https://www.ncbi.nlm.nih.gov/nuccore/KU980965" TargetMode="External"/><Relationship Id="rId734" Type="http://schemas.openxmlformats.org/officeDocument/2006/relationships/hyperlink" Target="https://www.ncbi.nlm.nih.gov/nuccore/X69198" TargetMode="External"/><Relationship Id="rId941" Type="http://schemas.openxmlformats.org/officeDocument/2006/relationships/hyperlink" Target="https://www.ncbi.nlm.nih.gov/nuccore/AY318871" TargetMode="External"/><Relationship Id="rId1157" Type="http://schemas.openxmlformats.org/officeDocument/2006/relationships/hyperlink" Target="https://www.ncbi.nlm.nih.gov/nuccore/HF679133" TargetMode="External"/><Relationship Id="rId1364" Type="http://schemas.openxmlformats.org/officeDocument/2006/relationships/hyperlink" Target="https://www.ncbi.nlm.nih.gov/nuccore/AF012825" TargetMode="External"/><Relationship Id="rId70" Type="http://schemas.openxmlformats.org/officeDocument/2006/relationships/hyperlink" Target="https://www.ncbi.nlm.nih.gov/nuccore/KP728110" TargetMode="External"/><Relationship Id="rId801" Type="http://schemas.openxmlformats.org/officeDocument/2006/relationships/hyperlink" Target="https://www.ncbi.nlm.nih.gov/nuccore/AF410153" TargetMode="External"/><Relationship Id="rId1017" Type="http://schemas.openxmlformats.org/officeDocument/2006/relationships/hyperlink" Target="https://www.ncbi.nlm.nih.gov/nuccore/AFH54685" TargetMode="External"/><Relationship Id="rId1224" Type="http://schemas.openxmlformats.org/officeDocument/2006/relationships/hyperlink" Target="https://www.ncbi.nlm.nih.gov/nuccore/KT159937" TargetMode="External"/><Relationship Id="rId1431" Type="http://schemas.openxmlformats.org/officeDocument/2006/relationships/hyperlink" Target="https://www.ncbi.nlm.nih.gov/nuccore/AY243312" TargetMode="External"/><Relationship Id="rId28" Type="http://schemas.openxmlformats.org/officeDocument/2006/relationships/hyperlink" Target="https://www.ncbi.nlm.nih.gov/nuccore/AF438165" TargetMode="External"/><Relationship Id="rId177" Type="http://schemas.openxmlformats.org/officeDocument/2006/relationships/hyperlink" Target="https://www.ncbi.nlm.nih.gov/nuccore/KY094066" TargetMode="External"/><Relationship Id="rId384" Type="http://schemas.openxmlformats.org/officeDocument/2006/relationships/hyperlink" Target="https://www.ncbi.nlm.nih.gov/nuccore/DQ437594" TargetMode="External"/><Relationship Id="rId591" Type="http://schemas.openxmlformats.org/officeDocument/2006/relationships/hyperlink" Target="https://www.ncbi.nlm.nih.gov/nuccore/KJ801920" TargetMode="External"/><Relationship Id="rId244" Type="http://schemas.openxmlformats.org/officeDocument/2006/relationships/hyperlink" Target="https://www.ncbi.nlm.nih.gov/nuccore/KP728110" TargetMode="External"/><Relationship Id="rId689" Type="http://schemas.openxmlformats.org/officeDocument/2006/relationships/hyperlink" Target="https://www.ncbi.nlm.nih.gov/nuccore/AY386371" TargetMode="External"/><Relationship Id="rId896" Type="http://schemas.openxmlformats.org/officeDocument/2006/relationships/hyperlink" Target="https://www.ncbi.nlm.nih.gov/nuccore/DQ792504" TargetMode="External"/><Relationship Id="rId1081" Type="http://schemas.openxmlformats.org/officeDocument/2006/relationships/hyperlink" Target="https://www.ncbi.nlm.nih.gov/nuccore/KU749310" TargetMode="External"/><Relationship Id="rId451" Type="http://schemas.openxmlformats.org/officeDocument/2006/relationships/hyperlink" Target="https://www.ncbi.nlm.nih.gov/nuccore/KM502564" TargetMode="External"/><Relationship Id="rId549" Type="http://schemas.openxmlformats.org/officeDocument/2006/relationships/hyperlink" Target="https://www.ncbi.nlm.nih.gov/nuccore/AY009089" TargetMode="External"/><Relationship Id="rId756" Type="http://schemas.openxmlformats.org/officeDocument/2006/relationships/hyperlink" Target="https://www.ncbi.nlm.nih.gov/nuccore/MH427217" TargetMode="External"/><Relationship Id="rId1179" Type="http://schemas.openxmlformats.org/officeDocument/2006/relationships/hyperlink" Target="https://www.ncbi.nlm.nih.gov/nuccore/DQ356948" TargetMode="External"/><Relationship Id="rId1386" Type="http://schemas.openxmlformats.org/officeDocument/2006/relationships/hyperlink" Target="https://www.ncbi.nlm.nih.gov/nuccore/HF679131" TargetMode="External"/><Relationship Id="rId104" Type="http://schemas.openxmlformats.org/officeDocument/2006/relationships/hyperlink" Target="https://www.ncbi.nlm.nih.gov/nuccore/GQ329670" TargetMode="External"/><Relationship Id="rId188" Type="http://schemas.openxmlformats.org/officeDocument/2006/relationships/hyperlink" Target="https://www.ncbi.nlm.nih.gov/nuccore/AF198100" TargetMode="External"/><Relationship Id="rId311" Type="http://schemas.openxmlformats.org/officeDocument/2006/relationships/hyperlink" Target="https://www.ncbi.nlm.nih.gov/nuccore/AF170726" TargetMode="External"/><Relationship Id="rId395" Type="http://schemas.openxmlformats.org/officeDocument/2006/relationships/hyperlink" Target="https://www.ncbi.nlm.nih.gov/nuccore/AF410153" TargetMode="External"/><Relationship Id="rId409" Type="http://schemas.openxmlformats.org/officeDocument/2006/relationships/hyperlink" Target="https://www.ncbi.nlm.nih.gov/nuccore/KY094066" TargetMode="External"/><Relationship Id="rId963" Type="http://schemas.openxmlformats.org/officeDocument/2006/relationships/hyperlink" Target="https://www.ncbi.nlm.nih.gov/nuccore/KU749310" TargetMode="External"/><Relationship Id="rId1039" Type="http://schemas.openxmlformats.org/officeDocument/2006/relationships/hyperlink" Target="https://www.ncbi.nlm.nih.gov/nuccore/AF250284" TargetMode="External"/><Relationship Id="rId1246" Type="http://schemas.openxmlformats.org/officeDocument/2006/relationships/hyperlink" Target="https://www.ncbi.nlm.nih.gov/nuccore/AF438165" TargetMode="External"/><Relationship Id="rId92" Type="http://schemas.openxmlformats.org/officeDocument/2006/relationships/hyperlink" Target="https://www.ncbi.nlm.nih.gov/nuccore/KP143769" TargetMode="External"/><Relationship Id="rId616" Type="http://schemas.openxmlformats.org/officeDocument/2006/relationships/hyperlink" Target="https://www.ncbi.nlm.nih.gov/nuccore/KP143769" TargetMode="External"/><Relationship Id="rId823" Type="http://schemas.openxmlformats.org/officeDocument/2006/relationships/hyperlink" Target="https://www.ncbi.nlm.nih.gov/nuccore/KJ801920" TargetMode="External"/><Relationship Id="rId1453" Type="http://schemas.openxmlformats.org/officeDocument/2006/relationships/hyperlink" Target="https://www.ncbi.nlm.nih.gov/nuccore/MF467280" TargetMode="External"/><Relationship Id="rId255" Type="http://schemas.openxmlformats.org/officeDocument/2006/relationships/hyperlink" Target="https://www.ncbi.nlm.nih.gov/nuccore/U60315" TargetMode="External"/><Relationship Id="rId462" Type="http://schemas.openxmlformats.org/officeDocument/2006/relationships/hyperlink" Target="https://www.ncbi.nlm.nih.gov/nuccore/HF679134" TargetMode="External"/><Relationship Id="rId1092" Type="http://schemas.openxmlformats.org/officeDocument/2006/relationships/hyperlink" Target="https://www.ncbi.nlm.nih.gov/nuccore/GQ329670" TargetMode="External"/><Relationship Id="rId1106" Type="http://schemas.openxmlformats.org/officeDocument/2006/relationships/hyperlink" Target="https://www.ncbi.nlm.nih.gov/nuccore/HQ647181" TargetMode="External"/><Relationship Id="rId1313" Type="http://schemas.openxmlformats.org/officeDocument/2006/relationships/hyperlink" Target="https://www.ncbi.nlm.nih.gov/nuccore/AY243312" TargetMode="External"/><Relationship Id="rId1397" Type="http://schemas.openxmlformats.org/officeDocument/2006/relationships/hyperlink" Target="https://www.ncbi.nlm.nih.gov/nuccore/KU980965" TargetMode="External"/><Relationship Id="rId115" Type="http://schemas.openxmlformats.org/officeDocument/2006/relationships/hyperlink" Target="https://www.ncbi.nlm.nih.gov/nuccore/AY077832" TargetMode="External"/><Relationship Id="rId322" Type="http://schemas.openxmlformats.org/officeDocument/2006/relationships/hyperlink" Target="https://www.ncbi.nlm.nih.gov/nuccore/AF380138" TargetMode="External"/><Relationship Id="rId767" Type="http://schemas.openxmlformats.org/officeDocument/2006/relationships/hyperlink" Target="https://www.ncbi.nlm.nih.gov/nuccore/AY318871" TargetMode="External"/><Relationship Id="rId974" Type="http://schemas.openxmlformats.org/officeDocument/2006/relationships/hyperlink" Target="https://www.ncbi.nlm.nih.gov/nuccore/GQ329670" TargetMode="External"/><Relationship Id="rId199" Type="http://schemas.openxmlformats.org/officeDocument/2006/relationships/hyperlink" Target="https://www.ncbi.nlm.nih.gov/nuccore/U60315" TargetMode="External"/><Relationship Id="rId627" Type="http://schemas.openxmlformats.org/officeDocument/2006/relationships/hyperlink" Target="https://www.ncbi.nlm.nih.gov/nuccore/KM502564" TargetMode="External"/><Relationship Id="rId834" Type="http://schemas.openxmlformats.org/officeDocument/2006/relationships/hyperlink" Target="https://www.ncbi.nlm.nih.gov/nuccore/AF170722" TargetMode="External"/><Relationship Id="rId1257" Type="http://schemas.openxmlformats.org/officeDocument/2006/relationships/hyperlink" Target="https://www.ncbi.nlm.nih.gov/nuccore/Y16780" TargetMode="External"/><Relationship Id="rId1464" Type="http://schemas.openxmlformats.org/officeDocument/2006/relationships/hyperlink" Target="https://www.ncbi.nlm.nih.gov/nuccore/MF467280" TargetMode="External"/><Relationship Id="rId266" Type="http://schemas.openxmlformats.org/officeDocument/2006/relationships/hyperlink" Target="https://www.ncbi.nlm.nih.gov/nuccore/KP143769" TargetMode="External"/><Relationship Id="rId473" Type="http://schemas.openxmlformats.org/officeDocument/2006/relationships/hyperlink" Target="https://www.ncbi.nlm.nih.gov/nuccore/MF678796" TargetMode="External"/><Relationship Id="rId680" Type="http://schemas.openxmlformats.org/officeDocument/2006/relationships/hyperlink" Target="https://www.ncbi.nlm.nih.gov/nuccore/KU749311" TargetMode="External"/><Relationship Id="rId901" Type="http://schemas.openxmlformats.org/officeDocument/2006/relationships/hyperlink" Target="https://www.ncbi.nlm.nih.gov/nuccore/AFH54685" TargetMode="External"/><Relationship Id="rId1117" Type="http://schemas.openxmlformats.org/officeDocument/2006/relationships/hyperlink" Target="https://www.ncbi.nlm.nih.gov/nuccore/AF325528" TargetMode="External"/><Relationship Id="rId1324" Type="http://schemas.openxmlformats.org/officeDocument/2006/relationships/hyperlink" Target="https://www.ncbi.nlm.nih.gov/nuccore/AJ293568" TargetMode="External"/><Relationship Id="rId30" Type="http://schemas.openxmlformats.org/officeDocument/2006/relationships/hyperlink" Target="https://www.ncbi.nlm.nih.gov/nuccore/AF012825" TargetMode="External"/><Relationship Id="rId126" Type="http://schemas.openxmlformats.org/officeDocument/2006/relationships/hyperlink" Target="https://www.ncbi.nlm.nih.gov/nuccore/KJ859677" TargetMode="External"/><Relationship Id="rId333" Type="http://schemas.openxmlformats.org/officeDocument/2006/relationships/hyperlink" Target="https://www.ncbi.nlm.nih.gov/nuccore/AY386264" TargetMode="External"/><Relationship Id="rId540" Type="http://schemas.openxmlformats.org/officeDocument/2006/relationships/hyperlink" Target="https://www.ncbi.nlm.nih.gov/nuccore/AY689436" TargetMode="External"/><Relationship Id="rId778" Type="http://schemas.openxmlformats.org/officeDocument/2006/relationships/hyperlink" Target="https://www.ncbi.nlm.nih.gov/nuccore/MH816996" TargetMode="External"/><Relationship Id="rId985" Type="http://schemas.openxmlformats.org/officeDocument/2006/relationships/hyperlink" Target="https://www.ncbi.nlm.nih.gov/nuccore/AY077832" TargetMode="External"/><Relationship Id="rId1170" Type="http://schemas.openxmlformats.org/officeDocument/2006/relationships/hyperlink" Target="https://www.ncbi.nlm.nih.gov/nuccore/KJ859677" TargetMode="External"/><Relationship Id="rId638" Type="http://schemas.openxmlformats.org/officeDocument/2006/relationships/hyperlink" Target="https://www.ncbi.nlm.nih.gov/nuccore/HF679134" TargetMode="External"/><Relationship Id="rId845" Type="http://schemas.openxmlformats.org/officeDocument/2006/relationships/hyperlink" Target="https://www.ncbi.nlm.nih.gov/nuccore/AY753185" TargetMode="External"/><Relationship Id="rId1030" Type="http://schemas.openxmlformats.org/officeDocument/2006/relationships/hyperlink" Target="https://www.ncbi.nlm.nih.gov/nuccore/AY386264" TargetMode="External"/><Relationship Id="rId1268" Type="http://schemas.openxmlformats.org/officeDocument/2006/relationships/hyperlink" Target="https://www.ncbi.nlm.nih.gov/nuccore/AF063866" TargetMode="External"/><Relationship Id="rId1475" Type="http://schemas.openxmlformats.org/officeDocument/2006/relationships/hyperlink" Target="https://www.ncbi.nlm.nih.gov/nuccore/MF467280" TargetMode="External"/><Relationship Id="rId277" Type="http://schemas.openxmlformats.org/officeDocument/2006/relationships/hyperlink" Target="https://www.ncbi.nlm.nih.gov/nuccore/KM502564" TargetMode="External"/><Relationship Id="rId400" Type="http://schemas.openxmlformats.org/officeDocument/2006/relationships/hyperlink" Target="https://www.ncbi.nlm.nih.gov/nuccore/HF679131" TargetMode="External"/><Relationship Id="rId484" Type="http://schemas.openxmlformats.org/officeDocument/2006/relationships/hyperlink" Target="https://www.ncbi.nlm.nih.gov/nuccore/AF170726" TargetMode="External"/><Relationship Id="rId705" Type="http://schemas.openxmlformats.org/officeDocument/2006/relationships/hyperlink" Target="https://www.ncbi.nlm.nih.gov/nuccore/MF678796" TargetMode="External"/><Relationship Id="rId1128" Type="http://schemas.openxmlformats.org/officeDocument/2006/relationships/hyperlink" Target="https://www.ncbi.nlm.nih.gov/nuccore/DQ792504" TargetMode="External"/><Relationship Id="rId1335" Type="http://schemas.openxmlformats.org/officeDocument/2006/relationships/hyperlink" Target="https://www.ncbi.nlm.nih.gov/nuccore/MF467281" TargetMode="External"/><Relationship Id="rId137" Type="http://schemas.openxmlformats.org/officeDocument/2006/relationships/hyperlink" Target="https://www.ncbi.nlm.nih.gov/nuccore/AF170726" TargetMode="External"/><Relationship Id="rId344" Type="http://schemas.openxmlformats.org/officeDocument/2006/relationships/hyperlink" Target="https://www.ncbi.nlm.nih.gov/nuccore/HF679132" TargetMode="External"/><Relationship Id="rId691" Type="http://schemas.openxmlformats.org/officeDocument/2006/relationships/hyperlink" Target="https://www.ncbi.nlm.nih.gov/nuccore/AP013055" TargetMode="External"/><Relationship Id="rId789" Type="http://schemas.openxmlformats.org/officeDocument/2006/relationships/hyperlink" Target="https://www.ncbi.nlm.nih.gov/nuccore/KU749310" TargetMode="External"/><Relationship Id="rId912" Type="http://schemas.openxmlformats.org/officeDocument/2006/relationships/hyperlink" Target="https://www.ncbi.nlm.nih.gov/nuccore/AY386265" TargetMode="External"/><Relationship Id="rId996" Type="http://schemas.openxmlformats.org/officeDocument/2006/relationships/hyperlink" Target="https://www.ncbi.nlm.nih.gov/nuccore/KJ859677" TargetMode="External"/><Relationship Id="rId41" Type="http://schemas.openxmlformats.org/officeDocument/2006/relationships/hyperlink" Target="https://www.ncbi.nlm.nih.gov/nuccore/KY382358" TargetMode="External"/><Relationship Id="rId551" Type="http://schemas.openxmlformats.org/officeDocument/2006/relationships/hyperlink" Target="https://www.ncbi.nlm.nih.gov/nuccore/AF482758" TargetMode="External"/><Relationship Id="rId649" Type="http://schemas.openxmlformats.org/officeDocument/2006/relationships/hyperlink" Target="https://www.ncbi.nlm.nih.gov/nuccore/KJ801920" TargetMode="External"/><Relationship Id="rId856" Type="http://schemas.openxmlformats.org/officeDocument/2006/relationships/hyperlink" Target="https://www.ncbi.nlm.nih.gov/nuccore/AY386264" TargetMode="External"/><Relationship Id="rId1181" Type="http://schemas.openxmlformats.org/officeDocument/2006/relationships/hyperlink" Target="https://www.ncbi.nlm.nih.gov/nuccore/AF170726" TargetMode="External"/><Relationship Id="rId1279" Type="http://schemas.openxmlformats.org/officeDocument/2006/relationships/hyperlink" Target="https://www.ncbi.nlm.nih.gov/nuccore/KY094066" TargetMode="External"/><Relationship Id="rId1402" Type="http://schemas.openxmlformats.org/officeDocument/2006/relationships/hyperlink" Target="https://www.ncbi.nlm.nih.gov/nuccore/KJ859677" TargetMode="External"/><Relationship Id="rId190" Type="http://schemas.openxmlformats.org/officeDocument/2006/relationships/hyperlink" Target="https://www.ncbi.nlm.nih.gov/nuccore/AF325528" TargetMode="External"/><Relationship Id="rId204" Type="http://schemas.openxmlformats.org/officeDocument/2006/relationships/hyperlink" Target="https://www.ncbi.nlm.nih.gov/nuccore/AF438165" TargetMode="External"/><Relationship Id="rId288" Type="http://schemas.openxmlformats.org/officeDocument/2006/relationships/hyperlink" Target="https://www.ncbi.nlm.nih.gov/nuccore/HF679134" TargetMode="External"/><Relationship Id="rId411" Type="http://schemas.openxmlformats.org/officeDocument/2006/relationships/hyperlink" Target="https://www.ncbi.nlm.nih.gov/nuccore/KU980965" TargetMode="External"/><Relationship Id="rId509" Type="http://schemas.openxmlformats.org/officeDocument/2006/relationships/hyperlink" Target="https://www.ncbi.nlm.nih.gov/nuccore/KM502564" TargetMode="External"/><Relationship Id="rId1041" Type="http://schemas.openxmlformats.org/officeDocument/2006/relationships/hyperlink" Target="https://www.ncbi.nlm.nih.gov/nuccore/HF679133" TargetMode="External"/><Relationship Id="rId1139" Type="http://schemas.openxmlformats.org/officeDocument/2006/relationships/hyperlink" Target="https://www.ncbi.nlm.nih.gov/nuccore/AY243312" TargetMode="External"/><Relationship Id="rId1346" Type="http://schemas.openxmlformats.org/officeDocument/2006/relationships/hyperlink" Target="https://www.ncbi.nlm.nih.gov/nuccore/KP728110" TargetMode="External"/><Relationship Id="rId495" Type="http://schemas.openxmlformats.org/officeDocument/2006/relationships/hyperlink" Target="https://www.ncbi.nlm.nih.gov/nuccore/AFH54685" TargetMode="External"/><Relationship Id="rId716" Type="http://schemas.openxmlformats.org/officeDocument/2006/relationships/hyperlink" Target="https://www.ncbi.nlm.nih.gov/nuccore/AF170726" TargetMode="External"/><Relationship Id="rId923" Type="http://schemas.openxmlformats.org/officeDocument/2006/relationships/hyperlink" Target="https://www.ncbi.nlm.nih.gov/nuccore/AF250284" TargetMode="External"/><Relationship Id="rId52" Type="http://schemas.openxmlformats.org/officeDocument/2006/relationships/hyperlink" Target="https://www.ncbi.nlm.nih.gov/nuccore/HF679131" TargetMode="External"/><Relationship Id="rId148" Type="http://schemas.openxmlformats.org/officeDocument/2006/relationships/hyperlink" Target="https://www.ncbi.nlm.nih.gov/nuccore/AF380138" TargetMode="External"/><Relationship Id="rId355" Type="http://schemas.openxmlformats.org/officeDocument/2006/relationships/hyperlink" Target="https://www.ncbi.nlm.nih.gov/nuccore/HE601899" TargetMode="External"/><Relationship Id="rId562" Type="http://schemas.openxmlformats.org/officeDocument/2006/relationships/hyperlink" Target="https://www.ncbi.nlm.nih.gov/nuccore/KU749311" TargetMode="External"/><Relationship Id="rId1192" Type="http://schemas.openxmlformats.org/officeDocument/2006/relationships/hyperlink" Target="https://www.ncbi.nlm.nih.gov/nuccore/AF380138" TargetMode="External"/><Relationship Id="rId1206" Type="http://schemas.openxmlformats.org/officeDocument/2006/relationships/hyperlink" Target="https://www.ncbi.nlm.nih.gov/nuccore/GQ329670" TargetMode="External"/><Relationship Id="rId1413" Type="http://schemas.openxmlformats.org/officeDocument/2006/relationships/hyperlink" Target="https://www.ncbi.nlm.nih.gov/nuccore/DQ356948" TargetMode="External"/><Relationship Id="rId215" Type="http://schemas.openxmlformats.org/officeDocument/2006/relationships/hyperlink" Target="https://www.ncbi.nlm.nih.gov/nuccore/Y16780" TargetMode="External"/><Relationship Id="rId422" Type="http://schemas.openxmlformats.org/officeDocument/2006/relationships/hyperlink" Target="https://www.ncbi.nlm.nih.gov/nuccore/MF001304" TargetMode="External"/><Relationship Id="rId867" Type="http://schemas.openxmlformats.org/officeDocument/2006/relationships/hyperlink" Target="https://www.ncbi.nlm.nih.gov/nuccore/HF679133" TargetMode="External"/><Relationship Id="rId1052" Type="http://schemas.openxmlformats.org/officeDocument/2006/relationships/hyperlink" Target="https://www.ncbi.nlm.nih.gov/nuccore/KY747497" TargetMode="External"/><Relationship Id="rId299" Type="http://schemas.openxmlformats.org/officeDocument/2006/relationships/hyperlink" Target="https://www.ncbi.nlm.nih.gov/nuccore/MF678796" TargetMode="External"/><Relationship Id="rId727" Type="http://schemas.openxmlformats.org/officeDocument/2006/relationships/hyperlink" Target="https://www.ncbi.nlm.nih.gov/nuccore/AFH54685" TargetMode="External"/><Relationship Id="rId934" Type="http://schemas.openxmlformats.org/officeDocument/2006/relationships/hyperlink" Target="https://www.ncbi.nlm.nih.gov/nuccore/KT159937" TargetMode="External"/><Relationship Id="rId1357" Type="http://schemas.openxmlformats.org/officeDocument/2006/relationships/hyperlink" Target="https://www.ncbi.nlm.nih.gov/nuccore/U60315" TargetMode="External"/><Relationship Id="rId63" Type="http://schemas.openxmlformats.org/officeDocument/2006/relationships/hyperlink" Target="https://www.ncbi.nlm.nih.gov/nuccore/KU980965" TargetMode="External"/><Relationship Id="rId159" Type="http://schemas.openxmlformats.org/officeDocument/2006/relationships/hyperlink" Target="https://www.ncbi.nlm.nih.gov/nuccore/AY386264" TargetMode="External"/><Relationship Id="rId366" Type="http://schemas.openxmlformats.org/officeDocument/2006/relationships/hyperlink" Target="https://www.ncbi.nlm.nih.gov/nuccore/AY689436" TargetMode="External"/><Relationship Id="rId573" Type="http://schemas.openxmlformats.org/officeDocument/2006/relationships/hyperlink" Target="https://www.ncbi.nlm.nih.gov/nuccore/AP013055" TargetMode="External"/><Relationship Id="rId780" Type="http://schemas.openxmlformats.org/officeDocument/2006/relationships/hyperlink" Target="https://www.ncbi.nlm.nih.gov/nuccore/DQ792504" TargetMode="External"/><Relationship Id="rId1217" Type="http://schemas.openxmlformats.org/officeDocument/2006/relationships/hyperlink" Target="https://www.ncbi.nlm.nih.gov/nuccore/AY077832" TargetMode="External"/><Relationship Id="rId1424" Type="http://schemas.openxmlformats.org/officeDocument/2006/relationships/hyperlink" Target="https://www.ncbi.nlm.nih.gov/nuccore/AF012825" TargetMode="External"/><Relationship Id="rId226" Type="http://schemas.openxmlformats.org/officeDocument/2006/relationships/hyperlink" Target="https://www.ncbi.nlm.nih.gov/nuccore/AF063866" TargetMode="External"/><Relationship Id="rId433" Type="http://schemas.openxmlformats.org/officeDocument/2006/relationships/hyperlink" Target="https://www.ncbi.nlm.nih.gov/nuccore/AY009089" TargetMode="External"/><Relationship Id="rId878" Type="http://schemas.openxmlformats.org/officeDocument/2006/relationships/hyperlink" Target="https://www.ncbi.nlm.nih.gov/nuccore/KY747497" TargetMode="External"/><Relationship Id="rId1063" Type="http://schemas.openxmlformats.org/officeDocument/2006/relationships/hyperlink" Target="https://www.ncbi.nlm.nih.gov/nuccore/HQ849551" TargetMode="External"/><Relationship Id="rId1270" Type="http://schemas.openxmlformats.org/officeDocument/2006/relationships/hyperlink" Target="https://www.ncbi.nlm.nih.gov/nuccore/HF679131" TargetMode="External"/><Relationship Id="rId640" Type="http://schemas.openxmlformats.org/officeDocument/2006/relationships/hyperlink" Target="https://www.ncbi.nlm.nih.gov/nuccore/MH427217" TargetMode="External"/><Relationship Id="rId738" Type="http://schemas.openxmlformats.org/officeDocument/2006/relationships/hyperlink" Target="https://www.ncbi.nlm.nih.gov/nuccore/AY386265" TargetMode="External"/><Relationship Id="rId945" Type="http://schemas.openxmlformats.org/officeDocument/2006/relationships/hyperlink" Target="https://www.ncbi.nlm.nih.gov/nuccore/HQ849551" TargetMode="External"/><Relationship Id="rId1368" Type="http://schemas.openxmlformats.org/officeDocument/2006/relationships/hyperlink" Target="https://www.ncbi.nlm.nih.gov/nuccore/KP143769" TargetMode="External"/><Relationship Id="rId74" Type="http://schemas.openxmlformats.org/officeDocument/2006/relationships/hyperlink" Target="https://www.ncbi.nlm.nih.gov/nuccore/MF001304" TargetMode="External"/><Relationship Id="rId377" Type="http://schemas.openxmlformats.org/officeDocument/2006/relationships/hyperlink" Target="https://www.ncbi.nlm.nih.gov/nuccore/AF482758" TargetMode="External"/><Relationship Id="rId500" Type="http://schemas.openxmlformats.org/officeDocument/2006/relationships/hyperlink" Target="https://www.ncbi.nlm.nih.gov/nuccore/DQ437594" TargetMode="External"/><Relationship Id="rId584" Type="http://schemas.openxmlformats.org/officeDocument/2006/relationships/hyperlink" Target="https://www.ncbi.nlm.nih.gov/nuccore/HQ647181" TargetMode="External"/><Relationship Id="rId805" Type="http://schemas.openxmlformats.org/officeDocument/2006/relationships/hyperlink" Target="https://www.ncbi.nlm.nih.gov/nuccore/AP013055" TargetMode="External"/><Relationship Id="rId1130" Type="http://schemas.openxmlformats.org/officeDocument/2006/relationships/hyperlink" Target="https://www.ncbi.nlm.nih.gov/nuccore/AY009089" TargetMode="External"/><Relationship Id="rId1228" Type="http://schemas.openxmlformats.org/officeDocument/2006/relationships/hyperlink" Target="https://www.ncbi.nlm.nih.gov/nuccore/KJ859677" TargetMode="External"/><Relationship Id="rId1435" Type="http://schemas.openxmlformats.org/officeDocument/2006/relationships/hyperlink" Target="https://www.ncbi.nlm.nih.gov/nuccore/KY382358" TargetMode="External"/><Relationship Id="rId5" Type="http://schemas.openxmlformats.org/officeDocument/2006/relationships/hyperlink" Target="https://www.ncbi.nlm.nih.gov/nuccore/KU980965" TargetMode="External"/><Relationship Id="rId237" Type="http://schemas.openxmlformats.org/officeDocument/2006/relationships/hyperlink" Target="https://www.ncbi.nlm.nih.gov/nuccore/KU980965" TargetMode="External"/><Relationship Id="rId791" Type="http://schemas.openxmlformats.org/officeDocument/2006/relationships/hyperlink" Target="https://www.ncbi.nlm.nih.gov/nuccore/AY243312" TargetMode="External"/><Relationship Id="rId889" Type="http://schemas.openxmlformats.org/officeDocument/2006/relationships/hyperlink" Target="https://www.ncbi.nlm.nih.gov/nuccore/DQ356948" TargetMode="External"/><Relationship Id="rId1074" Type="http://schemas.openxmlformats.org/officeDocument/2006/relationships/hyperlink" Target="https://www.ncbi.nlm.nih.gov/nuccore/AY009089" TargetMode="External"/><Relationship Id="rId444" Type="http://schemas.openxmlformats.org/officeDocument/2006/relationships/hyperlink" Target="https://www.ncbi.nlm.nih.gov/nuccore/X69198" TargetMode="External"/><Relationship Id="rId651" Type="http://schemas.openxmlformats.org/officeDocument/2006/relationships/hyperlink" Target="https://www.ncbi.nlm.nih.gov/nuccore/AY318871" TargetMode="External"/><Relationship Id="rId749" Type="http://schemas.openxmlformats.org/officeDocument/2006/relationships/hyperlink" Target="https://www.ncbi.nlm.nih.gov/nuccore/AF250284" TargetMode="External"/><Relationship Id="rId1281" Type="http://schemas.openxmlformats.org/officeDocument/2006/relationships/hyperlink" Target="https://www.ncbi.nlm.nih.gov/nuccore/KU980965" TargetMode="External"/><Relationship Id="rId1379" Type="http://schemas.openxmlformats.org/officeDocument/2006/relationships/hyperlink" Target="https://www.ncbi.nlm.nih.gov/nuccore/KM502564" TargetMode="External"/><Relationship Id="rId290" Type="http://schemas.openxmlformats.org/officeDocument/2006/relationships/hyperlink" Target="https://www.ncbi.nlm.nih.gov/nuccore/AY077835" TargetMode="External"/><Relationship Id="rId304" Type="http://schemas.openxmlformats.org/officeDocument/2006/relationships/hyperlink" Target="https://www.ncbi.nlm.nih.gov/nuccore/AF198100" TargetMode="External"/><Relationship Id="rId388" Type="http://schemas.openxmlformats.org/officeDocument/2006/relationships/hyperlink" Target="https://www.ncbi.nlm.nih.gov/nuccore/KU749311" TargetMode="External"/><Relationship Id="rId511" Type="http://schemas.openxmlformats.org/officeDocument/2006/relationships/hyperlink" Target="https://www.ncbi.nlm.nih.gov/nuccore/AF410153" TargetMode="External"/><Relationship Id="rId609" Type="http://schemas.openxmlformats.org/officeDocument/2006/relationships/hyperlink" Target="https://www.ncbi.nlm.nih.gov/nuccore/AF438165" TargetMode="External"/><Relationship Id="rId956" Type="http://schemas.openxmlformats.org/officeDocument/2006/relationships/hyperlink" Target="https://www.ncbi.nlm.nih.gov/nuccore/AF438165" TargetMode="External"/><Relationship Id="rId1141" Type="http://schemas.openxmlformats.org/officeDocument/2006/relationships/hyperlink" Target="https://www.ncbi.nlm.nih.gov/nuccore/Y16780" TargetMode="External"/><Relationship Id="rId1239" Type="http://schemas.openxmlformats.org/officeDocument/2006/relationships/hyperlink" Target="https://www.ncbi.nlm.nih.gov/nuccore/AF170726" TargetMode="External"/><Relationship Id="rId85" Type="http://schemas.openxmlformats.org/officeDocument/2006/relationships/hyperlink" Target="https://www.ncbi.nlm.nih.gov/nuccore/AY009089" TargetMode="External"/><Relationship Id="rId150" Type="http://schemas.openxmlformats.org/officeDocument/2006/relationships/hyperlink" Target="https://www.ncbi.nlm.nih.gov/nuccore/KP143769" TargetMode="External"/><Relationship Id="rId595" Type="http://schemas.openxmlformats.org/officeDocument/2006/relationships/hyperlink" Target="https://www.ncbi.nlm.nih.gov/nuccore/AY077835" TargetMode="External"/><Relationship Id="rId816" Type="http://schemas.openxmlformats.org/officeDocument/2006/relationships/hyperlink" Target="https://www.ncbi.nlm.nih.gov/nuccore/HQ647181" TargetMode="External"/><Relationship Id="rId1001" Type="http://schemas.openxmlformats.org/officeDocument/2006/relationships/hyperlink" Target="https://www.ncbi.nlm.nih.gov/nuccore/AF325528" TargetMode="External"/><Relationship Id="rId1446" Type="http://schemas.openxmlformats.org/officeDocument/2006/relationships/hyperlink" Target="https://www.ncbi.nlm.nih.gov/nuccore/HF679131" TargetMode="External"/><Relationship Id="rId248" Type="http://schemas.openxmlformats.org/officeDocument/2006/relationships/hyperlink" Target="https://www.ncbi.nlm.nih.gov/nuccore/MF001304" TargetMode="External"/><Relationship Id="rId455" Type="http://schemas.openxmlformats.org/officeDocument/2006/relationships/hyperlink" Target="https://www.ncbi.nlm.nih.gov/nuccore/AY386371" TargetMode="External"/><Relationship Id="rId662" Type="http://schemas.openxmlformats.org/officeDocument/2006/relationships/hyperlink" Target="https://www.ncbi.nlm.nih.gov/nuccore/AF170722" TargetMode="External"/><Relationship Id="rId1085" Type="http://schemas.openxmlformats.org/officeDocument/2006/relationships/hyperlink" Target="https://www.ncbi.nlm.nih.gov/nuccore/Y16780" TargetMode="External"/><Relationship Id="rId1292" Type="http://schemas.openxmlformats.org/officeDocument/2006/relationships/hyperlink" Target="https://www.ncbi.nlm.nih.gov/nuccore/MF001304" TargetMode="External"/><Relationship Id="rId1306" Type="http://schemas.openxmlformats.org/officeDocument/2006/relationships/hyperlink" Target="https://www.ncbi.nlm.nih.gov/nuccore/AF012825" TargetMode="External"/><Relationship Id="rId12" Type="http://schemas.openxmlformats.org/officeDocument/2006/relationships/hyperlink" Target="https://www.ncbi.nlm.nih.gov/nuccore/KP728110" TargetMode="External"/><Relationship Id="rId108" Type="http://schemas.openxmlformats.org/officeDocument/2006/relationships/hyperlink" Target="https://www.ncbi.nlm.nih.gov/nuccore/AF063866" TargetMode="External"/><Relationship Id="rId315" Type="http://schemas.openxmlformats.org/officeDocument/2006/relationships/hyperlink" Target="https://www.ncbi.nlm.nih.gov/nuccore/MH607141" TargetMode="External"/><Relationship Id="rId522" Type="http://schemas.openxmlformats.org/officeDocument/2006/relationships/hyperlink" Target="https://www.ncbi.nlm.nih.gov/nuccore/AY077835" TargetMode="External"/><Relationship Id="rId967" Type="http://schemas.openxmlformats.org/officeDocument/2006/relationships/hyperlink" Target="https://www.ncbi.nlm.nih.gov/nuccore/Y16780" TargetMode="External"/><Relationship Id="rId1152" Type="http://schemas.openxmlformats.org/officeDocument/2006/relationships/hyperlink" Target="https://www.ncbi.nlm.nih.gov/nuccore/AF063866" TargetMode="External"/><Relationship Id="rId96" Type="http://schemas.openxmlformats.org/officeDocument/2006/relationships/hyperlink" Target="https://www.ncbi.nlm.nih.gov/nuccore/X69198" TargetMode="External"/><Relationship Id="rId161" Type="http://schemas.openxmlformats.org/officeDocument/2006/relationships/hyperlink" Target="https://www.ncbi.nlm.nih.gov/nuccore/KM502564" TargetMode="External"/><Relationship Id="rId399" Type="http://schemas.openxmlformats.org/officeDocument/2006/relationships/hyperlink" Target="https://www.ncbi.nlm.nih.gov/nuccore/AP013055" TargetMode="External"/><Relationship Id="rId827" Type="http://schemas.openxmlformats.org/officeDocument/2006/relationships/hyperlink" Target="https://www.ncbi.nlm.nih.gov/nuccore/AF325528" TargetMode="External"/><Relationship Id="rId1012" Type="http://schemas.openxmlformats.org/officeDocument/2006/relationships/hyperlink" Target="https://www.ncbi.nlm.nih.gov/nuccore/DQ792504" TargetMode="External"/><Relationship Id="rId1457" Type="http://schemas.openxmlformats.org/officeDocument/2006/relationships/hyperlink" Target="https://www.ncbi.nlm.nih.gov/nuccore/MF467280" TargetMode="External"/><Relationship Id="rId259" Type="http://schemas.openxmlformats.org/officeDocument/2006/relationships/hyperlink" Target="https://www.ncbi.nlm.nih.gov/nuccore/AY009089" TargetMode="External"/><Relationship Id="rId466" Type="http://schemas.openxmlformats.org/officeDocument/2006/relationships/hyperlink" Target="https://www.ncbi.nlm.nih.gov/nuccore/MH427217" TargetMode="External"/><Relationship Id="rId673" Type="http://schemas.openxmlformats.org/officeDocument/2006/relationships/hyperlink" Target="https://www.ncbi.nlm.nih.gov/nuccore/AY753185" TargetMode="External"/><Relationship Id="rId880" Type="http://schemas.openxmlformats.org/officeDocument/2006/relationships/hyperlink" Target="https://www.ncbi.nlm.nih.gov/nuccore/KJ859677" TargetMode="External"/><Relationship Id="rId1096" Type="http://schemas.openxmlformats.org/officeDocument/2006/relationships/hyperlink" Target="https://www.ncbi.nlm.nih.gov/nuccore/AF063866" TargetMode="External"/><Relationship Id="rId1317" Type="http://schemas.openxmlformats.org/officeDocument/2006/relationships/hyperlink" Target="https://www.ncbi.nlm.nih.gov/nuccore/KY382358" TargetMode="External"/><Relationship Id="rId23" Type="http://schemas.openxmlformats.org/officeDocument/2006/relationships/hyperlink" Target="https://www.ncbi.nlm.nih.gov/nuccore/U60315" TargetMode="External"/><Relationship Id="rId119" Type="http://schemas.openxmlformats.org/officeDocument/2006/relationships/hyperlink" Target="https://www.ncbi.nlm.nih.gov/nuccore/KY094066" TargetMode="External"/><Relationship Id="rId326" Type="http://schemas.openxmlformats.org/officeDocument/2006/relationships/hyperlink" Target="https://www.ncbi.nlm.nih.gov/nuccore/DQ437594" TargetMode="External"/><Relationship Id="rId533" Type="http://schemas.openxmlformats.org/officeDocument/2006/relationships/hyperlink" Target="https://www.ncbi.nlm.nih.gov/nuccore/KJ801920" TargetMode="External"/><Relationship Id="rId978" Type="http://schemas.openxmlformats.org/officeDocument/2006/relationships/hyperlink" Target="https://www.ncbi.nlm.nih.gov/nuccore/AF063866" TargetMode="External"/><Relationship Id="rId1163" Type="http://schemas.openxmlformats.org/officeDocument/2006/relationships/hyperlink" Target="https://www.ncbi.nlm.nih.gov/nuccore/KY094066" TargetMode="External"/><Relationship Id="rId1370" Type="http://schemas.openxmlformats.org/officeDocument/2006/relationships/hyperlink" Target="https://www.ncbi.nlm.nih.gov/nuccore/DQ437594" TargetMode="External"/><Relationship Id="rId740" Type="http://schemas.openxmlformats.org/officeDocument/2006/relationships/hyperlink" Target="https://www.ncbi.nlm.nih.gov/nuccore/AY386264" TargetMode="External"/><Relationship Id="rId838" Type="http://schemas.openxmlformats.org/officeDocument/2006/relationships/hyperlink" Target="https://www.ncbi.nlm.nih.gov/nuccore/DQ792504" TargetMode="External"/><Relationship Id="rId1023" Type="http://schemas.openxmlformats.org/officeDocument/2006/relationships/hyperlink" Target="https://www.ncbi.nlm.nih.gov/nuccore/AY243312" TargetMode="External"/><Relationship Id="rId1468" Type="http://schemas.openxmlformats.org/officeDocument/2006/relationships/hyperlink" Target="https://www.ncbi.nlm.nih.gov/nuccore/MF467280" TargetMode="External"/><Relationship Id="rId172" Type="http://schemas.openxmlformats.org/officeDocument/2006/relationships/hyperlink" Target="https://www.ncbi.nlm.nih.gov/nuccore/HF679134" TargetMode="External"/><Relationship Id="rId477" Type="http://schemas.openxmlformats.org/officeDocument/2006/relationships/hyperlink" Target="https://www.ncbi.nlm.nih.gov/nuccore/AY318871" TargetMode="External"/><Relationship Id="rId600" Type="http://schemas.openxmlformats.org/officeDocument/2006/relationships/hyperlink" Target="https://www.ncbi.nlm.nih.gov/nuccore/AY689436" TargetMode="External"/><Relationship Id="rId684" Type="http://schemas.openxmlformats.org/officeDocument/2006/relationships/hyperlink" Target="https://www.ncbi.nlm.nih.gov/nuccore/AY386264" TargetMode="External"/><Relationship Id="rId1230" Type="http://schemas.openxmlformats.org/officeDocument/2006/relationships/hyperlink" Target="https://www.ncbi.nlm.nih.gov/nuccore/KP728110" TargetMode="External"/><Relationship Id="rId1328" Type="http://schemas.openxmlformats.org/officeDocument/2006/relationships/hyperlink" Target="https://www.ncbi.nlm.nih.gov/nuccore/HF679131" TargetMode="External"/><Relationship Id="rId337" Type="http://schemas.openxmlformats.org/officeDocument/2006/relationships/hyperlink" Target="https://www.ncbi.nlm.nih.gov/nuccore/AF410153" TargetMode="External"/><Relationship Id="rId891" Type="http://schemas.openxmlformats.org/officeDocument/2006/relationships/hyperlink" Target="https://www.ncbi.nlm.nih.gov/nuccore/AF170726" TargetMode="External"/><Relationship Id="rId905" Type="http://schemas.openxmlformats.org/officeDocument/2006/relationships/hyperlink" Target="https://www.ncbi.nlm.nih.gov/nuccore/KU749310" TargetMode="External"/><Relationship Id="rId989" Type="http://schemas.openxmlformats.org/officeDocument/2006/relationships/hyperlink" Target="https://www.ncbi.nlm.nih.gov/nuccore/KY094066" TargetMode="External"/><Relationship Id="rId34" Type="http://schemas.openxmlformats.org/officeDocument/2006/relationships/hyperlink" Target="https://www.ncbi.nlm.nih.gov/nuccore/KP143769" TargetMode="External"/><Relationship Id="rId544" Type="http://schemas.openxmlformats.org/officeDocument/2006/relationships/hyperlink" Target="https://www.ncbi.nlm.nih.gov/nuccore/AF170722" TargetMode="External"/><Relationship Id="rId751" Type="http://schemas.openxmlformats.org/officeDocument/2006/relationships/hyperlink" Target="https://www.ncbi.nlm.nih.gov/nuccore/HF679133" TargetMode="External"/><Relationship Id="rId849" Type="http://schemas.openxmlformats.org/officeDocument/2006/relationships/hyperlink" Target="https://www.ncbi.nlm.nih.gov/nuccore/AY243312" TargetMode="External"/><Relationship Id="rId1174" Type="http://schemas.openxmlformats.org/officeDocument/2006/relationships/hyperlink" Target="https://www.ncbi.nlm.nih.gov/nuccore/AF198100" TargetMode="External"/><Relationship Id="rId1381" Type="http://schemas.openxmlformats.org/officeDocument/2006/relationships/hyperlink" Target="https://www.ncbi.nlm.nih.gov/nuccore/AF410153" TargetMode="External"/><Relationship Id="rId183" Type="http://schemas.openxmlformats.org/officeDocument/2006/relationships/hyperlink" Target="https://www.ncbi.nlm.nih.gov/nuccore/MF678796" TargetMode="External"/><Relationship Id="rId390" Type="http://schemas.openxmlformats.org/officeDocument/2006/relationships/hyperlink" Target="https://www.ncbi.nlm.nih.gov/nuccore/AY386265" TargetMode="External"/><Relationship Id="rId404" Type="http://schemas.openxmlformats.org/officeDocument/2006/relationships/hyperlink" Target="https://www.ncbi.nlm.nih.gov/nuccore/HF679134" TargetMode="External"/><Relationship Id="rId611" Type="http://schemas.openxmlformats.org/officeDocument/2006/relationships/hyperlink" Target="https://www.ncbi.nlm.nih.gov/nuccore/AF482758" TargetMode="External"/><Relationship Id="rId1034" Type="http://schemas.openxmlformats.org/officeDocument/2006/relationships/hyperlink" Target="https://www.ncbi.nlm.nih.gov/nuccore/AJ293568" TargetMode="External"/><Relationship Id="rId1241" Type="http://schemas.openxmlformats.org/officeDocument/2006/relationships/hyperlink" Target="https://www.ncbi.nlm.nih.gov/nuccore/U60315" TargetMode="External"/><Relationship Id="rId1339" Type="http://schemas.openxmlformats.org/officeDocument/2006/relationships/hyperlink" Target="https://www.ncbi.nlm.nih.gov/nuccore/KU980965" TargetMode="External"/><Relationship Id="rId250" Type="http://schemas.openxmlformats.org/officeDocument/2006/relationships/hyperlink" Target="https://www.ncbi.nlm.nih.gov/nuccore/AY689436" TargetMode="External"/><Relationship Id="rId488" Type="http://schemas.openxmlformats.org/officeDocument/2006/relationships/hyperlink" Target="https://www.ncbi.nlm.nih.gov/nuccore/MH816996" TargetMode="External"/><Relationship Id="rId695" Type="http://schemas.openxmlformats.org/officeDocument/2006/relationships/hyperlink" Target="https://www.ncbi.nlm.nih.gov/nuccore/HF679133" TargetMode="External"/><Relationship Id="rId709" Type="http://schemas.openxmlformats.org/officeDocument/2006/relationships/hyperlink" Target="https://www.ncbi.nlm.nih.gov/nuccore/AY318871" TargetMode="External"/><Relationship Id="rId916" Type="http://schemas.openxmlformats.org/officeDocument/2006/relationships/hyperlink" Target="https://www.ncbi.nlm.nih.gov/nuccore/GQ329670" TargetMode="External"/><Relationship Id="rId1101" Type="http://schemas.openxmlformats.org/officeDocument/2006/relationships/hyperlink" Target="https://www.ncbi.nlm.nih.gov/nuccore/HF679133" TargetMode="External"/><Relationship Id="rId45" Type="http://schemas.openxmlformats.org/officeDocument/2006/relationships/hyperlink" Target="https://www.ncbi.nlm.nih.gov/nuccore/KM502564" TargetMode="External"/><Relationship Id="rId110" Type="http://schemas.openxmlformats.org/officeDocument/2006/relationships/hyperlink" Target="https://www.ncbi.nlm.nih.gov/nuccore/HF679131" TargetMode="External"/><Relationship Id="rId348" Type="http://schemas.openxmlformats.org/officeDocument/2006/relationships/hyperlink" Target="https://www.ncbi.nlm.nih.gov/nuccore/AY077835" TargetMode="External"/><Relationship Id="rId555" Type="http://schemas.openxmlformats.org/officeDocument/2006/relationships/hyperlink" Target="https://www.ncbi.nlm.nih.gov/nuccore/AY753185" TargetMode="External"/><Relationship Id="rId762" Type="http://schemas.openxmlformats.org/officeDocument/2006/relationships/hyperlink" Target="https://www.ncbi.nlm.nih.gov/nuccore/KY747497" TargetMode="External"/><Relationship Id="rId1185" Type="http://schemas.openxmlformats.org/officeDocument/2006/relationships/hyperlink" Target="https://www.ncbi.nlm.nih.gov/nuccore/MH607141" TargetMode="External"/><Relationship Id="rId1392" Type="http://schemas.openxmlformats.org/officeDocument/2006/relationships/hyperlink" Target="https://www.ncbi.nlm.nih.gov/nuccore/AY077835" TargetMode="External"/><Relationship Id="rId1406" Type="http://schemas.openxmlformats.org/officeDocument/2006/relationships/hyperlink" Target="https://www.ncbi.nlm.nih.gov/nuccore/AF198100" TargetMode="External"/><Relationship Id="rId194" Type="http://schemas.openxmlformats.org/officeDocument/2006/relationships/hyperlink" Target="https://www.ncbi.nlm.nih.gov/nuccore/AY689436" TargetMode="External"/><Relationship Id="rId208" Type="http://schemas.openxmlformats.org/officeDocument/2006/relationships/hyperlink" Target="https://www.ncbi.nlm.nih.gov/nuccore/AF380138" TargetMode="External"/><Relationship Id="rId415" Type="http://schemas.openxmlformats.org/officeDocument/2006/relationships/hyperlink" Target="https://www.ncbi.nlm.nih.gov/nuccore/MF678796" TargetMode="External"/><Relationship Id="rId622" Type="http://schemas.openxmlformats.org/officeDocument/2006/relationships/hyperlink" Target="https://www.ncbi.nlm.nih.gov/nuccore/KU749311" TargetMode="External"/><Relationship Id="rId1045" Type="http://schemas.openxmlformats.org/officeDocument/2006/relationships/hyperlink" Target="https://www.ncbi.nlm.nih.gov/nuccore/MF467281" TargetMode="External"/><Relationship Id="rId1252" Type="http://schemas.openxmlformats.org/officeDocument/2006/relationships/hyperlink" Target="https://www.ncbi.nlm.nih.gov/nuccore/KP143769" TargetMode="External"/><Relationship Id="rId261" Type="http://schemas.openxmlformats.org/officeDocument/2006/relationships/hyperlink" Target="https://www.ncbi.nlm.nih.gov/nuccore/AF482758" TargetMode="External"/><Relationship Id="rId499" Type="http://schemas.openxmlformats.org/officeDocument/2006/relationships/hyperlink" Target="https://www.ncbi.nlm.nih.gov/nuccore/KU749310" TargetMode="External"/><Relationship Id="rId927" Type="http://schemas.openxmlformats.org/officeDocument/2006/relationships/hyperlink" Target="https://www.ncbi.nlm.nih.gov/nuccore/AY077832" TargetMode="External"/><Relationship Id="rId1112" Type="http://schemas.openxmlformats.org/officeDocument/2006/relationships/hyperlink" Target="https://www.ncbi.nlm.nih.gov/nuccore/KJ859677" TargetMode="External"/><Relationship Id="rId56" Type="http://schemas.openxmlformats.org/officeDocument/2006/relationships/hyperlink" Target="https://www.ncbi.nlm.nih.gov/nuccore/HF679134" TargetMode="External"/><Relationship Id="rId359" Type="http://schemas.openxmlformats.org/officeDocument/2006/relationships/hyperlink" Target="https://www.ncbi.nlm.nih.gov/nuccore/KJ801920" TargetMode="External"/><Relationship Id="rId566" Type="http://schemas.openxmlformats.org/officeDocument/2006/relationships/hyperlink" Target="https://www.ncbi.nlm.nih.gov/nuccore/AY386264" TargetMode="External"/><Relationship Id="rId773" Type="http://schemas.openxmlformats.org/officeDocument/2006/relationships/hyperlink" Target="https://www.ncbi.nlm.nih.gov/nuccore/DQ356948" TargetMode="External"/><Relationship Id="rId1196" Type="http://schemas.openxmlformats.org/officeDocument/2006/relationships/hyperlink" Target="https://www.ncbi.nlm.nih.gov/nuccore/DQ437594" TargetMode="External"/><Relationship Id="rId1417" Type="http://schemas.openxmlformats.org/officeDocument/2006/relationships/hyperlink" Target="https://www.ncbi.nlm.nih.gov/nuccore/U60315" TargetMode="External"/><Relationship Id="rId121" Type="http://schemas.openxmlformats.org/officeDocument/2006/relationships/hyperlink" Target="https://www.ncbi.nlm.nih.gov/nuccore/KU980965" TargetMode="External"/><Relationship Id="rId219" Type="http://schemas.openxmlformats.org/officeDocument/2006/relationships/hyperlink" Target="https://www.ncbi.nlm.nih.gov/nuccore/AY386264" TargetMode="External"/><Relationship Id="rId426" Type="http://schemas.openxmlformats.org/officeDocument/2006/relationships/hyperlink" Target="https://www.ncbi.nlm.nih.gov/nuccore/AF170726" TargetMode="External"/><Relationship Id="rId633" Type="http://schemas.openxmlformats.org/officeDocument/2006/relationships/hyperlink" Target="https://www.ncbi.nlm.nih.gov/nuccore/AP013055" TargetMode="External"/><Relationship Id="rId980" Type="http://schemas.openxmlformats.org/officeDocument/2006/relationships/hyperlink" Target="https://www.ncbi.nlm.nih.gov/nuccore/HF679131" TargetMode="External"/><Relationship Id="rId1056" Type="http://schemas.openxmlformats.org/officeDocument/2006/relationships/hyperlink" Target="https://www.ncbi.nlm.nih.gov/nuccore/KP728110" TargetMode="External"/><Relationship Id="rId1263" Type="http://schemas.openxmlformats.org/officeDocument/2006/relationships/hyperlink" Target="https://www.ncbi.nlm.nih.gov/nuccore/KM502564" TargetMode="External"/><Relationship Id="rId840" Type="http://schemas.openxmlformats.org/officeDocument/2006/relationships/hyperlink" Target="https://www.ncbi.nlm.nih.gov/nuccore/AF438165" TargetMode="External"/><Relationship Id="rId938" Type="http://schemas.openxmlformats.org/officeDocument/2006/relationships/hyperlink" Target="https://www.ncbi.nlm.nih.gov/nuccore/KJ859677" TargetMode="External"/><Relationship Id="rId1470" Type="http://schemas.openxmlformats.org/officeDocument/2006/relationships/hyperlink" Target="https://www.ncbi.nlm.nih.gov/nuccore/MF467280" TargetMode="External"/><Relationship Id="rId67" Type="http://schemas.openxmlformats.org/officeDocument/2006/relationships/hyperlink" Target="https://www.ncbi.nlm.nih.gov/nuccore/MF678796" TargetMode="External"/><Relationship Id="rId272" Type="http://schemas.openxmlformats.org/officeDocument/2006/relationships/hyperlink" Target="https://www.ncbi.nlm.nih.gov/nuccore/KU749311" TargetMode="External"/><Relationship Id="rId577" Type="http://schemas.openxmlformats.org/officeDocument/2006/relationships/hyperlink" Target="https://www.ncbi.nlm.nih.gov/nuccore/HF679133" TargetMode="External"/><Relationship Id="rId700" Type="http://schemas.openxmlformats.org/officeDocument/2006/relationships/hyperlink" Target="https://www.ncbi.nlm.nih.gov/nuccore/HQ647181" TargetMode="External"/><Relationship Id="rId1123" Type="http://schemas.openxmlformats.org/officeDocument/2006/relationships/hyperlink" Target="https://www.ncbi.nlm.nih.gov/nuccore/AF170726" TargetMode="External"/><Relationship Id="rId1330" Type="http://schemas.openxmlformats.org/officeDocument/2006/relationships/hyperlink" Target="https://www.ncbi.nlm.nih.gov/nuccore/HF679132" TargetMode="External"/><Relationship Id="rId1428" Type="http://schemas.openxmlformats.org/officeDocument/2006/relationships/hyperlink" Target="https://www.ncbi.nlm.nih.gov/nuccore/KP143769" TargetMode="External"/><Relationship Id="rId132" Type="http://schemas.openxmlformats.org/officeDocument/2006/relationships/hyperlink" Target="https://www.ncbi.nlm.nih.gov/nuccore/MF001304" TargetMode="External"/><Relationship Id="rId784" Type="http://schemas.openxmlformats.org/officeDocument/2006/relationships/hyperlink" Target="https://www.ncbi.nlm.nih.gov/nuccore/AF012825" TargetMode="External"/><Relationship Id="rId991" Type="http://schemas.openxmlformats.org/officeDocument/2006/relationships/hyperlink" Target="https://www.ncbi.nlm.nih.gov/nuccore/KU980965" TargetMode="External"/><Relationship Id="rId1067" Type="http://schemas.openxmlformats.org/officeDocument/2006/relationships/hyperlink" Target="https://www.ncbi.nlm.nih.gov/nuccore/AF170726" TargetMode="External"/><Relationship Id="rId437" Type="http://schemas.openxmlformats.org/officeDocument/2006/relationships/hyperlink" Target="https://www.ncbi.nlm.nih.gov/nuccore/AFH54685" TargetMode="External"/><Relationship Id="rId644" Type="http://schemas.openxmlformats.org/officeDocument/2006/relationships/hyperlink" Target="https://www.ncbi.nlm.nih.gov/nuccore/KT159937" TargetMode="External"/><Relationship Id="rId851" Type="http://schemas.openxmlformats.org/officeDocument/2006/relationships/hyperlink" Target="https://www.ncbi.nlm.nih.gov/nuccore/Y16780" TargetMode="External"/><Relationship Id="rId1274" Type="http://schemas.openxmlformats.org/officeDocument/2006/relationships/hyperlink" Target="https://www.ncbi.nlm.nih.gov/nuccore/HF679134" TargetMode="External"/><Relationship Id="rId283" Type="http://schemas.openxmlformats.org/officeDocument/2006/relationships/hyperlink" Target="https://www.ncbi.nlm.nih.gov/nuccore/AP013055" TargetMode="External"/><Relationship Id="rId490" Type="http://schemas.openxmlformats.org/officeDocument/2006/relationships/hyperlink" Target="https://www.ncbi.nlm.nih.gov/nuccore/DQ792504" TargetMode="External"/><Relationship Id="rId504" Type="http://schemas.openxmlformats.org/officeDocument/2006/relationships/hyperlink" Target="https://www.ncbi.nlm.nih.gov/nuccore/KU749311" TargetMode="External"/><Relationship Id="rId711" Type="http://schemas.openxmlformats.org/officeDocument/2006/relationships/hyperlink" Target="https://www.ncbi.nlm.nih.gov/nuccore/AF325528" TargetMode="External"/><Relationship Id="rId949" Type="http://schemas.openxmlformats.org/officeDocument/2006/relationships/hyperlink" Target="https://www.ncbi.nlm.nih.gov/nuccore/AF170726" TargetMode="External"/><Relationship Id="rId1134" Type="http://schemas.openxmlformats.org/officeDocument/2006/relationships/hyperlink" Target="https://www.ncbi.nlm.nih.gov/nuccore/AF380138" TargetMode="External"/><Relationship Id="rId1341" Type="http://schemas.openxmlformats.org/officeDocument/2006/relationships/hyperlink" Target="https://www.ncbi.nlm.nih.gov/nuccore/HE601899" TargetMode="External"/><Relationship Id="rId78" Type="http://schemas.openxmlformats.org/officeDocument/2006/relationships/hyperlink" Target="https://www.ncbi.nlm.nih.gov/nuccore/AF170726" TargetMode="External"/><Relationship Id="rId143" Type="http://schemas.openxmlformats.org/officeDocument/2006/relationships/hyperlink" Target="https://www.ncbi.nlm.nih.gov/nuccore/AY009089" TargetMode="External"/><Relationship Id="rId350" Type="http://schemas.openxmlformats.org/officeDocument/2006/relationships/hyperlink" Target="https://www.ncbi.nlm.nih.gov/nuccore/MH427217" TargetMode="External"/><Relationship Id="rId588" Type="http://schemas.openxmlformats.org/officeDocument/2006/relationships/hyperlink" Target="https://www.ncbi.nlm.nih.gov/nuccore/KY747497" TargetMode="External"/><Relationship Id="rId795" Type="http://schemas.openxmlformats.org/officeDocument/2006/relationships/hyperlink" Target="https://www.ncbi.nlm.nih.gov/nuccore/KY382358" TargetMode="External"/><Relationship Id="rId809" Type="http://schemas.openxmlformats.org/officeDocument/2006/relationships/hyperlink" Target="https://www.ncbi.nlm.nih.gov/nuccore/HF679133" TargetMode="External"/><Relationship Id="rId1201" Type="http://schemas.openxmlformats.org/officeDocument/2006/relationships/hyperlink" Target="https://www.ncbi.nlm.nih.gov/nuccore/KY382358" TargetMode="External"/><Relationship Id="rId1439" Type="http://schemas.openxmlformats.org/officeDocument/2006/relationships/hyperlink" Target="https://www.ncbi.nlm.nih.gov/nuccore/KM502564" TargetMode="External"/><Relationship Id="rId9" Type="http://schemas.openxmlformats.org/officeDocument/2006/relationships/hyperlink" Target="https://www.ncbi.nlm.nih.gov/nuccore/MF678796" TargetMode="External"/><Relationship Id="rId210" Type="http://schemas.openxmlformats.org/officeDocument/2006/relationships/hyperlink" Target="https://www.ncbi.nlm.nih.gov/nuccore/KP143769" TargetMode="External"/><Relationship Id="rId448" Type="http://schemas.openxmlformats.org/officeDocument/2006/relationships/hyperlink" Target="https://www.ncbi.nlm.nih.gov/nuccore/AY386265" TargetMode="External"/><Relationship Id="rId655" Type="http://schemas.openxmlformats.org/officeDocument/2006/relationships/hyperlink" Target="https://www.ncbi.nlm.nih.gov/nuccore/AY077832" TargetMode="External"/><Relationship Id="rId862" Type="http://schemas.openxmlformats.org/officeDocument/2006/relationships/hyperlink" Target="https://www.ncbi.nlm.nih.gov/nuccore/AF063866" TargetMode="External"/><Relationship Id="rId1078" Type="http://schemas.openxmlformats.org/officeDocument/2006/relationships/hyperlink" Target="https://www.ncbi.nlm.nih.gov/nuccore/AF380138" TargetMode="External"/><Relationship Id="rId1285" Type="http://schemas.openxmlformats.org/officeDocument/2006/relationships/hyperlink" Target="https://www.ncbi.nlm.nih.gov/nuccore/MF678796" TargetMode="External"/><Relationship Id="rId294" Type="http://schemas.openxmlformats.org/officeDocument/2006/relationships/hyperlink" Target="https://www.ncbi.nlm.nih.gov/nuccore/HQ647181" TargetMode="External"/><Relationship Id="rId308" Type="http://schemas.openxmlformats.org/officeDocument/2006/relationships/hyperlink" Target="https://www.ncbi.nlm.nih.gov/nuccore/AY689436" TargetMode="External"/><Relationship Id="rId515" Type="http://schemas.openxmlformats.org/officeDocument/2006/relationships/hyperlink" Target="https://www.ncbi.nlm.nih.gov/nuccore/AP013055" TargetMode="External"/><Relationship Id="rId722" Type="http://schemas.openxmlformats.org/officeDocument/2006/relationships/hyperlink" Target="https://www.ncbi.nlm.nih.gov/nuccore/DQ792504" TargetMode="External"/><Relationship Id="rId1145" Type="http://schemas.openxmlformats.org/officeDocument/2006/relationships/hyperlink" Target="https://www.ncbi.nlm.nih.gov/nuccore/AY386264" TargetMode="External"/><Relationship Id="rId1352" Type="http://schemas.openxmlformats.org/officeDocument/2006/relationships/hyperlink" Target="https://www.ncbi.nlm.nih.gov/nuccore/AY689436" TargetMode="External"/><Relationship Id="rId89" Type="http://schemas.openxmlformats.org/officeDocument/2006/relationships/hyperlink" Target="https://www.ncbi.nlm.nih.gov/nuccore/AFH54685" TargetMode="External"/><Relationship Id="rId154" Type="http://schemas.openxmlformats.org/officeDocument/2006/relationships/hyperlink" Target="https://www.ncbi.nlm.nih.gov/nuccore/X69198" TargetMode="External"/><Relationship Id="rId361" Type="http://schemas.openxmlformats.org/officeDocument/2006/relationships/hyperlink" Target="https://www.ncbi.nlm.nih.gov/nuccore/AY318871" TargetMode="External"/><Relationship Id="rId599" Type="http://schemas.openxmlformats.org/officeDocument/2006/relationships/hyperlink" Target="https://www.ncbi.nlm.nih.gov/nuccore/HQ849551" TargetMode="External"/><Relationship Id="rId1005" Type="http://schemas.openxmlformats.org/officeDocument/2006/relationships/hyperlink" Target="https://www.ncbi.nlm.nih.gov/nuccore/DQ356948" TargetMode="External"/><Relationship Id="rId1212" Type="http://schemas.openxmlformats.org/officeDocument/2006/relationships/hyperlink" Target="https://www.ncbi.nlm.nih.gov/nuccore/HF679131" TargetMode="External"/><Relationship Id="rId459" Type="http://schemas.openxmlformats.org/officeDocument/2006/relationships/hyperlink" Target="https://www.ncbi.nlm.nih.gov/nuccore/AF250284" TargetMode="External"/><Relationship Id="rId666" Type="http://schemas.openxmlformats.org/officeDocument/2006/relationships/hyperlink" Target="https://www.ncbi.nlm.nih.gov/nuccore/DQ792504" TargetMode="External"/><Relationship Id="rId873" Type="http://schemas.openxmlformats.org/officeDocument/2006/relationships/hyperlink" Target="https://www.ncbi.nlm.nih.gov/nuccore/KY094066" TargetMode="External"/><Relationship Id="rId1089" Type="http://schemas.openxmlformats.org/officeDocument/2006/relationships/hyperlink" Target="https://www.ncbi.nlm.nih.gov/nuccore/AY386264" TargetMode="External"/><Relationship Id="rId1296" Type="http://schemas.openxmlformats.org/officeDocument/2006/relationships/hyperlink" Target="https://www.ncbi.nlm.nih.gov/nuccore/AF170726" TargetMode="External"/><Relationship Id="rId16" Type="http://schemas.openxmlformats.org/officeDocument/2006/relationships/hyperlink" Target="https://www.ncbi.nlm.nih.gov/nuccore/MF001304" TargetMode="External"/><Relationship Id="rId221" Type="http://schemas.openxmlformats.org/officeDocument/2006/relationships/hyperlink" Target="https://www.ncbi.nlm.nih.gov/nuccore/KM502564" TargetMode="External"/><Relationship Id="rId319" Type="http://schemas.openxmlformats.org/officeDocument/2006/relationships/hyperlink" Target="https://www.ncbi.nlm.nih.gov/nuccore/AF482758" TargetMode="External"/><Relationship Id="rId526" Type="http://schemas.openxmlformats.org/officeDocument/2006/relationships/hyperlink" Target="https://www.ncbi.nlm.nih.gov/nuccore/HQ647181" TargetMode="External"/><Relationship Id="rId1156" Type="http://schemas.openxmlformats.org/officeDocument/2006/relationships/hyperlink" Target="https://www.ncbi.nlm.nih.gov/nuccore/HF679132" TargetMode="External"/><Relationship Id="rId1363" Type="http://schemas.openxmlformats.org/officeDocument/2006/relationships/hyperlink" Target="https://www.ncbi.nlm.nih.gov/nuccore/AF482758" TargetMode="External"/><Relationship Id="rId733" Type="http://schemas.openxmlformats.org/officeDocument/2006/relationships/hyperlink" Target="https://www.ncbi.nlm.nih.gov/nuccore/AY243312" TargetMode="External"/><Relationship Id="rId940" Type="http://schemas.openxmlformats.org/officeDocument/2006/relationships/hyperlink" Target="https://www.ncbi.nlm.nih.gov/nuccore/KP728110" TargetMode="External"/><Relationship Id="rId1016" Type="http://schemas.openxmlformats.org/officeDocument/2006/relationships/hyperlink" Target="https://www.ncbi.nlm.nih.gov/nuccore/AF012825" TargetMode="External"/><Relationship Id="rId165" Type="http://schemas.openxmlformats.org/officeDocument/2006/relationships/hyperlink" Target="https://www.ncbi.nlm.nih.gov/nuccore/AY386371" TargetMode="External"/><Relationship Id="rId372" Type="http://schemas.openxmlformats.org/officeDocument/2006/relationships/hyperlink" Target="https://www.ncbi.nlm.nih.gov/nuccore/MH816996" TargetMode="External"/><Relationship Id="rId677" Type="http://schemas.openxmlformats.org/officeDocument/2006/relationships/hyperlink" Target="https://www.ncbi.nlm.nih.gov/nuccore/AY243312" TargetMode="External"/><Relationship Id="rId800" Type="http://schemas.openxmlformats.org/officeDocument/2006/relationships/hyperlink" Target="https://www.ncbi.nlm.nih.gov/nuccore/GQ329670" TargetMode="External"/><Relationship Id="rId1223" Type="http://schemas.openxmlformats.org/officeDocument/2006/relationships/hyperlink" Target="https://www.ncbi.nlm.nih.gov/nuccore/KU980965" TargetMode="External"/><Relationship Id="rId1430" Type="http://schemas.openxmlformats.org/officeDocument/2006/relationships/hyperlink" Target="https://www.ncbi.nlm.nih.gov/nuccore/DQ437594" TargetMode="External"/><Relationship Id="rId232" Type="http://schemas.openxmlformats.org/officeDocument/2006/relationships/hyperlink" Target="https://www.ncbi.nlm.nih.gov/nuccore/HF679134" TargetMode="External"/><Relationship Id="rId884" Type="http://schemas.openxmlformats.org/officeDocument/2006/relationships/hyperlink" Target="https://www.ncbi.nlm.nih.gov/nuccore/AF198100" TargetMode="External"/><Relationship Id="rId27" Type="http://schemas.openxmlformats.org/officeDocument/2006/relationships/hyperlink" Target="https://www.ncbi.nlm.nih.gov/nuccore/AY009089" TargetMode="External"/><Relationship Id="rId537" Type="http://schemas.openxmlformats.org/officeDocument/2006/relationships/hyperlink" Target="https://www.ncbi.nlm.nih.gov/nuccore/AF325528" TargetMode="External"/><Relationship Id="rId744" Type="http://schemas.openxmlformats.org/officeDocument/2006/relationships/hyperlink" Target="https://www.ncbi.nlm.nih.gov/nuccore/AJ293568" TargetMode="External"/><Relationship Id="rId951" Type="http://schemas.openxmlformats.org/officeDocument/2006/relationships/hyperlink" Target="https://www.ncbi.nlm.nih.gov/nuccore/U60315" TargetMode="External"/><Relationship Id="rId1167" Type="http://schemas.openxmlformats.org/officeDocument/2006/relationships/hyperlink" Target="https://www.ncbi.nlm.nih.gov/nuccore/HE601899" TargetMode="External"/><Relationship Id="rId1374" Type="http://schemas.openxmlformats.org/officeDocument/2006/relationships/hyperlink" Target="https://www.ncbi.nlm.nih.gov/nuccore/KU749311" TargetMode="External"/><Relationship Id="rId80" Type="http://schemas.openxmlformats.org/officeDocument/2006/relationships/hyperlink" Target="https://www.ncbi.nlm.nih.gov/nuccore/AF170722" TargetMode="External"/><Relationship Id="rId176" Type="http://schemas.openxmlformats.org/officeDocument/2006/relationships/hyperlink" Target="https://www.ncbi.nlm.nih.gov/nuccore/MH427217" TargetMode="External"/><Relationship Id="rId383" Type="http://schemas.openxmlformats.org/officeDocument/2006/relationships/hyperlink" Target="https://www.ncbi.nlm.nih.gov/nuccore/KU749310" TargetMode="External"/><Relationship Id="rId590" Type="http://schemas.openxmlformats.org/officeDocument/2006/relationships/hyperlink" Target="https://www.ncbi.nlm.nih.gov/nuccore/KJ859677" TargetMode="External"/><Relationship Id="rId604" Type="http://schemas.openxmlformats.org/officeDocument/2006/relationships/hyperlink" Target="https://www.ncbi.nlm.nih.gov/nuccore/AF170722" TargetMode="External"/><Relationship Id="rId811" Type="http://schemas.openxmlformats.org/officeDocument/2006/relationships/hyperlink" Target="https://www.ncbi.nlm.nih.gov/nuccore/AY077832" TargetMode="External"/><Relationship Id="rId1027" Type="http://schemas.openxmlformats.org/officeDocument/2006/relationships/hyperlink" Target="https://www.ncbi.nlm.nih.gov/nuccore/KY382358" TargetMode="External"/><Relationship Id="rId1234" Type="http://schemas.openxmlformats.org/officeDocument/2006/relationships/hyperlink" Target="https://www.ncbi.nlm.nih.gov/nuccore/MF001304" TargetMode="External"/><Relationship Id="rId1441" Type="http://schemas.openxmlformats.org/officeDocument/2006/relationships/hyperlink" Target="https://www.ncbi.nlm.nih.gov/nuccore/AF410153" TargetMode="External"/><Relationship Id="rId243" Type="http://schemas.openxmlformats.org/officeDocument/2006/relationships/hyperlink" Target="https://www.ncbi.nlm.nih.gov/nuccore/KJ801920" TargetMode="External"/><Relationship Id="rId450" Type="http://schemas.openxmlformats.org/officeDocument/2006/relationships/hyperlink" Target="https://www.ncbi.nlm.nih.gov/nuccore/AY386264" TargetMode="External"/><Relationship Id="rId688" Type="http://schemas.openxmlformats.org/officeDocument/2006/relationships/hyperlink" Target="https://www.ncbi.nlm.nih.gov/nuccore/AJ293568" TargetMode="External"/><Relationship Id="rId895" Type="http://schemas.openxmlformats.org/officeDocument/2006/relationships/hyperlink" Target="https://www.ncbi.nlm.nih.gov/nuccore/MH607141" TargetMode="External"/><Relationship Id="rId909" Type="http://schemas.openxmlformats.org/officeDocument/2006/relationships/hyperlink" Target="https://www.ncbi.nlm.nih.gov/nuccore/Y16780" TargetMode="External"/><Relationship Id="rId1080" Type="http://schemas.openxmlformats.org/officeDocument/2006/relationships/hyperlink" Target="https://www.ncbi.nlm.nih.gov/nuccore/KP143769" TargetMode="External"/><Relationship Id="rId1301" Type="http://schemas.openxmlformats.org/officeDocument/2006/relationships/hyperlink" Target="https://www.ncbi.nlm.nih.gov/nuccore/MH607141" TargetMode="External"/><Relationship Id="rId38" Type="http://schemas.openxmlformats.org/officeDocument/2006/relationships/hyperlink" Target="https://www.ncbi.nlm.nih.gov/nuccore/X69198" TargetMode="External"/><Relationship Id="rId103" Type="http://schemas.openxmlformats.org/officeDocument/2006/relationships/hyperlink" Target="https://www.ncbi.nlm.nih.gov/nuccore/KM502564" TargetMode="External"/><Relationship Id="rId310" Type="http://schemas.openxmlformats.org/officeDocument/2006/relationships/hyperlink" Target="https://www.ncbi.nlm.nih.gov/nuccore/AF170726" TargetMode="External"/><Relationship Id="rId548" Type="http://schemas.openxmlformats.org/officeDocument/2006/relationships/hyperlink" Target="https://www.ncbi.nlm.nih.gov/nuccore/DQ792504" TargetMode="External"/><Relationship Id="rId755" Type="http://schemas.openxmlformats.org/officeDocument/2006/relationships/hyperlink" Target="https://www.ncbi.nlm.nih.gov/nuccore/MF467281" TargetMode="External"/><Relationship Id="rId962" Type="http://schemas.openxmlformats.org/officeDocument/2006/relationships/hyperlink" Target="https://www.ncbi.nlm.nih.gov/nuccore/KP143769" TargetMode="External"/><Relationship Id="rId1178" Type="http://schemas.openxmlformats.org/officeDocument/2006/relationships/hyperlink" Target="https://www.ncbi.nlm.nih.gov/nuccore/AY689436" TargetMode="External"/><Relationship Id="rId1385" Type="http://schemas.openxmlformats.org/officeDocument/2006/relationships/hyperlink" Target="https://www.ncbi.nlm.nih.gov/nuccore/AP013055" TargetMode="External"/><Relationship Id="rId91" Type="http://schemas.openxmlformats.org/officeDocument/2006/relationships/hyperlink" Target="https://www.ncbi.nlm.nih.gov/nuccore/AY753185" TargetMode="External"/><Relationship Id="rId187" Type="http://schemas.openxmlformats.org/officeDocument/2006/relationships/hyperlink" Target="https://www.ncbi.nlm.nih.gov/nuccore/AY318871" TargetMode="External"/><Relationship Id="rId394" Type="http://schemas.openxmlformats.org/officeDocument/2006/relationships/hyperlink" Target="https://www.ncbi.nlm.nih.gov/nuccore/GQ329670" TargetMode="External"/><Relationship Id="rId408" Type="http://schemas.openxmlformats.org/officeDocument/2006/relationships/hyperlink" Target="https://www.ncbi.nlm.nih.gov/nuccore/MH427217" TargetMode="External"/><Relationship Id="rId615" Type="http://schemas.openxmlformats.org/officeDocument/2006/relationships/hyperlink" Target="https://www.ncbi.nlm.nih.gov/nuccore/AY753185" TargetMode="External"/><Relationship Id="rId822" Type="http://schemas.openxmlformats.org/officeDocument/2006/relationships/hyperlink" Target="https://www.ncbi.nlm.nih.gov/nuccore/KJ859677" TargetMode="External"/><Relationship Id="rId1038" Type="http://schemas.openxmlformats.org/officeDocument/2006/relationships/hyperlink" Target="https://www.ncbi.nlm.nih.gov/nuccore/HF679131" TargetMode="External"/><Relationship Id="rId1245" Type="http://schemas.openxmlformats.org/officeDocument/2006/relationships/hyperlink" Target="https://www.ncbi.nlm.nih.gov/nuccore/AY009089" TargetMode="External"/><Relationship Id="rId1452" Type="http://schemas.openxmlformats.org/officeDocument/2006/relationships/hyperlink" Target="https://www.ncbi.nlm.nih.gov/nuccore/MF467280" TargetMode="External"/><Relationship Id="rId254" Type="http://schemas.openxmlformats.org/officeDocument/2006/relationships/hyperlink" Target="https://www.ncbi.nlm.nih.gov/nuccore/AF170722" TargetMode="External"/><Relationship Id="rId699" Type="http://schemas.openxmlformats.org/officeDocument/2006/relationships/hyperlink" Target="https://www.ncbi.nlm.nih.gov/nuccore/KY094066" TargetMode="External"/><Relationship Id="rId1091" Type="http://schemas.openxmlformats.org/officeDocument/2006/relationships/hyperlink" Target="https://www.ncbi.nlm.nih.gov/nuccore/KM502564" TargetMode="External"/><Relationship Id="rId1105" Type="http://schemas.openxmlformats.org/officeDocument/2006/relationships/hyperlink" Target="https://www.ncbi.nlm.nih.gov/nuccore/KY094066" TargetMode="External"/><Relationship Id="rId1312" Type="http://schemas.openxmlformats.org/officeDocument/2006/relationships/hyperlink" Target="https://www.ncbi.nlm.nih.gov/nuccore/DQ437594" TargetMode="External"/><Relationship Id="rId49" Type="http://schemas.openxmlformats.org/officeDocument/2006/relationships/hyperlink" Target="https://www.ncbi.nlm.nih.gov/nuccore/AY386371" TargetMode="External"/><Relationship Id="rId114" Type="http://schemas.openxmlformats.org/officeDocument/2006/relationships/hyperlink" Target="https://www.ncbi.nlm.nih.gov/nuccore/HF679134" TargetMode="External"/><Relationship Id="rId461" Type="http://schemas.openxmlformats.org/officeDocument/2006/relationships/hyperlink" Target="https://www.ncbi.nlm.nih.gov/nuccore/HF679133" TargetMode="External"/><Relationship Id="rId559" Type="http://schemas.openxmlformats.org/officeDocument/2006/relationships/hyperlink" Target="https://www.ncbi.nlm.nih.gov/nuccore/AY243312" TargetMode="External"/><Relationship Id="rId766" Type="http://schemas.openxmlformats.org/officeDocument/2006/relationships/hyperlink" Target="https://www.ncbi.nlm.nih.gov/nuccore/KP728110" TargetMode="External"/><Relationship Id="rId1189" Type="http://schemas.openxmlformats.org/officeDocument/2006/relationships/hyperlink" Target="https://www.ncbi.nlm.nih.gov/nuccore/AF482758" TargetMode="External"/><Relationship Id="rId1396" Type="http://schemas.openxmlformats.org/officeDocument/2006/relationships/hyperlink" Target="https://www.ncbi.nlm.nih.gov/nuccore/HQ647181" TargetMode="External"/><Relationship Id="rId198" Type="http://schemas.openxmlformats.org/officeDocument/2006/relationships/hyperlink" Target="https://www.ncbi.nlm.nih.gov/nuccore/AF170722" TargetMode="External"/><Relationship Id="rId321" Type="http://schemas.openxmlformats.org/officeDocument/2006/relationships/hyperlink" Target="https://www.ncbi.nlm.nih.gov/nuccore/AFH54685" TargetMode="External"/><Relationship Id="rId419" Type="http://schemas.openxmlformats.org/officeDocument/2006/relationships/hyperlink" Target="https://www.ncbi.nlm.nih.gov/nuccore/AY318871" TargetMode="External"/><Relationship Id="rId626" Type="http://schemas.openxmlformats.org/officeDocument/2006/relationships/hyperlink" Target="https://www.ncbi.nlm.nih.gov/nuccore/AY386264" TargetMode="External"/><Relationship Id="rId973" Type="http://schemas.openxmlformats.org/officeDocument/2006/relationships/hyperlink" Target="https://www.ncbi.nlm.nih.gov/nuccore/KM502564" TargetMode="External"/><Relationship Id="rId1049" Type="http://schemas.openxmlformats.org/officeDocument/2006/relationships/hyperlink" Target="https://www.ncbi.nlm.nih.gov/nuccore/KU980965" TargetMode="External"/><Relationship Id="rId1256" Type="http://schemas.openxmlformats.org/officeDocument/2006/relationships/hyperlink" Target="https://www.ncbi.nlm.nih.gov/nuccore/X69198" TargetMode="External"/><Relationship Id="rId833" Type="http://schemas.openxmlformats.org/officeDocument/2006/relationships/hyperlink" Target="https://www.ncbi.nlm.nih.gov/nuccore/AF170726" TargetMode="External"/><Relationship Id="rId1116" Type="http://schemas.openxmlformats.org/officeDocument/2006/relationships/hyperlink" Target="https://www.ncbi.nlm.nih.gov/nuccore/AF198100" TargetMode="External"/><Relationship Id="rId1463" Type="http://schemas.openxmlformats.org/officeDocument/2006/relationships/hyperlink" Target="https://www.ncbi.nlm.nih.gov/nuccore/MF467280" TargetMode="External"/><Relationship Id="rId265" Type="http://schemas.openxmlformats.org/officeDocument/2006/relationships/hyperlink" Target="https://www.ncbi.nlm.nih.gov/nuccore/AY753185" TargetMode="External"/><Relationship Id="rId472" Type="http://schemas.openxmlformats.org/officeDocument/2006/relationships/hyperlink" Target="https://www.ncbi.nlm.nih.gov/nuccore/KY747497" TargetMode="External"/><Relationship Id="rId900" Type="http://schemas.openxmlformats.org/officeDocument/2006/relationships/hyperlink" Target="https://www.ncbi.nlm.nih.gov/nuccore/AF012825" TargetMode="External"/><Relationship Id="rId1323" Type="http://schemas.openxmlformats.org/officeDocument/2006/relationships/hyperlink" Target="https://www.ncbi.nlm.nih.gov/nuccore/AF410153" TargetMode="External"/><Relationship Id="rId125" Type="http://schemas.openxmlformats.org/officeDocument/2006/relationships/hyperlink" Target="https://www.ncbi.nlm.nih.gov/nuccore/MF678796" TargetMode="External"/><Relationship Id="rId332" Type="http://schemas.openxmlformats.org/officeDocument/2006/relationships/hyperlink" Target="https://www.ncbi.nlm.nih.gov/nuccore/AY386265" TargetMode="External"/><Relationship Id="rId777" Type="http://schemas.openxmlformats.org/officeDocument/2006/relationships/hyperlink" Target="https://www.ncbi.nlm.nih.gov/nuccore/U60315" TargetMode="External"/><Relationship Id="rId984" Type="http://schemas.openxmlformats.org/officeDocument/2006/relationships/hyperlink" Target="https://www.ncbi.nlm.nih.gov/nuccore/HF679134" TargetMode="External"/><Relationship Id="rId637" Type="http://schemas.openxmlformats.org/officeDocument/2006/relationships/hyperlink" Target="https://www.ncbi.nlm.nih.gov/nuccore/HF679133" TargetMode="External"/><Relationship Id="rId844" Type="http://schemas.openxmlformats.org/officeDocument/2006/relationships/hyperlink" Target="https://www.ncbi.nlm.nih.gov/nuccore/AF380138" TargetMode="External"/><Relationship Id="rId1267" Type="http://schemas.openxmlformats.org/officeDocument/2006/relationships/hyperlink" Target="https://www.ncbi.nlm.nih.gov/nuccore/AY386371" TargetMode="External"/><Relationship Id="rId1474" Type="http://schemas.openxmlformats.org/officeDocument/2006/relationships/hyperlink" Target="https://www.ncbi.nlm.nih.gov/nuccore/MF467280" TargetMode="External"/><Relationship Id="rId276" Type="http://schemas.openxmlformats.org/officeDocument/2006/relationships/hyperlink" Target="https://www.ncbi.nlm.nih.gov/nuccore/AY386264" TargetMode="External"/><Relationship Id="rId483" Type="http://schemas.openxmlformats.org/officeDocument/2006/relationships/hyperlink" Target="https://www.ncbi.nlm.nih.gov/nuccore/DQ356948" TargetMode="External"/><Relationship Id="rId690" Type="http://schemas.openxmlformats.org/officeDocument/2006/relationships/hyperlink" Target="https://www.ncbi.nlm.nih.gov/nuccore/AF063866" TargetMode="External"/><Relationship Id="rId704" Type="http://schemas.openxmlformats.org/officeDocument/2006/relationships/hyperlink" Target="https://www.ncbi.nlm.nih.gov/nuccore/KY747497" TargetMode="External"/><Relationship Id="rId911" Type="http://schemas.openxmlformats.org/officeDocument/2006/relationships/hyperlink" Target="https://www.ncbi.nlm.nih.gov/nuccore/KY382358" TargetMode="External"/><Relationship Id="rId1127" Type="http://schemas.openxmlformats.org/officeDocument/2006/relationships/hyperlink" Target="https://www.ncbi.nlm.nih.gov/nuccore/MH607141" TargetMode="External"/><Relationship Id="rId1334" Type="http://schemas.openxmlformats.org/officeDocument/2006/relationships/hyperlink" Target="https://www.ncbi.nlm.nih.gov/nuccore/AY077835" TargetMode="External"/><Relationship Id="rId40" Type="http://schemas.openxmlformats.org/officeDocument/2006/relationships/hyperlink" Target="https://www.ncbi.nlm.nih.gov/nuccore/KU749311" TargetMode="External"/><Relationship Id="rId136" Type="http://schemas.openxmlformats.org/officeDocument/2006/relationships/hyperlink" Target="https://www.ncbi.nlm.nih.gov/nuccore/AF170726" TargetMode="External"/><Relationship Id="rId343" Type="http://schemas.openxmlformats.org/officeDocument/2006/relationships/hyperlink" Target="https://www.ncbi.nlm.nih.gov/nuccore/AF250284" TargetMode="External"/><Relationship Id="rId550" Type="http://schemas.openxmlformats.org/officeDocument/2006/relationships/hyperlink" Target="https://www.ncbi.nlm.nih.gov/nuccore/AF438165" TargetMode="External"/><Relationship Id="rId788" Type="http://schemas.openxmlformats.org/officeDocument/2006/relationships/hyperlink" Target="https://www.ncbi.nlm.nih.gov/nuccore/KP143769" TargetMode="External"/><Relationship Id="rId995" Type="http://schemas.openxmlformats.org/officeDocument/2006/relationships/hyperlink" Target="https://www.ncbi.nlm.nih.gov/nuccore/MF678796" TargetMode="External"/><Relationship Id="rId1180" Type="http://schemas.openxmlformats.org/officeDocument/2006/relationships/hyperlink" Target="https://www.ncbi.nlm.nih.gov/nuccore/AF170726" TargetMode="External"/><Relationship Id="rId1401" Type="http://schemas.openxmlformats.org/officeDocument/2006/relationships/hyperlink" Target="https://www.ncbi.nlm.nih.gov/nuccore/MF678796" TargetMode="External"/><Relationship Id="rId203" Type="http://schemas.openxmlformats.org/officeDocument/2006/relationships/hyperlink" Target="https://www.ncbi.nlm.nih.gov/nuccore/AY009089" TargetMode="External"/><Relationship Id="rId648" Type="http://schemas.openxmlformats.org/officeDocument/2006/relationships/hyperlink" Target="https://www.ncbi.nlm.nih.gov/nuccore/KJ859677" TargetMode="External"/><Relationship Id="rId855" Type="http://schemas.openxmlformats.org/officeDocument/2006/relationships/hyperlink" Target="https://www.ncbi.nlm.nih.gov/nuccore/AY386264" TargetMode="External"/><Relationship Id="rId1040" Type="http://schemas.openxmlformats.org/officeDocument/2006/relationships/hyperlink" Target="https://www.ncbi.nlm.nih.gov/nuccore/HF679132" TargetMode="External"/><Relationship Id="rId1278" Type="http://schemas.openxmlformats.org/officeDocument/2006/relationships/hyperlink" Target="https://www.ncbi.nlm.nih.gov/nuccore/MH427217" TargetMode="External"/><Relationship Id="rId287" Type="http://schemas.openxmlformats.org/officeDocument/2006/relationships/hyperlink" Target="https://www.ncbi.nlm.nih.gov/nuccore/HF679133" TargetMode="External"/><Relationship Id="rId410" Type="http://schemas.openxmlformats.org/officeDocument/2006/relationships/hyperlink" Target="https://www.ncbi.nlm.nih.gov/nuccore/HQ647181" TargetMode="External"/><Relationship Id="rId494" Type="http://schemas.openxmlformats.org/officeDocument/2006/relationships/hyperlink" Target="https://www.ncbi.nlm.nih.gov/nuccore/AF012825" TargetMode="External"/><Relationship Id="rId508" Type="http://schemas.openxmlformats.org/officeDocument/2006/relationships/hyperlink" Target="https://www.ncbi.nlm.nih.gov/nuccore/AY386264" TargetMode="External"/><Relationship Id="rId715" Type="http://schemas.openxmlformats.org/officeDocument/2006/relationships/hyperlink" Target="https://www.ncbi.nlm.nih.gov/nuccore/DQ356948" TargetMode="External"/><Relationship Id="rId922" Type="http://schemas.openxmlformats.org/officeDocument/2006/relationships/hyperlink" Target="https://www.ncbi.nlm.nih.gov/nuccore/HF679131" TargetMode="External"/><Relationship Id="rId1138" Type="http://schemas.openxmlformats.org/officeDocument/2006/relationships/hyperlink" Target="https://www.ncbi.nlm.nih.gov/nuccore/DQ437594" TargetMode="External"/><Relationship Id="rId1345" Type="http://schemas.openxmlformats.org/officeDocument/2006/relationships/hyperlink" Target="https://www.ncbi.nlm.nih.gov/nuccore/KJ801920" TargetMode="External"/><Relationship Id="rId147" Type="http://schemas.openxmlformats.org/officeDocument/2006/relationships/hyperlink" Target="https://www.ncbi.nlm.nih.gov/nuccore/AFH54685" TargetMode="External"/><Relationship Id="rId354" Type="http://schemas.openxmlformats.org/officeDocument/2006/relationships/hyperlink" Target="https://www.ncbi.nlm.nih.gov/nuccore/KT159937" TargetMode="External"/><Relationship Id="rId799" Type="http://schemas.openxmlformats.org/officeDocument/2006/relationships/hyperlink" Target="https://www.ncbi.nlm.nih.gov/nuccore/KM502564" TargetMode="External"/><Relationship Id="rId1191" Type="http://schemas.openxmlformats.org/officeDocument/2006/relationships/hyperlink" Target="https://www.ncbi.nlm.nih.gov/nuccore/AFH54685" TargetMode="External"/><Relationship Id="rId1205" Type="http://schemas.openxmlformats.org/officeDocument/2006/relationships/hyperlink" Target="https://www.ncbi.nlm.nih.gov/nuccore/KM502564" TargetMode="External"/><Relationship Id="rId51" Type="http://schemas.openxmlformats.org/officeDocument/2006/relationships/hyperlink" Target="https://www.ncbi.nlm.nih.gov/nuccore/AP013055" TargetMode="External"/><Relationship Id="rId561" Type="http://schemas.openxmlformats.org/officeDocument/2006/relationships/hyperlink" Target="https://www.ncbi.nlm.nih.gov/nuccore/Y16780" TargetMode="External"/><Relationship Id="rId659" Type="http://schemas.openxmlformats.org/officeDocument/2006/relationships/hyperlink" Target="https://www.ncbi.nlm.nih.gov/nuccore/DQ356948" TargetMode="External"/><Relationship Id="rId866" Type="http://schemas.openxmlformats.org/officeDocument/2006/relationships/hyperlink" Target="https://www.ncbi.nlm.nih.gov/nuccore/HF679132" TargetMode="External"/><Relationship Id="rId1289" Type="http://schemas.openxmlformats.org/officeDocument/2006/relationships/hyperlink" Target="https://www.ncbi.nlm.nih.gov/nuccore/AY318871" TargetMode="External"/><Relationship Id="rId1412" Type="http://schemas.openxmlformats.org/officeDocument/2006/relationships/hyperlink" Target="https://www.ncbi.nlm.nih.gov/nuccore/AY689436" TargetMode="External"/><Relationship Id="rId214" Type="http://schemas.openxmlformats.org/officeDocument/2006/relationships/hyperlink" Target="https://www.ncbi.nlm.nih.gov/nuccore/X69198" TargetMode="External"/><Relationship Id="rId298" Type="http://schemas.openxmlformats.org/officeDocument/2006/relationships/hyperlink" Target="https://www.ncbi.nlm.nih.gov/nuccore/KY747497" TargetMode="External"/><Relationship Id="rId421" Type="http://schemas.openxmlformats.org/officeDocument/2006/relationships/hyperlink" Target="https://www.ncbi.nlm.nih.gov/nuccore/AF325528" TargetMode="External"/><Relationship Id="rId519" Type="http://schemas.openxmlformats.org/officeDocument/2006/relationships/hyperlink" Target="https://www.ncbi.nlm.nih.gov/nuccore/HF679133" TargetMode="External"/><Relationship Id="rId1051" Type="http://schemas.openxmlformats.org/officeDocument/2006/relationships/hyperlink" Target="https://www.ncbi.nlm.nih.gov/nuccore/HE601899" TargetMode="External"/><Relationship Id="rId1149" Type="http://schemas.openxmlformats.org/officeDocument/2006/relationships/hyperlink" Target="https://www.ncbi.nlm.nih.gov/nuccore/AF410153" TargetMode="External"/><Relationship Id="rId1356" Type="http://schemas.openxmlformats.org/officeDocument/2006/relationships/hyperlink" Target="https://www.ncbi.nlm.nih.gov/nuccore/AF170722" TargetMode="External"/><Relationship Id="rId158" Type="http://schemas.openxmlformats.org/officeDocument/2006/relationships/hyperlink" Target="https://www.ncbi.nlm.nih.gov/nuccore/AY386265" TargetMode="External"/><Relationship Id="rId726" Type="http://schemas.openxmlformats.org/officeDocument/2006/relationships/hyperlink" Target="https://www.ncbi.nlm.nih.gov/nuccore/AF012825" TargetMode="External"/><Relationship Id="rId933" Type="http://schemas.openxmlformats.org/officeDocument/2006/relationships/hyperlink" Target="https://www.ncbi.nlm.nih.gov/nuccore/KU980965" TargetMode="External"/><Relationship Id="rId1009" Type="http://schemas.openxmlformats.org/officeDocument/2006/relationships/hyperlink" Target="https://www.ncbi.nlm.nih.gov/nuccore/U60315" TargetMode="External"/><Relationship Id="rId62" Type="http://schemas.openxmlformats.org/officeDocument/2006/relationships/hyperlink" Target="https://www.ncbi.nlm.nih.gov/nuccore/HQ647181" TargetMode="External"/><Relationship Id="rId365" Type="http://schemas.openxmlformats.org/officeDocument/2006/relationships/hyperlink" Target="https://www.ncbi.nlm.nih.gov/nuccore/HQ849551" TargetMode="External"/><Relationship Id="rId572" Type="http://schemas.openxmlformats.org/officeDocument/2006/relationships/hyperlink" Target="https://www.ncbi.nlm.nih.gov/nuccore/AF063866" TargetMode="External"/><Relationship Id="rId1216" Type="http://schemas.openxmlformats.org/officeDocument/2006/relationships/hyperlink" Target="https://www.ncbi.nlm.nih.gov/nuccore/HF679134" TargetMode="External"/><Relationship Id="rId1423" Type="http://schemas.openxmlformats.org/officeDocument/2006/relationships/hyperlink" Target="https://www.ncbi.nlm.nih.gov/nuccore/AF482758" TargetMode="External"/><Relationship Id="rId225" Type="http://schemas.openxmlformats.org/officeDocument/2006/relationships/hyperlink" Target="https://www.ncbi.nlm.nih.gov/nuccore/AY386371" TargetMode="External"/><Relationship Id="rId432" Type="http://schemas.openxmlformats.org/officeDocument/2006/relationships/hyperlink" Target="https://www.ncbi.nlm.nih.gov/nuccore/DQ792504" TargetMode="External"/><Relationship Id="rId877" Type="http://schemas.openxmlformats.org/officeDocument/2006/relationships/hyperlink" Target="https://www.ncbi.nlm.nih.gov/nuccore/HE601899" TargetMode="External"/><Relationship Id="rId1062" Type="http://schemas.openxmlformats.org/officeDocument/2006/relationships/hyperlink" Target="https://www.ncbi.nlm.nih.gov/nuccore/MF001304" TargetMode="External"/><Relationship Id="rId737" Type="http://schemas.openxmlformats.org/officeDocument/2006/relationships/hyperlink" Target="https://www.ncbi.nlm.nih.gov/nuccore/KY382358" TargetMode="External"/><Relationship Id="rId944" Type="http://schemas.openxmlformats.org/officeDocument/2006/relationships/hyperlink" Target="https://www.ncbi.nlm.nih.gov/nuccore/MF001304" TargetMode="External"/><Relationship Id="rId1367" Type="http://schemas.openxmlformats.org/officeDocument/2006/relationships/hyperlink" Target="https://www.ncbi.nlm.nih.gov/nuccore/AY753185" TargetMode="External"/><Relationship Id="rId73" Type="http://schemas.openxmlformats.org/officeDocument/2006/relationships/hyperlink" Target="https://www.ncbi.nlm.nih.gov/nuccore/AF325528" TargetMode="External"/><Relationship Id="rId169" Type="http://schemas.openxmlformats.org/officeDocument/2006/relationships/hyperlink" Target="https://www.ncbi.nlm.nih.gov/nuccore/AF250284" TargetMode="External"/><Relationship Id="rId376" Type="http://schemas.openxmlformats.org/officeDocument/2006/relationships/hyperlink" Target="https://www.ncbi.nlm.nih.gov/nuccore/AF438165" TargetMode="External"/><Relationship Id="rId583" Type="http://schemas.openxmlformats.org/officeDocument/2006/relationships/hyperlink" Target="https://www.ncbi.nlm.nih.gov/nuccore/KY094066" TargetMode="External"/><Relationship Id="rId790" Type="http://schemas.openxmlformats.org/officeDocument/2006/relationships/hyperlink" Target="https://www.ncbi.nlm.nih.gov/nuccore/DQ437594" TargetMode="External"/><Relationship Id="rId804" Type="http://schemas.openxmlformats.org/officeDocument/2006/relationships/hyperlink" Target="https://www.ncbi.nlm.nih.gov/nuccore/AF063866" TargetMode="External"/><Relationship Id="rId1227" Type="http://schemas.openxmlformats.org/officeDocument/2006/relationships/hyperlink" Target="https://www.ncbi.nlm.nih.gov/nuccore/MF678796" TargetMode="External"/><Relationship Id="rId1434" Type="http://schemas.openxmlformats.org/officeDocument/2006/relationships/hyperlink" Target="https://www.ncbi.nlm.nih.gov/nuccore/KU749311" TargetMode="External"/><Relationship Id="rId4" Type="http://schemas.openxmlformats.org/officeDocument/2006/relationships/hyperlink" Target="https://www.ncbi.nlm.nih.gov/nuccore/HQ647181" TargetMode="External"/><Relationship Id="rId236" Type="http://schemas.openxmlformats.org/officeDocument/2006/relationships/hyperlink" Target="https://www.ncbi.nlm.nih.gov/nuccore/HQ647181" TargetMode="External"/><Relationship Id="rId443" Type="http://schemas.openxmlformats.org/officeDocument/2006/relationships/hyperlink" Target="https://www.ncbi.nlm.nih.gov/nuccore/AY243312" TargetMode="External"/><Relationship Id="rId650" Type="http://schemas.openxmlformats.org/officeDocument/2006/relationships/hyperlink" Target="https://www.ncbi.nlm.nih.gov/nuccore/KP728110" TargetMode="External"/><Relationship Id="rId888" Type="http://schemas.openxmlformats.org/officeDocument/2006/relationships/hyperlink" Target="https://www.ncbi.nlm.nih.gov/nuccore/AY689436" TargetMode="External"/><Relationship Id="rId1073" Type="http://schemas.openxmlformats.org/officeDocument/2006/relationships/hyperlink" Target="https://www.ncbi.nlm.nih.gov/nuccore/AF438165" TargetMode="External"/><Relationship Id="rId1280" Type="http://schemas.openxmlformats.org/officeDocument/2006/relationships/hyperlink" Target="https://www.ncbi.nlm.nih.gov/nuccore/HQ647181" TargetMode="External"/><Relationship Id="rId303" Type="http://schemas.openxmlformats.org/officeDocument/2006/relationships/hyperlink" Target="https://www.ncbi.nlm.nih.gov/nuccore/AY318871" TargetMode="External"/><Relationship Id="rId748" Type="http://schemas.openxmlformats.org/officeDocument/2006/relationships/hyperlink" Target="https://www.ncbi.nlm.nih.gov/nuccore/HF679131" TargetMode="External"/><Relationship Id="rId955" Type="http://schemas.openxmlformats.org/officeDocument/2006/relationships/hyperlink" Target="https://www.ncbi.nlm.nih.gov/nuccore/AY009089" TargetMode="External"/><Relationship Id="rId1140" Type="http://schemas.openxmlformats.org/officeDocument/2006/relationships/hyperlink" Target="https://www.ncbi.nlm.nih.gov/nuccore/X69198" TargetMode="External"/><Relationship Id="rId1378" Type="http://schemas.openxmlformats.org/officeDocument/2006/relationships/hyperlink" Target="https://www.ncbi.nlm.nih.gov/nuccore/AY386264" TargetMode="External"/><Relationship Id="rId84" Type="http://schemas.openxmlformats.org/officeDocument/2006/relationships/hyperlink" Target="https://www.ncbi.nlm.nih.gov/nuccore/DQ792504" TargetMode="External"/><Relationship Id="rId387" Type="http://schemas.openxmlformats.org/officeDocument/2006/relationships/hyperlink" Target="https://www.ncbi.nlm.nih.gov/nuccore/Y16780" TargetMode="External"/><Relationship Id="rId510" Type="http://schemas.openxmlformats.org/officeDocument/2006/relationships/hyperlink" Target="https://www.ncbi.nlm.nih.gov/nuccore/GQ329670" TargetMode="External"/><Relationship Id="rId594" Type="http://schemas.openxmlformats.org/officeDocument/2006/relationships/hyperlink" Target="https://www.ncbi.nlm.nih.gov/nuccore/AF198100" TargetMode="External"/><Relationship Id="rId608" Type="http://schemas.openxmlformats.org/officeDocument/2006/relationships/hyperlink" Target="https://www.ncbi.nlm.nih.gov/nuccore/DQ792504" TargetMode="External"/><Relationship Id="rId815" Type="http://schemas.openxmlformats.org/officeDocument/2006/relationships/hyperlink" Target="https://www.ncbi.nlm.nih.gov/nuccore/KY094066" TargetMode="External"/><Relationship Id="rId1238" Type="http://schemas.openxmlformats.org/officeDocument/2006/relationships/hyperlink" Target="https://www.ncbi.nlm.nih.gov/nuccore/AF170726" TargetMode="External"/><Relationship Id="rId1445" Type="http://schemas.openxmlformats.org/officeDocument/2006/relationships/hyperlink" Target="https://www.ncbi.nlm.nih.gov/nuccore/AP013055" TargetMode="External"/><Relationship Id="rId247" Type="http://schemas.openxmlformats.org/officeDocument/2006/relationships/hyperlink" Target="https://www.ncbi.nlm.nih.gov/nuccore/AF325528" TargetMode="External"/><Relationship Id="rId899" Type="http://schemas.openxmlformats.org/officeDocument/2006/relationships/hyperlink" Target="https://www.ncbi.nlm.nih.gov/nuccore/AF482758" TargetMode="External"/><Relationship Id="rId1000" Type="http://schemas.openxmlformats.org/officeDocument/2006/relationships/hyperlink" Target="https://www.ncbi.nlm.nih.gov/nuccore/AF198100" TargetMode="External"/><Relationship Id="rId1084" Type="http://schemas.openxmlformats.org/officeDocument/2006/relationships/hyperlink" Target="https://www.ncbi.nlm.nih.gov/nuccore/X69198" TargetMode="External"/><Relationship Id="rId1305" Type="http://schemas.openxmlformats.org/officeDocument/2006/relationships/hyperlink" Target="https://www.ncbi.nlm.nih.gov/nuccore/AF482758" TargetMode="External"/><Relationship Id="rId107" Type="http://schemas.openxmlformats.org/officeDocument/2006/relationships/hyperlink" Target="https://www.ncbi.nlm.nih.gov/nuccore/AY386371" TargetMode="External"/><Relationship Id="rId454" Type="http://schemas.openxmlformats.org/officeDocument/2006/relationships/hyperlink" Target="https://www.ncbi.nlm.nih.gov/nuccore/AJ293568" TargetMode="External"/><Relationship Id="rId661" Type="http://schemas.openxmlformats.org/officeDocument/2006/relationships/hyperlink" Target="https://www.ncbi.nlm.nih.gov/nuccore/AF170726" TargetMode="External"/><Relationship Id="rId759" Type="http://schemas.openxmlformats.org/officeDocument/2006/relationships/hyperlink" Target="https://www.ncbi.nlm.nih.gov/nuccore/KU980965" TargetMode="External"/><Relationship Id="rId966" Type="http://schemas.openxmlformats.org/officeDocument/2006/relationships/hyperlink" Target="https://www.ncbi.nlm.nih.gov/nuccore/X69198" TargetMode="External"/><Relationship Id="rId1291" Type="http://schemas.openxmlformats.org/officeDocument/2006/relationships/hyperlink" Target="https://www.ncbi.nlm.nih.gov/nuccore/AF325528" TargetMode="External"/><Relationship Id="rId1389" Type="http://schemas.openxmlformats.org/officeDocument/2006/relationships/hyperlink" Target="https://www.ncbi.nlm.nih.gov/nuccore/HF679133" TargetMode="External"/><Relationship Id="rId11" Type="http://schemas.openxmlformats.org/officeDocument/2006/relationships/hyperlink" Target="https://www.ncbi.nlm.nih.gov/nuccore/KJ801920" TargetMode="External"/><Relationship Id="rId314" Type="http://schemas.openxmlformats.org/officeDocument/2006/relationships/hyperlink" Target="https://www.ncbi.nlm.nih.gov/nuccore/MH816996" TargetMode="External"/><Relationship Id="rId398" Type="http://schemas.openxmlformats.org/officeDocument/2006/relationships/hyperlink" Target="https://www.ncbi.nlm.nih.gov/nuccore/AF063866" TargetMode="External"/><Relationship Id="rId521" Type="http://schemas.openxmlformats.org/officeDocument/2006/relationships/hyperlink" Target="https://www.ncbi.nlm.nih.gov/nuccore/AY077832" TargetMode="External"/><Relationship Id="rId619" Type="http://schemas.openxmlformats.org/officeDocument/2006/relationships/hyperlink" Target="https://www.ncbi.nlm.nih.gov/nuccore/AY243312" TargetMode="External"/><Relationship Id="rId1151" Type="http://schemas.openxmlformats.org/officeDocument/2006/relationships/hyperlink" Target="https://www.ncbi.nlm.nih.gov/nuccore/AY386371" TargetMode="External"/><Relationship Id="rId1249" Type="http://schemas.openxmlformats.org/officeDocument/2006/relationships/hyperlink" Target="https://www.ncbi.nlm.nih.gov/nuccore/AFH54685" TargetMode="External"/><Relationship Id="rId95" Type="http://schemas.openxmlformats.org/officeDocument/2006/relationships/hyperlink" Target="https://www.ncbi.nlm.nih.gov/nuccore/AY243312" TargetMode="External"/><Relationship Id="rId160" Type="http://schemas.openxmlformats.org/officeDocument/2006/relationships/hyperlink" Target="https://www.ncbi.nlm.nih.gov/nuccore/AY386264" TargetMode="External"/><Relationship Id="rId826" Type="http://schemas.openxmlformats.org/officeDocument/2006/relationships/hyperlink" Target="https://www.ncbi.nlm.nih.gov/nuccore/AF198100" TargetMode="External"/><Relationship Id="rId1011" Type="http://schemas.openxmlformats.org/officeDocument/2006/relationships/hyperlink" Target="https://www.ncbi.nlm.nih.gov/nuccore/MH607141" TargetMode="External"/><Relationship Id="rId1109" Type="http://schemas.openxmlformats.org/officeDocument/2006/relationships/hyperlink" Target="https://www.ncbi.nlm.nih.gov/nuccore/HE601899" TargetMode="External"/><Relationship Id="rId1456" Type="http://schemas.openxmlformats.org/officeDocument/2006/relationships/hyperlink" Target="https://www.ncbi.nlm.nih.gov/nuccore/MF467280" TargetMode="External"/><Relationship Id="rId258" Type="http://schemas.openxmlformats.org/officeDocument/2006/relationships/hyperlink" Target="https://www.ncbi.nlm.nih.gov/nuccore/DQ792504" TargetMode="External"/><Relationship Id="rId465" Type="http://schemas.openxmlformats.org/officeDocument/2006/relationships/hyperlink" Target="https://www.ncbi.nlm.nih.gov/nuccore/MF467281" TargetMode="External"/><Relationship Id="rId672" Type="http://schemas.openxmlformats.org/officeDocument/2006/relationships/hyperlink" Target="https://www.ncbi.nlm.nih.gov/nuccore/AF380138" TargetMode="External"/><Relationship Id="rId1095" Type="http://schemas.openxmlformats.org/officeDocument/2006/relationships/hyperlink" Target="https://www.ncbi.nlm.nih.gov/nuccore/AY386371" TargetMode="External"/><Relationship Id="rId1316" Type="http://schemas.openxmlformats.org/officeDocument/2006/relationships/hyperlink" Target="https://www.ncbi.nlm.nih.gov/nuccore/KU749311" TargetMode="External"/><Relationship Id="rId22" Type="http://schemas.openxmlformats.org/officeDocument/2006/relationships/hyperlink" Target="https://www.ncbi.nlm.nih.gov/nuccore/AF170722" TargetMode="External"/><Relationship Id="rId118" Type="http://schemas.openxmlformats.org/officeDocument/2006/relationships/hyperlink" Target="https://www.ncbi.nlm.nih.gov/nuccore/MH427217" TargetMode="External"/><Relationship Id="rId325" Type="http://schemas.openxmlformats.org/officeDocument/2006/relationships/hyperlink" Target="https://www.ncbi.nlm.nih.gov/nuccore/KU749310" TargetMode="External"/><Relationship Id="rId532" Type="http://schemas.openxmlformats.org/officeDocument/2006/relationships/hyperlink" Target="https://www.ncbi.nlm.nih.gov/nuccore/KJ859677" TargetMode="External"/><Relationship Id="rId977" Type="http://schemas.openxmlformats.org/officeDocument/2006/relationships/hyperlink" Target="https://www.ncbi.nlm.nih.gov/nuccore/AY386371" TargetMode="External"/><Relationship Id="rId1162" Type="http://schemas.openxmlformats.org/officeDocument/2006/relationships/hyperlink" Target="https://www.ncbi.nlm.nih.gov/nuccore/MH427217" TargetMode="External"/><Relationship Id="rId171" Type="http://schemas.openxmlformats.org/officeDocument/2006/relationships/hyperlink" Target="https://www.ncbi.nlm.nih.gov/nuccore/HF679133" TargetMode="External"/><Relationship Id="rId837" Type="http://schemas.openxmlformats.org/officeDocument/2006/relationships/hyperlink" Target="https://www.ncbi.nlm.nih.gov/nuccore/MH607141" TargetMode="External"/><Relationship Id="rId1022" Type="http://schemas.openxmlformats.org/officeDocument/2006/relationships/hyperlink" Target="https://www.ncbi.nlm.nih.gov/nuccore/DQ437594" TargetMode="External"/><Relationship Id="rId1467" Type="http://schemas.openxmlformats.org/officeDocument/2006/relationships/hyperlink" Target="https://www.ncbi.nlm.nih.gov/nuccore/MF467280" TargetMode="External"/><Relationship Id="rId269" Type="http://schemas.openxmlformats.org/officeDocument/2006/relationships/hyperlink" Target="https://www.ncbi.nlm.nih.gov/nuccore/AY243312" TargetMode="External"/><Relationship Id="rId476" Type="http://schemas.openxmlformats.org/officeDocument/2006/relationships/hyperlink" Target="https://www.ncbi.nlm.nih.gov/nuccore/KP728110" TargetMode="External"/><Relationship Id="rId683" Type="http://schemas.openxmlformats.org/officeDocument/2006/relationships/hyperlink" Target="https://www.ncbi.nlm.nih.gov/nuccore/AY386264" TargetMode="External"/><Relationship Id="rId890" Type="http://schemas.openxmlformats.org/officeDocument/2006/relationships/hyperlink" Target="https://www.ncbi.nlm.nih.gov/nuccore/AF170726" TargetMode="External"/><Relationship Id="rId904" Type="http://schemas.openxmlformats.org/officeDocument/2006/relationships/hyperlink" Target="https://www.ncbi.nlm.nih.gov/nuccore/KP143769" TargetMode="External"/><Relationship Id="rId1327" Type="http://schemas.openxmlformats.org/officeDocument/2006/relationships/hyperlink" Target="https://www.ncbi.nlm.nih.gov/nuccore/AP013055" TargetMode="External"/><Relationship Id="rId33" Type="http://schemas.openxmlformats.org/officeDocument/2006/relationships/hyperlink" Target="https://www.ncbi.nlm.nih.gov/nuccore/AY753185" TargetMode="External"/><Relationship Id="rId129" Type="http://schemas.openxmlformats.org/officeDocument/2006/relationships/hyperlink" Target="https://www.ncbi.nlm.nih.gov/nuccore/AY318871" TargetMode="External"/><Relationship Id="rId336" Type="http://schemas.openxmlformats.org/officeDocument/2006/relationships/hyperlink" Target="https://www.ncbi.nlm.nih.gov/nuccore/GQ329670" TargetMode="External"/><Relationship Id="rId543" Type="http://schemas.openxmlformats.org/officeDocument/2006/relationships/hyperlink" Target="https://www.ncbi.nlm.nih.gov/nuccore/AF170726" TargetMode="External"/><Relationship Id="rId988" Type="http://schemas.openxmlformats.org/officeDocument/2006/relationships/hyperlink" Target="https://www.ncbi.nlm.nih.gov/nuccore/MH427217" TargetMode="External"/><Relationship Id="rId1173" Type="http://schemas.openxmlformats.org/officeDocument/2006/relationships/hyperlink" Target="https://www.ncbi.nlm.nih.gov/nuccore/AY318871" TargetMode="External"/><Relationship Id="rId1380" Type="http://schemas.openxmlformats.org/officeDocument/2006/relationships/hyperlink" Target="https://www.ncbi.nlm.nih.gov/nuccore/GQ329670" TargetMode="External"/><Relationship Id="rId182" Type="http://schemas.openxmlformats.org/officeDocument/2006/relationships/hyperlink" Target="https://www.ncbi.nlm.nih.gov/nuccore/KY747497" TargetMode="External"/><Relationship Id="rId403" Type="http://schemas.openxmlformats.org/officeDocument/2006/relationships/hyperlink" Target="https://www.ncbi.nlm.nih.gov/nuccore/HF679133" TargetMode="External"/><Relationship Id="rId750" Type="http://schemas.openxmlformats.org/officeDocument/2006/relationships/hyperlink" Target="https://www.ncbi.nlm.nih.gov/nuccore/HF679132" TargetMode="External"/><Relationship Id="rId848" Type="http://schemas.openxmlformats.org/officeDocument/2006/relationships/hyperlink" Target="https://www.ncbi.nlm.nih.gov/nuccore/DQ437594" TargetMode="External"/><Relationship Id="rId1033" Type="http://schemas.openxmlformats.org/officeDocument/2006/relationships/hyperlink" Target="https://www.ncbi.nlm.nih.gov/nuccore/AF410153" TargetMode="External"/><Relationship Id="rId487" Type="http://schemas.openxmlformats.org/officeDocument/2006/relationships/hyperlink" Target="https://www.ncbi.nlm.nih.gov/nuccore/U60315" TargetMode="External"/><Relationship Id="rId610" Type="http://schemas.openxmlformats.org/officeDocument/2006/relationships/hyperlink" Target="https://www.ncbi.nlm.nih.gov/nuccore/AY009089" TargetMode="External"/><Relationship Id="rId694" Type="http://schemas.openxmlformats.org/officeDocument/2006/relationships/hyperlink" Target="https://www.ncbi.nlm.nih.gov/nuccore/HF679132" TargetMode="External"/><Relationship Id="rId708" Type="http://schemas.openxmlformats.org/officeDocument/2006/relationships/hyperlink" Target="https://www.ncbi.nlm.nih.gov/nuccore/KP728110" TargetMode="External"/><Relationship Id="rId915" Type="http://schemas.openxmlformats.org/officeDocument/2006/relationships/hyperlink" Target="https://www.ncbi.nlm.nih.gov/nuccore/KM502564" TargetMode="External"/><Relationship Id="rId1240" Type="http://schemas.openxmlformats.org/officeDocument/2006/relationships/hyperlink" Target="https://www.ncbi.nlm.nih.gov/nuccore/AF170722" TargetMode="External"/><Relationship Id="rId1338" Type="http://schemas.openxmlformats.org/officeDocument/2006/relationships/hyperlink" Target="https://www.ncbi.nlm.nih.gov/nuccore/HQ647181" TargetMode="External"/><Relationship Id="rId347" Type="http://schemas.openxmlformats.org/officeDocument/2006/relationships/hyperlink" Target="https://www.ncbi.nlm.nih.gov/nuccore/AY077832" TargetMode="External"/><Relationship Id="rId999" Type="http://schemas.openxmlformats.org/officeDocument/2006/relationships/hyperlink" Target="https://www.ncbi.nlm.nih.gov/nuccore/AY318871" TargetMode="External"/><Relationship Id="rId1100" Type="http://schemas.openxmlformats.org/officeDocument/2006/relationships/hyperlink" Target="https://www.ncbi.nlm.nih.gov/nuccore/HF679132" TargetMode="External"/><Relationship Id="rId1184" Type="http://schemas.openxmlformats.org/officeDocument/2006/relationships/hyperlink" Target="https://www.ncbi.nlm.nih.gov/nuccore/MH816996" TargetMode="External"/><Relationship Id="rId1405" Type="http://schemas.openxmlformats.org/officeDocument/2006/relationships/hyperlink" Target="https://www.ncbi.nlm.nih.gov/nuccore/AY318871" TargetMode="External"/><Relationship Id="rId44" Type="http://schemas.openxmlformats.org/officeDocument/2006/relationships/hyperlink" Target="https://www.ncbi.nlm.nih.gov/nuccore/AY386264" TargetMode="External"/><Relationship Id="rId554" Type="http://schemas.openxmlformats.org/officeDocument/2006/relationships/hyperlink" Target="https://www.ncbi.nlm.nih.gov/nuccore/AF380138" TargetMode="External"/><Relationship Id="rId761" Type="http://schemas.openxmlformats.org/officeDocument/2006/relationships/hyperlink" Target="https://www.ncbi.nlm.nih.gov/nuccore/HE601899" TargetMode="External"/><Relationship Id="rId859" Type="http://schemas.openxmlformats.org/officeDocument/2006/relationships/hyperlink" Target="https://www.ncbi.nlm.nih.gov/nuccore/AF410153" TargetMode="External"/><Relationship Id="rId1391" Type="http://schemas.openxmlformats.org/officeDocument/2006/relationships/hyperlink" Target="https://www.ncbi.nlm.nih.gov/nuccore/AY077832" TargetMode="External"/><Relationship Id="rId193" Type="http://schemas.openxmlformats.org/officeDocument/2006/relationships/hyperlink" Target="https://www.ncbi.nlm.nih.gov/nuccore/HQ849551" TargetMode="External"/><Relationship Id="rId207" Type="http://schemas.openxmlformats.org/officeDocument/2006/relationships/hyperlink" Target="https://www.ncbi.nlm.nih.gov/nuccore/AFH54685" TargetMode="External"/><Relationship Id="rId414" Type="http://schemas.openxmlformats.org/officeDocument/2006/relationships/hyperlink" Target="https://www.ncbi.nlm.nih.gov/nuccore/KY747497" TargetMode="External"/><Relationship Id="rId498" Type="http://schemas.openxmlformats.org/officeDocument/2006/relationships/hyperlink" Target="https://www.ncbi.nlm.nih.gov/nuccore/KP143769" TargetMode="External"/><Relationship Id="rId621" Type="http://schemas.openxmlformats.org/officeDocument/2006/relationships/hyperlink" Target="https://www.ncbi.nlm.nih.gov/nuccore/Y16780" TargetMode="External"/><Relationship Id="rId1044" Type="http://schemas.openxmlformats.org/officeDocument/2006/relationships/hyperlink" Target="https://www.ncbi.nlm.nih.gov/nuccore/AY077835" TargetMode="External"/><Relationship Id="rId1251" Type="http://schemas.openxmlformats.org/officeDocument/2006/relationships/hyperlink" Target="https://www.ncbi.nlm.nih.gov/nuccore/AY753185" TargetMode="External"/><Relationship Id="rId1349" Type="http://schemas.openxmlformats.org/officeDocument/2006/relationships/hyperlink" Target="https://www.ncbi.nlm.nih.gov/nuccore/AF325528" TargetMode="External"/><Relationship Id="rId260" Type="http://schemas.openxmlformats.org/officeDocument/2006/relationships/hyperlink" Target="https://www.ncbi.nlm.nih.gov/nuccore/AF438165" TargetMode="External"/><Relationship Id="rId719" Type="http://schemas.openxmlformats.org/officeDocument/2006/relationships/hyperlink" Target="https://www.ncbi.nlm.nih.gov/nuccore/U60315" TargetMode="External"/><Relationship Id="rId926" Type="http://schemas.openxmlformats.org/officeDocument/2006/relationships/hyperlink" Target="https://www.ncbi.nlm.nih.gov/nuccore/HF679134" TargetMode="External"/><Relationship Id="rId1111" Type="http://schemas.openxmlformats.org/officeDocument/2006/relationships/hyperlink" Target="https://www.ncbi.nlm.nih.gov/nuccore/MF678796" TargetMode="External"/><Relationship Id="rId55" Type="http://schemas.openxmlformats.org/officeDocument/2006/relationships/hyperlink" Target="https://www.ncbi.nlm.nih.gov/nuccore/HF679133" TargetMode="External"/><Relationship Id="rId120" Type="http://schemas.openxmlformats.org/officeDocument/2006/relationships/hyperlink" Target="https://www.ncbi.nlm.nih.gov/nuccore/HQ647181" TargetMode="External"/><Relationship Id="rId358" Type="http://schemas.openxmlformats.org/officeDocument/2006/relationships/hyperlink" Target="https://www.ncbi.nlm.nih.gov/nuccore/KJ859677" TargetMode="External"/><Relationship Id="rId565" Type="http://schemas.openxmlformats.org/officeDocument/2006/relationships/hyperlink" Target="https://www.ncbi.nlm.nih.gov/nuccore/AY386264" TargetMode="External"/><Relationship Id="rId772" Type="http://schemas.openxmlformats.org/officeDocument/2006/relationships/hyperlink" Target="https://www.ncbi.nlm.nih.gov/nuccore/AY689436" TargetMode="External"/><Relationship Id="rId1195" Type="http://schemas.openxmlformats.org/officeDocument/2006/relationships/hyperlink" Target="https://www.ncbi.nlm.nih.gov/nuccore/KU749310" TargetMode="External"/><Relationship Id="rId1209" Type="http://schemas.openxmlformats.org/officeDocument/2006/relationships/hyperlink" Target="https://www.ncbi.nlm.nih.gov/nuccore/AY386371" TargetMode="External"/><Relationship Id="rId1416" Type="http://schemas.openxmlformats.org/officeDocument/2006/relationships/hyperlink" Target="https://www.ncbi.nlm.nih.gov/nuccore/AF170722" TargetMode="External"/><Relationship Id="rId218" Type="http://schemas.openxmlformats.org/officeDocument/2006/relationships/hyperlink" Target="https://www.ncbi.nlm.nih.gov/nuccore/AY386265" TargetMode="External"/><Relationship Id="rId425" Type="http://schemas.openxmlformats.org/officeDocument/2006/relationships/hyperlink" Target="https://www.ncbi.nlm.nih.gov/nuccore/DQ356948" TargetMode="External"/><Relationship Id="rId632" Type="http://schemas.openxmlformats.org/officeDocument/2006/relationships/hyperlink" Target="https://www.ncbi.nlm.nih.gov/nuccore/AF063866" TargetMode="External"/><Relationship Id="rId1055" Type="http://schemas.openxmlformats.org/officeDocument/2006/relationships/hyperlink" Target="https://www.ncbi.nlm.nih.gov/nuccore/KJ801920" TargetMode="External"/><Relationship Id="rId1262" Type="http://schemas.openxmlformats.org/officeDocument/2006/relationships/hyperlink" Target="https://www.ncbi.nlm.nih.gov/nuccore/AY386264" TargetMode="External"/><Relationship Id="rId271" Type="http://schemas.openxmlformats.org/officeDocument/2006/relationships/hyperlink" Target="https://www.ncbi.nlm.nih.gov/nuccore/Y16780" TargetMode="External"/><Relationship Id="rId937" Type="http://schemas.openxmlformats.org/officeDocument/2006/relationships/hyperlink" Target="https://www.ncbi.nlm.nih.gov/nuccore/MF678796" TargetMode="External"/><Relationship Id="rId1122" Type="http://schemas.openxmlformats.org/officeDocument/2006/relationships/hyperlink" Target="https://www.ncbi.nlm.nih.gov/nuccore/AF170726" TargetMode="External"/><Relationship Id="rId66" Type="http://schemas.openxmlformats.org/officeDocument/2006/relationships/hyperlink" Target="https://www.ncbi.nlm.nih.gov/nuccore/KY747497" TargetMode="External"/><Relationship Id="rId131" Type="http://schemas.openxmlformats.org/officeDocument/2006/relationships/hyperlink" Target="https://www.ncbi.nlm.nih.gov/nuccore/AF325528" TargetMode="External"/><Relationship Id="rId369" Type="http://schemas.openxmlformats.org/officeDocument/2006/relationships/hyperlink" Target="https://www.ncbi.nlm.nih.gov/nuccore/AF170726" TargetMode="External"/><Relationship Id="rId576" Type="http://schemas.openxmlformats.org/officeDocument/2006/relationships/hyperlink" Target="https://www.ncbi.nlm.nih.gov/nuccore/HF679132" TargetMode="External"/><Relationship Id="rId783" Type="http://schemas.openxmlformats.org/officeDocument/2006/relationships/hyperlink" Target="https://www.ncbi.nlm.nih.gov/nuccore/AF482758" TargetMode="External"/><Relationship Id="rId990" Type="http://schemas.openxmlformats.org/officeDocument/2006/relationships/hyperlink" Target="https://www.ncbi.nlm.nih.gov/nuccore/HQ647181" TargetMode="External"/><Relationship Id="rId1427" Type="http://schemas.openxmlformats.org/officeDocument/2006/relationships/hyperlink" Target="https://www.ncbi.nlm.nih.gov/nuccore/AY753185" TargetMode="External"/><Relationship Id="rId229" Type="http://schemas.openxmlformats.org/officeDocument/2006/relationships/hyperlink" Target="https://www.ncbi.nlm.nih.gov/nuccore/AF250284" TargetMode="External"/><Relationship Id="rId436" Type="http://schemas.openxmlformats.org/officeDocument/2006/relationships/hyperlink" Target="https://www.ncbi.nlm.nih.gov/nuccore/AF012825" TargetMode="External"/><Relationship Id="rId643" Type="http://schemas.openxmlformats.org/officeDocument/2006/relationships/hyperlink" Target="https://www.ncbi.nlm.nih.gov/nuccore/KU980965" TargetMode="External"/><Relationship Id="rId1066" Type="http://schemas.openxmlformats.org/officeDocument/2006/relationships/hyperlink" Target="https://www.ncbi.nlm.nih.gov/nuccore/AF170726" TargetMode="External"/><Relationship Id="rId1273" Type="http://schemas.openxmlformats.org/officeDocument/2006/relationships/hyperlink" Target="https://www.ncbi.nlm.nih.gov/nuccore/HF679133" TargetMode="External"/><Relationship Id="rId850" Type="http://schemas.openxmlformats.org/officeDocument/2006/relationships/hyperlink" Target="https://www.ncbi.nlm.nih.gov/nuccore/X69198" TargetMode="External"/><Relationship Id="rId948" Type="http://schemas.openxmlformats.org/officeDocument/2006/relationships/hyperlink" Target="https://www.ncbi.nlm.nih.gov/nuccore/AF170726" TargetMode="External"/><Relationship Id="rId1133" Type="http://schemas.openxmlformats.org/officeDocument/2006/relationships/hyperlink" Target="https://www.ncbi.nlm.nih.gov/nuccore/AFH54685" TargetMode="External"/><Relationship Id="rId77" Type="http://schemas.openxmlformats.org/officeDocument/2006/relationships/hyperlink" Target="https://www.ncbi.nlm.nih.gov/nuccore/DQ356948" TargetMode="External"/><Relationship Id="rId282" Type="http://schemas.openxmlformats.org/officeDocument/2006/relationships/hyperlink" Target="https://www.ncbi.nlm.nih.gov/nuccore/AF063866" TargetMode="External"/><Relationship Id="rId503" Type="http://schemas.openxmlformats.org/officeDocument/2006/relationships/hyperlink" Target="https://www.ncbi.nlm.nih.gov/nuccore/Y16780" TargetMode="External"/><Relationship Id="rId587" Type="http://schemas.openxmlformats.org/officeDocument/2006/relationships/hyperlink" Target="https://www.ncbi.nlm.nih.gov/nuccore/HE601899" TargetMode="External"/><Relationship Id="rId710" Type="http://schemas.openxmlformats.org/officeDocument/2006/relationships/hyperlink" Target="https://www.ncbi.nlm.nih.gov/nuccore/AF198100" TargetMode="External"/><Relationship Id="rId808" Type="http://schemas.openxmlformats.org/officeDocument/2006/relationships/hyperlink" Target="https://www.ncbi.nlm.nih.gov/nuccore/HF679132" TargetMode="External"/><Relationship Id="rId1340" Type="http://schemas.openxmlformats.org/officeDocument/2006/relationships/hyperlink" Target="https://www.ncbi.nlm.nih.gov/nuccore/KT159937" TargetMode="External"/><Relationship Id="rId1438" Type="http://schemas.openxmlformats.org/officeDocument/2006/relationships/hyperlink" Target="https://www.ncbi.nlm.nih.gov/nuccore/AY386264" TargetMode="External"/><Relationship Id="rId8" Type="http://schemas.openxmlformats.org/officeDocument/2006/relationships/hyperlink" Target="https://www.ncbi.nlm.nih.gov/nuccore/KY747497" TargetMode="External"/><Relationship Id="rId142" Type="http://schemas.openxmlformats.org/officeDocument/2006/relationships/hyperlink" Target="https://www.ncbi.nlm.nih.gov/nuccore/DQ792504" TargetMode="External"/><Relationship Id="rId447" Type="http://schemas.openxmlformats.org/officeDocument/2006/relationships/hyperlink" Target="https://www.ncbi.nlm.nih.gov/nuccore/KY382358" TargetMode="External"/><Relationship Id="rId794" Type="http://schemas.openxmlformats.org/officeDocument/2006/relationships/hyperlink" Target="https://www.ncbi.nlm.nih.gov/nuccore/KU749311" TargetMode="External"/><Relationship Id="rId1077" Type="http://schemas.openxmlformats.org/officeDocument/2006/relationships/hyperlink" Target="https://www.ncbi.nlm.nih.gov/nuccore/AFH54685" TargetMode="External"/><Relationship Id="rId1200" Type="http://schemas.openxmlformats.org/officeDocument/2006/relationships/hyperlink" Target="https://www.ncbi.nlm.nih.gov/nuccore/KU749311" TargetMode="External"/><Relationship Id="rId654" Type="http://schemas.openxmlformats.org/officeDocument/2006/relationships/hyperlink" Target="https://www.ncbi.nlm.nih.gov/nuccore/AF325528" TargetMode="External"/><Relationship Id="rId861" Type="http://schemas.openxmlformats.org/officeDocument/2006/relationships/hyperlink" Target="https://www.ncbi.nlm.nih.gov/nuccore/AY386371" TargetMode="External"/><Relationship Id="rId959" Type="http://schemas.openxmlformats.org/officeDocument/2006/relationships/hyperlink" Target="https://www.ncbi.nlm.nih.gov/nuccore/AFH54685" TargetMode="External"/><Relationship Id="rId1284" Type="http://schemas.openxmlformats.org/officeDocument/2006/relationships/hyperlink" Target="https://www.ncbi.nlm.nih.gov/nuccore/KY747497" TargetMode="External"/><Relationship Id="rId293" Type="http://schemas.openxmlformats.org/officeDocument/2006/relationships/hyperlink" Target="https://www.ncbi.nlm.nih.gov/nuccore/KY094066" TargetMode="External"/><Relationship Id="rId307" Type="http://schemas.openxmlformats.org/officeDocument/2006/relationships/hyperlink" Target="https://www.ncbi.nlm.nih.gov/nuccore/HQ849551" TargetMode="External"/><Relationship Id="rId514" Type="http://schemas.openxmlformats.org/officeDocument/2006/relationships/hyperlink" Target="https://www.ncbi.nlm.nih.gov/nuccore/AF063866" TargetMode="External"/><Relationship Id="rId721" Type="http://schemas.openxmlformats.org/officeDocument/2006/relationships/hyperlink" Target="https://www.ncbi.nlm.nih.gov/nuccore/MH607141" TargetMode="External"/><Relationship Id="rId1144" Type="http://schemas.openxmlformats.org/officeDocument/2006/relationships/hyperlink" Target="https://www.ncbi.nlm.nih.gov/nuccore/AY386265" TargetMode="External"/><Relationship Id="rId1351" Type="http://schemas.openxmlformats.org/officeDocument/2006/relationships/hyperlink" Target="https://www.ncbi.nlm.nih.gov/nuccore/HQ849551" TargetMode="External"/><Relationship Id="rId1449" Type="http://schemas.openxmlformats.org/officeDocument/2006/relationships/hyperlink" Target="https://www.ncbi.nlm.nih.gov/nuccore/HF679133" TargetMode="External"/><Relationship Id="rId88" Type="http://schemas.openxmlformats.org/officeDocument/2006/relationships/hyperlink" Target="https://www.ncbi.nlm.nih.gov/nuccore/AF012825" TargetMode="External"/><Relationship Id="rId153" Type="http://schemas.openxmlformats.org/officeDocument/2006/relationships/hyperlink" Target="https://www.ncbi.nlm.nih.gov/nuccore/AY243312" TargetMode="External"/><Relationship Id="rId360" Type="http://schemas.openxmlformats.org/officeDocument/2006/relationships/hyperlink" Target="https://www.ncbi.nlm.nih.gov/nuccore/KP728110" TargetMode="External"/><Relationship Id="rId598" Type="http://schemas.openxmlformats.org/officeDocument/2006/relationships/hyperlink" Target="https://www.ncbi.nlm.nih.gov/nuccore/MF001304" TargetMode="External"/><Relationship Id="rId819" Type="http://schemas.openxmlformats.org/officeDocument/2006/relationships/hyperlink" Target="https://www.ncbi.nlm.nih.gov/nuccore/HE601899" TargetMode="External"/><Relationship Id="rId1004" Type="http://schemas.openxmlformats.org/officeDocument/2006/relationships/hyperlink" Target="https://www.ncbi.nlm.nih.gov/nuccore/AY689436" TargetMode="External"/><Relationship Id="rId1211" Type="http://schemas.openxmlformats.org/officeDocument/2006/relationships/hyperlink" Target="https://www.ncbi.nlm.nih.gov/nuccore/AP013055" TargetMode="External"/><Relationship Id="rId220" Type="http://schemas.openxmlformats.org/officeDocument/2006/relationships/hyperlink" Target="https://www.ncbi.nlm.nih.gov/nuccore/AY386264" TargetMode="External"/><Relationship Id="rId458" Type="http://schemas.openxmlformats.org/officeDocument/2006/relationships/hyperlink" Target="https://www.ncbi.nlm.nih.gov/nuccore/HF679131" TargetMode="External"/><Relationship Id="rId665" Type="http://schemas.openxmlformats.org/officeDocument/2006/relationships/hyperlink" Target="https://www.ncbi.nlm.nih.gov/nuccore/MH607141" TargetMode="External"/><Relationship Id="rId872" Type="http://schemas.openxmlformats.org/officeDocument/2006/relationships/hyperlink" Target="https://www.ncbi.nlm.nih.gov/nuccore/MH427217" TargetMode="External"/><Relationship Id="rId1088" Type="http://schemas.openxmlformats.org/officeDocument/2006/relationships/hyperlink" Target="https://www.ncbi.nlm.nih.gov/nuccore/AY386265" TargetMode="External"/><Relationship Id="rId1295" Type="http://schemas.openxmlformats.org/officeDocument/2006/relationships/hyperlink" Target="https://www.ncbi.nlm.nih.gov/nuccore/DQ356948" TargetMode="External"/><Relationship Id="rId1309" Type="http://schemas.openxmlformats.org/officeDocument/2006/relationships/hyperlink" Target="https://www.ncbi.nlm.nih.gov/nuccore/AY753185" TargetMode="External"/><Relationship Id="rId15" Type="http://schemas.openxmlformats.org/officeDocument/2006/relationships/hyperlink" Target="https://www.ncbi.nlm.nih.gov/nuccore/AF325528" TargetMode="External"/><Relationship Id="rId318" Type="http://schemas.openxmlformats.org/officeDocument/2006/relationships/hyperlink" Target="https://www.ncbi.nlm.nih.gov/nuccore/AF438165" TargetMode="External"/><Relationship Id="rId525" Type="http://schemas.openxmlformats.org/officeDocument/2006/relationships/hyperlink" Target="https://www.ncbi.nlm.nih.gov/nuccore/KY094066" TargetMode="External"/><Relationship Id="rId732" Type="http://schemas.openxmlformats.org/officeDocument/2006/relationships/hyperlink" Target="https://www.ncbi.nlm.nih.gov/nuccore/DQ437594" TargetMode="External"/><Relationship Id="rId1155" Type="http://schemas.openxmlformats.org/officeDocument/2006/relationships/hyperlink" Target="https://www.ncbi.nlm.nih.gov/nuccore/AF250284" TargetMode="External"/><Relationship Id="rId1362" Type="http://schemas.openxmlformats.org/officeDocument/2006/relationships/hyperlink" Target="https://www.ncbi.nlm.nih.gov/nuccore/AF438165" TargetMode="External"/><Relationship Id="rId99" Type="http://schemas.openxmlformats.org/officeDocument/2006/relationships/hyperlink" Target="https://www.ncbi.nlm.nih.gov/nuccore/KY382358" TargetMode="External"/><Relationship Id="rId164" Type="http://schemas.openxmlformats.org/officeDocument/2006/relationships/hyperlink" Target="https://www.ncbi.nlm.nih.gov/nuccore/AJ293568" TargetMode="External"/><Relationship Id="rId371" Type="http://schemas.openxmlformats.org/officeDocument/2006/relationships/hyperlink" Target="https://www.ncbi.nlm.nih.gov/nuccore/U60315" TargetMode="External"/><Relationship Id="rId1015" Type="http://schemas.openxmlformats.org/officeDocument/2006/relationships/hyperlink" Target="https://www.ncbi.nlm.nih.gov/nuccore/AF482758" TargetMode="External"/><Relationship Id="rId1222" Type="http://schemas.openxmlformats.org/officeDocument/2006/relationships/hyperlink" Target="https://www.ncbi.nlm.nih.gov/nuccore/HQ647181" TargetMode="External"/><Relationship Id="rId469" Type="http://schemas.openxmlformats.org/officeDocument/2006/relationships/hyperlink" Target="https://www.ncbi.nlm.nih.gov/nuccore/KU980965" TargetMode="External"/><Relationship Id="rId676" Type="http://schemas.openxmlformats.org/officeDocument/2006/relationships/hyperlink" Target="https://www.ncbi.nlm.nih.gov/nuccore/DQ437594" TargetMode="External"/><Relationship Id="rId883" Type="http://schemas.openxmlformats.org/officeDocument/2006/relationships/hyperlink" Target="https://www.ncbi.nlm.nih.gov/nuccore/AY318871" TargetMode="External"/><Relationship Id="rId1099" Type="http://schemas.openxmlformats.org/officeDocument/2006/relationships/hyperlink" Target="https://www.ncbi.nlm.nih.gov/nuccore/AF250284" TargetMode="External"/><Relationship Id="rId26" Type="http://schemas.openxmlformats.org/officeDocument/2006/relationships/hyperlink" Target="https://www.ncbi.nlm.nih.gov/nuccore/DQ792504" TargetMode="External"/><Relationship Id="rId231" Type="http://schemas.openxmlformats.org/officeDocument/2006/relationships/hyperlink" Target="https://www.ncbi.nlm.nih.gov/nuccore/HF679133" TargetMode="External"/><Relationship Id="rId329" Type="http://schemas.openxmlformats.org/officeDocument/2006/relationships/hyperlink" Target="https://www.ncbi.nlm.nih.gov/nuccore/Y16780" TargetMode="External"/><Relationship Id="rId536" Type="http://schemas.openxmlformats.org/officeDocument/2006/relationships/hyperlink" Target="https://www.ncbi.nlm.nih.gov/nuccore/AF198100" TargetMode="External"/><Relationship Id="rId1166" Type="http://schemas.openxmlformats.org/officeDocument/2006/relationships/hyperlink" Target="https://www.ncbi.nlm.nih.gov/nuccore/KT159937" TargetMode="External"/><Relationship Id="rId1373" Type="http://schemas.openxmlformats.org/officeDocument/2006/relationships/hyperlink" Target="https://www.ncbi.nlm.nih.gov/nuccore/Y16780" TargetMode="External"/><Relationship Id="rId175" Type="http://schemas.openxmlformats.org/officeDocument/2006/relationships/hyperlink" Target="https://www.ncbi.nlm.nih.gov/nuccore/MF467281" TargetMode="External"/><Relationship Id="rId743" Type="http://schemas.openxmlformats.org/officeDocument/2006/relationships/hyperlink" Target="https://www.ncbi.nlm.nih.gov/nuccore/AF410153" TargetMode="External"/><Relationship Id="rId950" Type="http://schemas.openxmlformats.org/officeDocument/2006/relationships/hyperlink" Target="https://www.ncbi.nlm.nih.gov/nuccore/AF170722" TargetMode="External"/><Relationship Id="rId1026" Type="http://schemas.openxmlformats.org/officeDocument/2006/relationships/hyperlink" Target="https://www.ncbi.nlm.nih.gov/nuccore/KU749311" TargetMode="External"/><Relationship Id="rId382" Type="http://schemas.openxmlformats.org/officeDocument/2006/relationships/hyperlink" Target="https://www.ncbi.nlm.nih.gov/nuccore/KP143769" TargetMode="External"/><Relationship Id="rId603" Type="http://schemas.openxmlformats.org/officeDocument/2006/relationships/hyperlink" Target="https://www.ncbi.nlm.nih.gov/nuccore/AF170726" TargetMode="External"/><Relationship Id="rId687" Type="http://schemas.openxmlformats.org/officeDocument/2006/relationships/hyperlink" Target="https://www.ncbi.nlm.nih.gov/nuccore/AF410153" TargetMode="External"/><Relationship Id="rId810" Type="http://schemas.openxmlformats.org/officeDocument/2006/relationships/hyperlink" Target="https://www.ncbi.nlm.nih.gov/nuccore/HF679134" TargetMode="External"/><Relationship Id="rId908" Type="http://schemas.openxmlformats.org/officeDocument/2006/relationships/hyperlink" Target="https://www.ncbi.nlm.nih.gov/nuccore/X69198" TargetMode="External"/><Relationship Id="rId1233" Type="http://schemas.openxmlformats.org/officeDocument/2006/relationships/hyperlink" Target="https://www.ncbi.nlm.nih.gov/nuccore/AF325528" TargetMode="External"/><Relationship Id="rId1440" Type="http://schemas.openxmlformats.org/officeDocument/2006/relationships/hyperlink" Target="https://www.ncbi.nlm.nih.gov/nuccore/GQ329670" TargetMode="External"/><Relationship Id="rId242" Type="http://schemas.openxmlformats.org/officeDocument/2006/relationships/hyperlink" Target="https://www.ncbi.nlm.nih.gov/nuccore/KJ859677" TargetMode="External"/><Relationship Id="rId894" Type="http://schemas.openxmlformats.org/officeDocument/2006/relationships/hyperlink" Target="https://www.ncbi.nlm.nih.gov/nuccore/MH816996" TargetMode="External"/><Relationship Id="rId1177" Type="http://schemas.openxmlformats.org/officeDocument/2006/relationships/hyperlink" Target="https://www.ncbi.nlm.nih.gov/nuccore/HQ849551" TargetMode="External"/><Relationship Id="rId1300" Type="http://schemas.openxmlformats.org/officeDocument/2006/relationships/hyperlink" Target="https://www.ncbi.nlm.nih.gov/nuccore/MH816996" TargetMode="External"/><Relationship Id="rId37" Type="http://schemas.openxmlformats.org/officeDocument/2006/relationships/hyperlink" Target="https://www.ncbi.nlm.nih.gov/nuccore/AY243312" TargetMode="External"/><Relationship Id="rId102" Type="http://schemas.openxmlformats.org/officeDocument/2006/relationships/hyperlink" Target="https://www.ncbi.nlm.nih.gov/nuccore/AY386264" TargetMode="External"/><Relationship Id="rId547" Type="http://schemas.openxmlformats.org/officeDocument/2006/relationships/hyperlink" Target="https://www.ncbi.nlm.nih.gov/nuccore/MH607141" TargetMode="External"/><Relationship Id="rId754" Type="http://schemas.openxmlformats.org/officeDocument/2006/relationships/hyperlink" Target="https://www.ncbi.nlm.nih.gov/nuccore/AY077835" TargetMode="External"/><Relationship Id="rId961" Type="http://schemas.openxmlformats.org/officeDocument/2006/relationships/hyperlink" Target="https://www.ncbi.nlm.nih.gov/nuccore/AY753185" TargetMode="External"/><Relationship Id="rId1384" Type="http://schemas.openxmlformats.org/officeDocument/2006/relationships/hyperlink" Target="https://www.ncbi.nlm.nih.gov/nuccore/AF063866" TargetMode="External"/><Relationship Id="rId90" Type="http://schemas.openxmlformats.org/officeDocument/2006/relationships/hyperlink" Target="https://www.ncbi.nlm.nih.gov/nuccore/AF380138" TargetMode="External"/><Relationship Id="rId186" Type="http://schemas.openxmlformats.org/officeDocument/2006/relationships/hyperlink" Target="https://www.ncbi.nlm.nih.gov/nuccore/KP728110" TargetMode="External"/><Relationship Id="rId393" Type="http://schemas.openxmlformats.org/officeDocument/2006/relationships/hyperlink" Target="https://www.ncbi.nlm.nih.gov/nuccore/KM502564" TargetMode="External"/><Relationship Id="rId407" Type="http://schemas.openxmlformats.org/officeDocument/2006/relationships/hyperlink" Target="https://www.ncbi.nlm.nih.gov/nuccore/MF467281" TargetMode="External"/><Relationship Id="rId614" Type="http://schemas.openxmlformats.org/officeDocument/2006/relationships/hyperlink" Target="https://www.ncbi.nlm.nih.gov/nuccore/AF380138" TargetMode="External"/><Relationship Id="rId821" Type="http://schemas.openxmlformats.org/officeDocument/2006/relationships/hyperlink" Target="https://www.ncbi.nlm.nih.gov/nuccore/MF678796" TargetMode="External"/><Relationship Id="rId1037" Type="http://schemas.openxmlformats.org/officeDocument/2006/relationships/hyperlink" Target="https://www.ncbi.nlm.nih.gov/nuccore/AP013055" TargetMode="External"/><Relationship Id="rId1244" Type="http://schemas.openxmlformats.org/officeDocument/2006/relationships/hyperlink" Target="https://www.ncbi.nlm.nih.gov/nuccore/DQ792504" TargetMode="External"/><Relationship Id="rId1451" Type="http://schemas.openxmlformats.org/officeDocument/2006/relationships/hyperlink" Target="https://www.ncbi.nlm.nih.gov/nuccore/MF467280" TargetMode="External"/><Relationship Id="rId253" Type="http://schemas.openxmlformats.org/officeDocument/2006/relationships/hyperlink" Target="https://www.ncbi.nlm.nih.gov/nuccore/AF170726" TargetMode="External"/><Relationship Id="rId460" Type="http://schemas.openxmlformats.org/officeDocument/2006/relationships/hyperlink" Target="https://www.ncbi.nlm.nih.gov/nuccore/HF679132" TargetMode="External"/><Relationship Id="rId698" Type="http://schemas.openxmlformats.org/officeDocument/2006/relationships/hyperlink" Target="https://www.ncbi.nlm.nih.gov/nuccore/MH427217" TargetMode="External"/><Relationship Id="rId919" Type="http://schemas.openxmlformats.org/officeDocument/2006/relationships/hyperlink" Target="https://www.ncbi.nlm.nih.gov/nuccore/AY386371" TargetMode="External"/><Relationship Id="rId1090" Type="http://schemas.openxmlformats.org/officeDocument/2006/relationships/hyperlink" Target="https://www.ncbi.nlm.nih.gov/nuccore/AY386264" TargetMode="External"/><Relationship Id="rId1104" Type="http://schemas.openxmlformats.org/officeDocument/2006/relationships/hyperlink" Target="https://www.ncbi.nlm.nih.gov/nuccore/MH427217" TargetMode="External"/><Relationship Id="rId1311" Type="http://schemas.openxmlformats.org/officeDocument/2006/relationships/hyperlink" Target="https://www.ncbi.nlm.nih.gov/nuccore/KU749310" TargetMode="External"/><Relationship Id="rId48" Type="http://schemas.openxmlformats.org/officeDocument/2006/relationships/hyperlink" Target="https://www.ncbi.nlm.nih.gov/nuccore/AJ293568" TargetMode="External"/><Relationship Id="rId113" Type="http://schemas.openxmlformats.org/officeDocument/2006/relationships/hyperlink" Target="https://www.ncbi.nlm.nih.gov/nuccore/HF679133" TargetMode="External"/><Relationship Id="rId320" Type="http://schemas.openxmlformats.org/officeDocument/2006/relationships/hyperlink" Target="https://www.ncbi.nlm.nih.gov/nuccore/AF012825" TargetMode="External"/><Relationship Id="rId558" Type="http://schemas.openxmlformats.org/officeDocument/2006/relationships/hyperlink" Target="https://www.ncbi.nlm.nih.gov/nuccore/DQ437594" TargetMode="External"/><Relationship Id="rId765" Type="http://schemas.openxmlformats.org/officeDocument/2006/relationships/hyperlink" Target="https://www.ncbi.nlm.nih.gov/nuccore/KJ801920" TargetMode="External"/><Relationship Id="rId972" Type="http://schemas.openxmlformats.org/officeDocument/2006/relationships/hyperlink" Target="https://www.ncbi.nlm.nih.gov/nuccore/AY386264" TargetMode="External"/><Relationship Id="rId1188" Type="http://schemas.openxmlformats.org/officeDocument/2006/relationships/hyperlink" Target="https://www.ncbi.nlm.nih.gov/nuccore/AF438165" TargetMode="External"/><Relationship Id="rId1395" Type="http://schemas.openxmlformats.org/officeDocument/2006/relationships/hyperlink" Target="https://www.ncbi.nlm.nih.gov/nuccore/KY094066" TargetMode="External"/><Relationship Id="rId1409" Type="http://schemas.openxmlformats.org/officeDocument/2006/relationships/hyperlink" Target="https://www.ncbi.nlm.nih.gov/nuccore/AY077832" TargetMode="External"/><Relationship Id="rId197" Type="http://schemas.openxmlformats.org/officeDocument/2006/relationships/hyperlink" Target="https://www.ncbi.nlm.nih.gov/nuccore/AF170726" TargetMode="External"/><Relationship Id="rId418" Type="http://schemas.openxmlformats.org/officeDocument/2006/relationships/hyperlink" Target="https://www.ncbi.nlm.nih.gov/nuccore/KP728110" TargetMode="External"/><Relationship Id="rId625" Type="http://schemas.openxmlformats.org/officeDocument/2006/relationships/hyperlink" Target="https://www.ncbi.nlm.nih.gov/nuccore/AY386264" TargetMode="External"/><Relationship Id="rId832" Type="http://schemas.openxmlformats.org/officeDocument/2006/relationships/hyperlink" Target="https://www.ncbi.nlm.nih.gov/nuccore/AF170726" TargetMode="External"/><Relationship Id="rId1048" Type="http://schemas.openxmlformats.org/officeDocument/2006/relationships/hyperlink" Target="https://www.ncbi.nlm.nih.gov/nuccore/HQ647181" TargetMode="External"/><Relationship Id="rId1255" Type="http://schemas.openxmlformats.org/officeDocument/2006/relationships/hyperlink" Target="https://www.ncbi.nlm.nih.gov/nuccore/AY243312" TargetMode="External"/><Relationship Id="rId1462" Type="http://schemas.openxmlformats.org/officeDocument/2006/relationships/hyperlink" Target="https://www.ncbi.nlm.nih.gov/nuccore/MF467280" TargetMode="External"/><Relationship Id="rId264" Type="http://schemas.openxmlformats.org/officeDocument/2006/relationships/hyperlink" Target="https://www.ncbi.nlm.nih.gov/nuccore/AF380138" TargetMode="External"/><Relationship Id="rId471" Type="http://schemas.openxmlformats.org/officeDocument/2006/relationships/hyperlink" Target="https://www.ncbi.nlm.nih.gov/nuccore/HE601899" TargetMode="External"/><Relationship Id="rId1115" Type="http://schemas.openxmlformats.org/officeDocument/2006/relationships/hyperlink" Target="https://www.ncbi.nlm.nih.gov/nuccore/AY318871" TargetMode="External"/><Relationship Id="rId1322" Type="http://schemas.openxmlformats.org/officeDocument/2006/relationships/hyperlink" Target="https://www.ncbi.nlm.nih.gov/nuccore/GQ329670" TargetMode="External"/><Relationship Id="rId59" Type="http://schemas.openxmlformats.org/officeDocument/2006/relationships/hyperlink" Target="https://www.ncbi.nlm.nih.gov/nuccore/MF467281" TargetMode="External"/><Relationship Id="rId124" Type="http://schemas.openxmlformats.org/officeDocument/2006/relationships/hyperlink" Target="https://www.ncbi.nlm.nih.gov/nuccore/KY747497" TargetMode="External"/><Relationship Id="rId569" Type="http://schemas.openxmlformats.org/officeDocument/2006/relationships/hyperlink" Target="https://www.ncbi.nlm.nih.gov/nuccore/AF410153" TargetMode="External"/><Relationship Id="rId776" Type="http://schemas.openxmlformats.org/officeDocument/2006/relationships/hyperlink" Target="https://www.ncbi.nlm.nih.gov/nuccore/AF170722" TargetMode="External"/><Relationship Id="rId983" Type="http://schemas.openxmlformats.org/officeDocument/2006/relationships/hyperlink" Target="https://www.ncbi.nlm.nih.gov/nuccore/HF679133" TargetMode="External"/><Relationship Id="rId1199" Type="http://schemas.openxmlformats.org/officeDocument/2006/relationships/hyperlink" Target="https://www.ncbi.nlm.nih.gov/nuccore/Y16780" TargetMode="External"/><Relationship Id="rId331" Type="http://schemas.openxmlformats.org/officeDocument/2006/relationships/hyperlink" Target="https://www.ncbi.nlm.nih.gov/nuccore/KY382358" TargetMode="External"/><Relationship Id="rId429" Type="http://schemas.openxmlformats.org/officeDocument/2006/relationships/hyperlink" Target="https://www.ncbi.nlm.nih.gov/nuccore/U60315" TargetMode="External"/><Relationship Id="rId636" Type="http://schemas.openxmlformats.org/officeDocument/2006/relationships/hyperlink" Target="https://www.ncbi.nlm.nih.gov/nuccore/HF679132" TargetMode="External"/><Relationship Id="rId1059" Type="http://schemas.openxmlformats.org/officeDocument/2006/relationships/hyperlink" Target="https://www.ncbi.nlm.nih.gov/nuccore/AY077835" TargetMode="External"/><Relationship Id="rId1266" Type="http://schemas.openxmlformats.org/officeDocument/2006/relationships/hyperlink" Target="https://www.ncbi.nlm.nih.gov/nuccore/AJ293568" TargetMode="External"/><Relationship Id="rId1473" Type="http://schemas.openxmlformats.org/officeDocument/2006/relationships/hyperlink" Target="https://www.ncbi.nlm.nih.gov/nuccore/MF467280" TargetMode="External"/><Relationship Id="rId843" Type="http://schemas.openxmlformats.org/officeDocument/2006/relationships/hyperlink" Target="https://www.ncbi.nlm.nih.gov/nuccore/AFH54685" TargetMode="External"/><Relationship Id="rId1126" Type="http://schemas.openxmlformats.org/officeDocument/2006/relationships/hyperlink" Target="https://www.ncbi.nlm.nih.gov/nuccore/MH816996" TargetMode="External"/><Relationship Id="rId275" Type="http://schemas.openxmlformats.org/officeDocument/2006/relationships/hyperlink" Target="https://www.ncbi.nlm.nih.gov/nuccore/AY386264" TargetMode="External"/><Relationship Id="rId482" Type="http://schemas.openxmlformats.org/officeDocument/2006/relationships/hyperlink" Target="https://www.ncbi.nlm.nih.gov/nuccore/AY689436" TargetMode="External"/><Relationship Id="rId703" Type="http://schemas.openxmlformats.org/officeDocument/2006/relationships/hyperlink" Target="https://www.ncbi.nlm.nih.gov/nuccore/HE601899" TargetMode="External"/><Relationship Id="rId910" Type="http://schemas.openxmlformats.org/officeDocument/2006/relationships/hyperlink" Target="https://www.ncbi.nlm.nih.gov/nuccore/KU749311" TargetMode="External"/><Relationship Id="rId1333" Type="http://schemas.openxmlformats.org/officeDocument/2006/relationships/hyperlink" Target="https://www.ncbi.nlm.nih.gov/nuccore/AY077832" TargetMode="External"/><Relationship Id="rId135" Type="http://schemas.openxmlformats.org/officeDocument/2006/relationships/hyperlink" Target="https://www.ncbi.nlm.nih.gov/nuccore/DQ356948" TargetMode="External"/><Relationship Id="rId342" Type="http://schemas.openxmlformats.org/officeDocument/2006/relationships/hyperlink" Target="https://www.ncbi.nlm.nih.gov/nuccore/HF679131" TargetMode="External"/><Relationship Id="rId787" Type="http://schemas.openxmlformats.org/officeDocument/2006/relationships/hyperlink" Target="https://www.ncbi.nlm.nih.gov/nuccore/AY753185" TargetMode="External"/><Relationship Id="rId994" Type="http://schemas.openxmlformats.org/officeDocument/2006/relationships/hyperlink" Target="https://www.ncbi.nlm.nih.gov/nuccore/KY747497" TargetMode="External"/><Relationship Id="rId1400" Type="http://schemas.openxmlformats.org/officeDocument/2006/relationships/hyperlink" Target="https://www.ncbi.nlm.nih.gov/nuccore/KY747497" TargetMode="External"/><Relationship Id="rId202" Type="http://schemas.openxmlformats.org/officeDocument/2006/relationships/hyperlink" Target="https://www.ncbi.nlm.nih.gov/nuccore/DQ792504" TargetMode="External"/><Relationship Id="rId647" Type="http://schemas.openxmlformats.org/officeDocument/2006/relationships/hyperlink" Target="https://www.ncbi.nlm.nih.gov/nuccore/MF678796" TargetMode="External"/><Relationship Id="rId854" Type="http://schemas.openxmlformats.org/officeDocument/2006/relationships/hyperlink" Target="https://www.ncbi.nlm.nih.gov/nuccore/AY386265" TargetMode="External"/><Relationship Id="rId1277" Type="http://schemas.openxmlformats.org/officeDocument/2006/relationships/hyperlink" Target="https://www.ncbi.nlm.nih.gov/nuccore/MF467281" TargetMode="External"/><Relationship Id="rId286" Type="http://schemas.openxmlformats.org/officeDocument/2006/relationships/hyperlink" Target="https://www.ncbi.nlm.nih.gov/nuccore/HF679132" TargetMode="External"/><Relationship Id="rId493" Type="http://schemas.openxmlformats.org/officeDocument/2006/relationships/hyperlink" Target="https://www.ncbi.nlm.nih.gov/nuccore/AF482758" TargetMode="External"/><Relationship Id="rId507" Type="http://schemas.openxmlformats.org/officeDocument/2006/relationships/hyperlink" Target="https://www.ncbi.nlm.nih.gov/nuccore/AY386264" TargetMode="External"/><Relationship Id="rId714" Type="http://schemas.openxmlformats.org/officeDocument/2006/relationships/hyperlink" Target="https://www.ncbi.nlm.nih.gov/nuccore/AY689436" TargetMode="External"/><Relationship Id="rId921" Type="http://schemas.openxmlformats.org/officeDocument/2006/relationships/hyperlink" Target="https://www.ncbi.nlm.nih.gov/nuccore/AP013055" TargetMode="External"/><Relationship Id="rId1137" Type="http://schemas.openxmlformats.org/officeDocument/2006/relationships/hyperlink" Target="https://www.ncbi.nlm.nih.gov/nuccore/KU749310" TargetMode="External"/><Relationship Id="rId1344" Type="http://schemas.openxmlformats.org/officeDocument/2006/relationships/hyperlink" Target="https://www.ncbi.nlm.nih.gov/nuccore/KJ859677" TargetMode="External"/><Relationship Id="rId50" Type="http://schemas.openxmlformats.org/officeDocument/2006/relationships/hyperlink" Target="https://www.ncbi.nlm.nih.gov/nuccore/AF063866" TargetMode="External"/><Relationship Id="rId146" Type="http://schemas.openxmlformats.org/officeDocument/2006/relationships/hyperlink" Target="https://www.ncbi.nlm.nih.gov/nuccore/AF012825" TargetMode="External"/><Relationship Id="rId353" Type="http://schemas.openxmlformats.org/officeDocument/2006/relationships/hyperlink" Target="https://www.ncbi.nlm.nih.gov/nuccore/KU980965" TargetMode="External"/><Relationship Id="rId560" Type="http://schemas.openxmlformats.org/officeDocument/2006/relationships/hyperlink" Target="https://www.ncbi.nlm.nih.gov/nuccore/X69198" TargetMode="External"/><Relationship Id="rId798" Type="http://schemas.openxmlformats.org/officeDocument/2006/relationships/hyperlink" Target="https://www.ncbi.nlm.nih.gov/nuccore/AY386264" TargetMode="External"/><Relationship Id="rId1190" Type="http://schemas.openxmlformats.org/officeDocument/2006/relationships/hyperlink" Target="https://www.ncbi.nlm.nih.gov/nuccore/AF012825" TargetMode="External"/><Relationship Id="rId1204" Type="http://schemas.openxmlformats.org/officeDocument/2006/relationships/hyperlink" Target="https://www.ncbi.nlm.nih.gov/nuccore/AY386264" TargetMode="External"/><Relationship Id="rId1411" Type="http://schemas.openxmlformats.org/officeDocument/2006/relationships/hyperlink" Target="https://www.ncbi.nlm.nih.gov/nuccore/HQ849551" TargetMode="External"/><Relationship Id="rId213" Type="http://schemas.openxmlformats.org/officeDocument/2006/relationships/hyperlink" Target="https://www.ncbi.nlm.nih.gov/nuccore/AY243312" TargetMode="External"/><Relationship Id="rId420" Type="http://schemas.openxmlformats.org/officeDocument/2006/relationships/hyperlink" Target="https://www.ncbi.nlm.nih.gov/nuccore/AF198100" TargetMode="External"/><Relationship Id="rId658" Type="http://schemas.openxmlformats.org/officeDocument/2006/relationships/hyperlink" Target="https://www.ncbi.nlm.nih.gov/nuccore/AY689436" TargetMode="External"/><Relationship Id="rId865" Type="http://schemas.openxmlformats.org/officeDocument/2006/relationships/hyperlink" Target="https://www.ncbi.nlm.nih.gov/nuccore/AF250284" TargetMode="External"/><Relationship Id="rId1050" Type="http://schemas.openxmlformats.org/officeDocument/2006/relationships/hyperlink" Target="https://www.ncbi.nlm.nih.gov/nuccore/KT159937" TargetMode="External"/><Relationship Id="rId1288" Type="http://schemas.openxmlformats.org/officeDocument/2006/relationships/hyperlink" Target="https://www.ncbi.nlm.nih.gov/nuccore/KP728110" TargetMode="External"/><Relationship Id="rId297" Type="http://schemas.openxmlformats.org/officeDocument/2006/relationships/hyperlink" Target="https://www.ncbi.nlm.nih.gov/nuccore/HE601899" TargetMode="External"/><Relationship Id="rId518" Type="http://schemas.openxmlformats.org/officeDocument/2006/relationships/hyperlink" Target="https://www.ncbi.nlm.nih.gov/nuccore/HF679132" TargetMode="External"/><Relationship Id="rId725" Type="http://schemas.openxmlformats.org/officeDocument/2006/relationships/hyperlink" Target="https://www.ncbi.nlm.nih.gov/nuccore/AF482758" TargetMode="External"/><Relationship Id="rId932" Type="http://schemas.openxmlformats.org/officeDocument/2006/relationships/hyperlink" Target="https://www.ncbi.nlm.nih.gov/nuccore/HQ647181" TargetMode="External"/><Relationship Id="rId1148" Type="http://schemas.openxmlformats.org/officeDocument/2006/relationships/hyperlink" Target="https://www.ncbi.nlm.nih.gov/nuccore/GQ329670" TargetMode="External"/><Relationship Id="rId1355" Type="http://schemas.openxmlformats.org/officeDocument/2006/relationships/hyperlink" Target="https://www.ncbi.nlm.nih.gov/nuccore/AF170726" TargetMode="External"/><Relationship Id="rId157" Type="http://schemas.openxmlformats.org/officeDocument/2006/relationships/hyperlink" Target="https://www.ncbi.nlm.nih.gov/nuccore/KY382358" TargetMode="External"/><Relationship Id="rId364" Type="http://schemas.openxmlformats.org/officeDocument/2006/relationships/hyperlink" Target="https://www.ncbi.nlm.nih.gov/nuccore/MF001304" TargetMode="External"/><Relationship Id="rId1008" Type="http://schemas.openxmlformats.org/officeDocument/2006/relationships/hyperlink" Target="https://www.ncbi.nlm.nih.gov/nuccore/AF170722" TargetMode="External"/><Relationship Id="rId1215" Type="http://schemas.openxmlformats.org/officeDocument/2006/relationships/hyperlink" Target="https://www.ncbi.nlm.nih.gov/nuccore/HF679133" TargetMode="External"/><Relationship Id="rId1422" Type="http://schemas.openxmlformats.org/officeDocument/2006/relationships/hyperlink" Target="https://www.ncbi.nlm.nih.gov/nuccore/AF438165" TargetMode="External"/><Relationship Id="rId61" Type="http://schemas.openxmlformats.org/officeDocument/2006/relationships/hyperlink" Target="https://www.ncbi.nlm.nih.gov/nuccore/KY094066" TargetMode="External"/><Relationship Id="rId571" Type="http://schemas.openxmlformats.org/officeDocument/2006/relationships/hyperlink" Target="https://www.ncbi.nlm.nih.gov/nuccore/AY386371" TargetMode="External"/><Relationship Id="rId669" Type="http://schemas.openxmlformats.org/officeDocument/2006/relationships/hyperlink" Target="https://www.ncbi.nlm.nih.gov/nuccore/AF482758" TargetMode="External"/><Relationship Id="rId876" Type="http://schemas.openxmlformats.org/officeDocument/2006/relationships/hyperlink" Target="https://www.ncbi.nlm.nih.gov/nuccore/KT159937" TargetMode="External"/><Relationship Id="rId1299" Type="http://schemas.openxmlformats.org/officeDocument/2006/relationships/hyperlink" Target="https://www.ncbi.nlm.nih.gov/nuccore/U60315" TargetMode="External"/><Relationship Id="rId19" Type="http://schemas.openxmlformats.org/officeDocument/2006/relationships/hyperlink" Target="https://www.ncbi.nlm.nih.gov/nuccore/DQ356948" TargetMode="External"/><Relationship Id="rId224" Type="http://schemas.openxmlformats.org/officeDocument/2006/relationships/hyperlink" Target="https://www.ncbi.nlm.nih.gov/nuccore/AJ293568" TargetMode="External"/><Relationship Id="rId431" Type="http://schemas.openxmlformats.org/officeDocument/2006/relationships/hyperlink" Target="https://www.ncbi.nlm.nih.gov/nuccore/MH607141" TargetMode="External"/><Relationship Id="rId529" Type="http://schemas.openxmlformats.org/officeDocument/2006/relationships/hyperlink" Target="https://www.ncbi.nlm.nih.gov/nuccore/HE601899" TargetMode="External"/><Relationship Id="rId736" Type="http://schemas.openxmlformats.org/officeDocument/2006/relationships/hyperlink" Target="https://www.ncbi.nlm.nih.gov/nuccore/KU749311" TargetMode="External"/><Relationship Id="rId1061" Type="http://schemas.openxmlformats.org/officeDocument/2006/relationships/hyperlink" Target="https://www.ncbi.nlm.nih.gov/nuccore/AY077832" TargetMode="External"/><Relationship Id="rId1159" Type="http://schemas.openxmlformats.org/officeDocument/2006/relationships/hyperlink" Target="https://www.ncbi.nlm.nih.gov/nuccore/AY077835" TargetMode="External"/><Relationship Id="rId1366" Type="http://schemas.openxmlformats.org/officeDocument/2006/relationships/hyperlink" Target="https://www.ncbi.nlm.nih.gov/nuccore/AF380138" TargetMode="External"/><Relationship Id="rId168" Type="http://schemas.openxmlformats.org/officeDocument/2006/relationships/hyperlink" Target="https://www.ncbi.nlm.nih.gov/nuccore/HF679131" TargetMode="External"/><Relationship Id="rId943" Type="http://schemas.openxmlformats.org/officeDocument/2006/relationships/hyperlink" Target="https://www.ncbi.nlm.nih.gov/nuccore/AF325528" TargetMode="External"/><Relationship Id="rId1019" Type="http://schemas.openxmlformats.org/officeDocument/2006/relationships/hyperlink" Target="https://www.ncbi.nlm.nih.gov/nuccore/AY753185" TargetMode="External"/><Relationship Id="rId72" Type="http://schemas.openxmlformats.org/officeDocument/2006/relationships/hyperlink" Target="https://www.ncbi.nlm.nih.gov/nuccore/AF198100" TargetMode="External"/><Relationship Id="rId375" Type="http://schemas.openxmlformats.org/officeDocument/2006/relationships/hyperlink" Target="https://www.ncbi.nlm.nih.gov/nuccore/AY009089" TargetMode="External"/><Relationship Id="rId582" Type="http://schemas.openxmlformats.org/officeDocument/2006/relationships/hyperlink" Target="https://www.ncbi.nlm.nih.gov/nuccore/MH427217" TargetMode="External"/><Relationship Id="rId803" Type="http://schemas.openxmlformats.org/officeDocument/2006/relationships/hyperlink" Target="https://www.ncbi.nlm.nih.gov/nuccore/AY386371" TargetMode="External"/><Relationship Id="rId1226" Type="http://schemas.openxmlformats.org/officeDocument/2006/relationships/hyperlink" Target="https://www.ncbi.nlm.nih.gov/nuccore/KY747497" TargetMode="External"/><Relationship Id="rId1433" Type="http://schemas.openxmlformats.org/officeDocument/2006/relationships/hyperlink" Target="https://www.ncbi.nlm.nih.gov/nuccore/Y16780" TargetMode="External"/><Relationship Id="rId3" Type="http://schemas.openxmlformats.org/officeDocument/2006/relationships/hyperlink" Target="https://www.ncbi.nlm.nih.gov/nuccore/KY094066" TargetMode="External"/><Relationship Id="rId235" Type="http://schemas.openxmlformats.org/officeDocument/2006/relationships/hyperlink" Target="https://www.ncbi.nlm.nih.gov/nuccore/KY094066" TargetMode="External"/><Relationship Id="rId442" Type="http://schemas.openxmlformats.org/officeDocument/2006/relationships/hyperlink" Target="https://www.ncbi.nlm.nih.gov/nuccore/DQ437594" TargetMode="External"/><Relationship Id="rId887" Type="http://schemas.openxmlformats.org/officeDocument/2006/relationships/hyperlink" Target="https://www.ncbi.nlm.nih.gov/nuccore/HQ849551" TargetMode="External"/><Relationship Id="rId1072" Type="http://schemas.openxmlformats.org/officeDocument/2006/relationships/hyperlink" Target="https://www.ncbi.nlm.nih.gov/nuccore/DQ792504" TargetMode="External"/><Relationship Id="rId302" Type="http://schemas.openxmlformats.org/officeDocument/2006/relationships/hyperlink" Target="https://www.ncbi.nlm.nih.gov/nuccore/KP728110" TargetMode="External"/><Relationship Id="rId747" Type="http://schemas.openxmlformats.org/officeDocument/2006/relationships/hyperlink" Target="https://www.ncbi.nlm.nih.gov/nuccore/AP013055" TargetMode="External"/><Relationship Id="rId954" Type="http://schemas.openxmlformats.org/officeDocument/2006/relationships/hyperlink" Target="https://www.ncbi.nlm.nih.gov/nuccore/DQ792504" TargetMode="External"/><Relationship Id="rId1377" Type="http://schemas.openxmlformats.org/officeDocument/2006/relationships/hyperlink" Target="https://www.ncbi.nlm.nih.gov/nuccore/AY386264" TargetMode="External"/><Relationship Id="rId83" Type="http://schemas.openxmlformats.org/officeDocument/2006/relationships/hyperlink" Target="https://www.ncbi.nlm.nih.gov/nuccore/MH607141" TargetMode="External"/><Relationship Id="rId179" Type="http://schemas.openxmlformats.org/officeDocument/2006/relationships/hyperlink" Target="https://www.ncbi.nlm.nih.gov/nuccore/KU980965" TargetMode="External"/><Relationship Id="rId386" Type="http://schemas.openxmlformats.org/officeDocument/2006/relationships/hyperlink" Target="https://www.ncbi.nlm.nih.gov/nuccore/X69198" TargetMode="External"/><Relationship Id="rId593" Type="http://schemas.openxmlformats.org/officeDocument/2006/relationships/hyperlink" Target="https://www.ncbi.nlm.nih.gov/nuccore/AY318871" TargetMode="External"/><Relationship Id="rId607" Type="http://schemas.openxmlformats.org/officeDocument/2006/relationships/hyperlink" Target="https://www.ncbi.nlm.nih.gov/nuccore/MH607141" TargetMode="External"/><Relationship Id="rId814" Type="http://schemas.openxmlformats.org/officeDocument/2006/relationships/hyperlink" Target="https://www.ncbi.nlm.nih.gov/nuccore/MH427217" TargetMode="External"/><Relationship Id="rId1237" Type="http://schemas.openxmlformats.org/officeDocument/2006/relationships/hyperlink" Target="https://www.ncbi.nlm.nih.gov/nuccore/DQ356948" TargetMode="External"/><Relationship Id="rId1444" Type="http://schemas.openxmlformats.org/officeDocument/2006/relationships/hyperlink" Target="https://www.ncbi.nlm.nih.gov/nuccore/AF063866" TargetMode="External"/><Relationship Id="rId246" Type="http://schemas.openxmlformats.org/officeDocument/2006/relationships/hyperlink" Target="https://www.ncbi.nlm.nih.gov/nuccore/AF198100" TargetMode="External"/><Relationship Id="rId453" Type="http://schemas.openxmlformats.org/officeDocument/2006/relationships/hyperlink" Target="https://www.ncbi.nlm.nih.gov/nuccore/AF410153" TargetMode="External"/><Relationship Id="rId660" Type="http://schemas.openxmlformats.org/officeDocument/2006/relationships/hyperlink" Target="https://www.ncbi.nlm.nih.gov/nuccore/AF170726" TargetMode="External"/><Relationship Id="rId898" Type="http://schemas.openxmlformats.org/officeDocument/2006/relationships/hyperlink" Target="https://www.ncbi.nlm.nih.gov/nuccore/AF438165" TargetMode="External"/><Relationship Id="rId1083" Type="http://schemas.openxmlformats.org/officeDocument/2006/relationships/hyperlink" Target="https://www.ncbi.nlm.nih.gov/nuccore/AY243312" TargetMode="External"/><Relationship Id="rId1290" Type="http://schemas.openxmlformats.org/officeDocument/2006/relationships/hyperlink" Target="https://www.ncbi.nlm.nih.gov/nuccore/AF198100" TargetMode="External"/><Relationship Id="rId1304" Type="http://schemas.openxmlformats.org/officeDocument/2006/relationships/hyperlink" Target="https://www.ncbi.nlm.nih.gov/nuccore/AF438165" TargetMode="External"/><Relationship Id="rId106" Type="http://schemas.openxmlformats.org/officeDocument/2006/relationships/hyperlink" Target="https://www.ncbi.nlm.nih.gov/nuccore/AJ293568" TargetMode="External"/><Relationship Id="rId313" Type="http://schemas.openxmlformats.org/officeDocument/2006/relationships/hyperlink" Target="https://www.ncbi.nlm.nih.gov/nuccore/U60315" TargetMode="External"/><Relationship Id="rId758" Type="http://schemas.openxmlformats.org/officeDocument/2006/relationships/hyperlink" Target="https://www.ncbi.nlm.nih.gov/nuccore/HQ647181" TargetMode="External"/><Relationship Id="rId965" Type="http://schemas.openxmlformats.org/officeDocument/2006/relationships/hyperlink" Target="https://www.ncbi.nlm.nih.gov/nuccore/AY243312" TargetMode="External"/><Relationship Id="rId1150" Type="http://schemas.openxmlformats.org/officeDocument/2006/relationships/hyperlink" Target="https://www.ncbi.nlm.nih.gov/nuccore/AJ293568" TargetMode="External"/><Relationship Id="rId1388" Type="http://schemas.openxmlformats.org/officeDocument/2006/relationships/hyperlink" Target="https://www.ncbi.nlm.nih.gov/nuccore/HF679132" TargetMode="External"/><Relationship Id="rId10" Type="http://schemas.openxmlformats.org/officeDocument/2006/relationships/hyperlink" Target="https://www.ncbi.nlm.nih.gov/nuccore/KJ859677" TargetMode="External"/><Relationship Id="rId94" Type="http://schemas.openxmlformats.org/officeDocument/2006/relationships/hyperlink" Target="https://www.ncbi.nlm.nih.gov/nuccore/DQ437594" TargetMode="External"/><Relationship Id="rId397" Type="http://schemas.openxmlformats.org/officeDocument/2006/relationships/hyperlink" Target="https://www.ncbi.nlm.nih.gov/nuccore/AY386371" TargetMode="External"/><Relationship Id="rId520" Type="http://schemas.openxmlformats.org/officeDocument/2006/relationships/hyperlink" Target="https://www.ncbi.nlm.nih.gov/nuccore/HF679134" TargetMode="External"/><Relationship Id="rId618" Type="http://schemas.openxmlformats.org/officeDocument/2006/relationships/hyperlink" Target="https://www.ncbi.nlm.nih.gov/nuccore/DQ437594" TargetMode="External"/><Relationship Id="rId825" Type="http://schemas.openxmlformats.org/officeDocument/2006/relationships/hyperlink" Target="https://www.ncbi.nlm.nih.gov/nuccore/AY318871" TargetMode="External"/><Relationship Id="rId1248" Type="http://schemas.openxmlformats.org/officeDocument/2006/relationships/hyperlink" Target="https://www.ncbi.nlm.nih.gov/nuccore/AF012825" TargetMode="External"/><Relationship Id="rId1455" Type="http://schemas.openxmlformats.org/officeDocument/2006/relationships/hyperlink" Target="https://www.ncbi.nlm.nih.gov/nuccore/MF467280" TargetMode="External"/><Relationship Id="rId257" Type="http://schemas.openxmlformats.org/officeDocument/2006/relationships/hyperlink" Target="https://www.ncbi.nlm.nih.gov/nuccore/MH607141" TargetMode="External"/><Relationship Id="rId464" Type="http://schemas.openxmlformats.org/officeDocument/2006/relationships/hyperlink" Target="https://www.ncbi.nlm.nih.gov/nuccore/AY077835" TargetMode="External"/><Relationship Id="rId1010" Type="http://schemas.openxmlformats.org/officeDocument/2006/relationships/hyperlink" Target="https://www.ncbi.nlm.nih.gov/nuccore/MH816996" TargetMode="External"/><Relationship Id="rId1094" Type="http://schemas.openxmlformats.org/officeDocument/2006/relationships/hyperlink" Target="https://www.ncbi.nlm.nih.gov/nuccore/AJ293568" TargetMode="External"/><Relationship Id="rId1108" Type="http://schemas.openxmlformats.org/officeDocument/2006/relationships/hyperlink" Target="https://www.ncbi.nlm.nih.gov/nuccore/KT159937" TargetMode="External"/><Relationship Id="rId1315" Type="http://schemas.openxmlformats.org/officeDocument/2006/relationships/hyperlink" Target="https://www.ncbi.nlm.nih.gov/nuccore/Y16780" TargetMode="External"/><Relationship Id="rId117" Type="http://schemas.openxmlformats.org/officeDocument/2006/relationships/hyperlink" Target="https://www.ncbi.nlm.nih.gov/nuccore/MF467281" TargetMode="External"/><Relationship Id="rId671" Type="http://schemas.openxmlformats.org/officeDocument/2006/relationships/hyperlink" Target="https://www.ncbi.nlm.nih.gov/nuccore/AFH54685" TargetMode="External"/><Relationship Id="rId769" Type="http://schemas.openxmlformats.org/officeDocument/2006/relationships/hyperlink" Target="https://www.ncbi.nlm.nih.gov/nuccore/AF325528" TargetMode="External"/><Relationship Id="rId976" Type="http://schemas.openxmlformats.org/officeDocument/2006/relationships/hyperlink" Target="https://www.ncbi.nlm.nih.gov/nuccore/AJ293568" TargetMode="External"/><Relationship Id="rId1399" Type="http://schemas.openxmlformats.org/officeDocument/2006/relationships/hyperlink" Target="https://www.ncbi.nlm.nih.gov/nuccore/HE601899" TargetMode="External"/><Relationship Id="rId324" Type="http://schemas.openxmlformats.org/officeDocument/2006/relationships/hyperlink" Target="https://www.ncbi.nlm.nih.gov/nuccore/KP143769" TargetMode="External"/><Relationship Id="rId531" Type="http://schemas.openxmlformats.org/officeDocument/2006/relationships/hyperlink" Target="https://www.ncbi.nlm.nih.gov/nuccore/MF678796" TargetMode="External"/><Relationship Id="rId629" Type="http://schemas.openxmlformats.org/officeDocument/2006/relationships/hyperlink" Target="https://www.ncbi.nlm.nih.gov/nuccore/AF410153" TargetMode="External"/><Relationship Id="rId1161" Type="http://schemas.openxmlformats.org/officeDocument/2006/relationships/hyperlink" Target="https://www.ncbi.nlm.nih.gov/nuccore/MF467281" TargetMode="External"/><Relationship Id="rId1259" Type="http://schemas.openxmlformats.org/officeDocument/2006/relationships/hyperlink" Target="https://www.ncbi.nlm.nih.gov/nuccore/KY382358" TargetMode="External"/><Relationship Id="rId1466" Type="http://schemas.openxmlformats.org/officeDocument/2006/relationships/hyperlink" Target="https://www.ncbi.nlm.nih.gov/nuccore/MF467280" TargetMode="External"/><Relationship Id="rId836" Type="http://schemas.openxmlformats.org/officeDocument/2006/relationships/hyperlink" Target="https://www.ncbi.nlm.nih.gov/nuccore/MH816996" TargetMode="External"/><Relationship Id="rId1021" Type="http://schemas.openxmlformats.org/officeDocument/2006/relationships/hyperlink" Target="https://www.ncbi.nlm.nih.gov/nuccore/KU749310" TargetMode="External"/><Relationship Id="rId1119" Type="http://schemas.openxmlformats.org/officeDocument/2006/relationships/hyperlink" Target="https://www.ncbi.nlm.nih.gov/nuccore/HQ849551" TargetMode="External"/><Relationship Id="rId903" Type="http://schemas.openxmlformats.org/officeDocument/2006/relationships/hyperlink" Target="https://www.ncbi.nlm.nih.gov/nuccore/AY753185" TargetMode="External"/><Relationship Id="rId1326" Type="http://schemas.openxmlformats.org/officeDocument/2006/relationships/hyperlink" Target="https://www.ncbi.nlm.nih.gov/nuccore/AF063866" TargetMode="External"/><Relationship Id="rId32" Type="http://schemas.openxmlformats.org/officeDocument/2006/relationships/hyperlink" Target="https://www.ncbi.nlm.nih.gov/nuccore/AF380138" TargetMode="External"/><Relationship Id="rId181" Type="http://schemas.openxmlformats.org/officeDocument/2006/relationships/hyperlink" Target="https://www.ncbi.nlm.nih.gov/nuccore/HE601899" TargetMode="External"/><Relationship Id="rId279" Type="http://schemas.openxmlformats.org/officeDocument/2006/relationships/hyperlink" Target="https://www.ncbi.nlm.nih.gov/nuccore/AF410153" TargetMode="External"/><Relationship Id="rId486" Type="http://schemas.openxmlformats.org/officeDocument/2006/relationships/hyperlink" Target="https://www.ncbi.nlm.nih.gov/nuccore/AF170722" TargetMode="External"/><Relationship Id="rId693" Type="http://schemas.openxmlformats.org/officeDocument/2006/relationships/hyperlink" Target="https://www.ncbi.nlm.nih.gov/nuccore/AF250284" TargetMode="External"/><Relationship Id="rId139" Type="http://schemas.openxmlformats.org/officeDocument/2006/relationships/hyperlink" Target="https://www.ncbi.nlm.nih.gov/nuccore/U60315" TargetMode="External"/><Relationship Id="rId346" Type="http://schemas.openxmlformats.org/officeDocument/2006/relationships/hyperlink" Target="https://www.ncbi.nlm.nih.gov/nuccore/HF679134" TargetMode="External"/><Relationship Id="rId553" Type="http://schemas.openxmlformats.org/officeDocument/2006/relationships/hyperlink" Target="https://www.ncbi.nlm.nih.gov/nuccore/AFH54685" TargetMode="External"/><Relationship Id="rId760" Type="http://schemas.openxmlformats.org/officeDocument/2006/relationships/hyperlink" Target="https://www.ncbi.nlm.nih.gov/nuccore/KT159937" TargetMode="External"/><Relationship Id="rId998" Type="http://schemas.openxmlformats.org/officeDocument/2006/relationships/hyperlink" Target="https://www.ncbi.nlm.nih.gov/nuccore/KP728110" TargetMode="External"/><Relationship Id="rId1183" Type="http://schemas.openxmlformats.org/officeDocument/2006/relationships/hyperlink" Target="https://www.ncbi.nlm.nih.gov/nuccore/U60315" TargetMode="External"/><Relationship Id="rId1390" Type="http://schemas.openxmlformats.org/officeDocument/2006/relationships/hyperlink" Target="https://www.ncbi.nlm.nih.gov/nuccore/HF679134" TargetMode="External"/><Relationship Id="rId206" Type="http://schemas.openxmlformats.org/officeDocument/2006/relationships/hyperlink" Target="https://www.ncbi.nlm.nih.gov/nuccore/AF012825" TargetMode="External"/><Relationship Id="rId413" Type="http://schemas.openxmlformats.org/officeDocument/2006/relationships/hyperlink" Target="https://www.ncbi.nlm.nih.gov/nuccore/HE601899" TargetMode="External"/><Relationship Id="rId858" Type="http://schemas.openxmlformats.org/officeDocument/2006/relationships/hyperlink" Target="https://www.ncbi.nlm.nih.gov/nuccore/GQ329670" TargetMode="External"/><Relationship Id="rId1043" Type="http://schemas.openxmlformats.org/officeDocument/2006/relationships/hyperlink" Target="https://www.ncbi.nlm.nih.gov/nuccore/AY077832" TargetMode="External"/><Relationship Id="rId620" Type="http://schemas.openxmlformats.org/officeDocument/2006/relationships/hyperlink" Target="https://www.ncbi.nlm.nih.gov/nuccore/X69198" TargetMode="External"/><Relationship Id="rId718" Type="http://schemas.openxmlformats.org/officeDocument/2006/relationships/hyperlink" Target="https://www.ncbi.nlm.nih.gov/nuccore/AF170722" TargetMode="External"/><Relationship Id="rId925" Type="http://schemas.openxmlformats.org/officeDocument/2006/relationships/hyperlink" Target="https://www.ncbi.nlm.nih.gov/nuccore/HF679133" TargetMode="External"/><Relationship Id="rId1250" Type="http://schemas.openxmlformats.org/officeDocument/2006/relationships/hyperlink" Target="https://www.ncbi.nlm.nih.gov/nuccore/AF380138" TargetMode="External"/><Relationship Id="rId1348" Type="http://schemas.openxmlformats.org/officeDocument/2006/relationships/hyperlink" Target="https://www.ncbi.nlm.nih.gov/nuccore/AF198100" TargetMode="External"/><Relationship Id="rId1110" Type="http://schemas.openxmlformats.org/officeDocument/2006/relationships/hyperlink" Target="https://www.ncbi.nlm.nih.gov/nuccore/KY747497" TargetMode="External"/><Relationship Id="rId1208" Type="http://schemas.openxmlformats.org/officeDocument/2006/relationships/hyperlink" Target="https://www.ncbi.nlm.nih.gov/nuccore/AJ293568" TargetMode="External"/><Relationship Id="rId1415" Type="http://schemas.openxmlformats.org/officeDocument/2006/relationships/hyperlink" Target="https://www.ncbi.nlm.nih.gov/nuccore/AF170726" TargetMode="External"/><Relationship Id="rId54" Type="http://schemas.openxmlformats.org/officeDocument/2006/relationships/hyperlink" Target="https://www.ncbi.nlm.nih.gov/nuccore/HF679132" TargetMode="External"/><Relationship Id="rId270" Type="http://schemas.openxmlformats.org/officeDocument/2006/relationships/hyperlink" Target="https://www.ncbi.nlm.nih.gov/nuccore/X69198" TargetMode="External"/><Relationship Id="rId130" Type="http://schemas.openxmlformats.org/officeDocument/2006/relationships/hyperlink" Target="https://www.ncbi.nlm.nih.gov/nuccore/AF198100" TargetMode="External"/><Relationship Id="rId368" Type="http://schemas.openxmlformats.org/officeDocument/2006/relationships/hyperlink" Target="https://www.ncbi.nlm.nih.gov/nuccore/AF170726" TargetMode="External"/><Relationship Id="rId575" Type="http://schemas.openxmlformats.org/officeDocument/2006/relationships/hyperlink" Target="https://www.ncbi.nlm.nih.gov/nuccore/AF250284" TargetMode="External"/><Relationship Id="rId782" Type="http://schemas.openxmlformats.org/officeDocument/2006/relationships/hyperlink" Target="https://www.ncbi.nlm.nih.gov/nuccore/AF438165" TargetMode="External"/><Relationship Id="rId228" Type="http://schemas.openxmlformats.org/officeDocument/2006/relationships/hyperlink" Target="https://www.ncbi.nlm.nih.gov/nuccore/HF679131" TargetMode="External"/><Relationship Id="rId435" Type="http://schemas.openxmlformats.org/officeDocument/2006/relationships/hyperlink" Target="https://www.ncbi.nlm.nih.gov/nuccore/AF482758" TargetMode="External"/><Relationship Id="rId642" Type="http://schemas.openxmlformats.org/officeDocument/2006/relationships/hyperlink" Target="https://www.ncbi.nlm.nih.gov/nuccore/HQ647181" TargetMode="External"/><Relationship Id="rId1065" Type="http://schemas.openxmlformats.org/officeDocument/2006/relationships/hyperlink" Target="https://www.ncbi.nlm.nih.gov/nuccore/DQ356948" TargetMode="External"/><Relationship Id="rId1272" Type="http://schemas.openxmlformats.org/officeDocument/2006/relationships/hyperlink" Target="https://www.ncbi.nlm.nih.gov/nuccore/HF679132" TargetMode="External"/><Relationship Id="rId502" Type="http://schemas.openxmlformats.org/officeDocument/2006/relationships/hyperlink" Target="https://www.ncbi.nlm.nih.gov/nuccore/X69198" TargetMode="External"/><Relationship Id="rId947" Type="http://schemas.openxmlformats.org/officeDocument/2006/relationships/hyperlink" Target="https://www.ncbi.nlm.nih.gov/nuccore/DQ356948" TargetMode="External"/><Relationship Id="rId1132" Type="http://schemas.openxmlformats.org/officeDocument/2006/relationships/hyperlink" Target="https://www.ncbi.nlm.nih.gov/nuccore/AF012825" TargetMode="External"/><Relationship Id="rId76" Type="http://schemas.openxmlformats.org/officeDocument/2006/relationships/hyperlink" Target="https://www.ncbi.nlm.nih.gov/nuccore/AY689436" TargetMode="External"/><Relationship Id="rId807" Type="http://schemas.openxmlformats.org/officeDocument/2006/relationships/hyperlink" Target="https://www.ncbi.nlm.nih.gov/nuccore/AF250284" TargetMode="External"/><Relationship Id="rId1437" Type="http://schemas.openxmlformats.org/officeDocument/2006/relationships/hyperlink" Target="https://www.ncbi.nlm.nih.gov/nuccore/AY386264" TargetMode="External"/><Relationship Id="rId292" Type="http://schemas.openxmlformats.org/officeDocument/2006/relationships/hyperlink" Target="https://www.ncbi.nlm.nih.gov/nuccore/MH427217" TargetMode="External"/><Relationship Id="rId597" Type="http://schemas.openxmlformats.org/officeDocument/2006/relationships/hyperlink" Target="https://www.ncbi.nlm.nih.gov/nuccore/AY077832" TargetMode="External"/><Relationship Id="rId152" Type="http://schemas.openxmlformats.org/officeDocument/2006/relationships/hyperlink" Target="https://www.ncbi.nlm.nih.gov/nuccore/DQ437594" TargetMode="External"/><Relationship Id="rId457" Type="http://schemas.openxmlformats.org/officeDocument/2006/relationships/hyperlink" Target="https://www.ncbi.nlm.nih.gov/nuccore/AP013055" TargetMode="External"/><Relationship Id="rId1087" Type="http://schemas.openxmlformats.org/officeDocument/2006/relationships/hyperlink" Target="https://www.ncbi.nlm.nih.gov/nuccore/KY382358" TargetMode="External"/><Relationship Id="rId1294" Type="http://schemas.openxmlformats.org/officeDocument/2006/relationships/hyperlink" Target="https://www.ncbi.nlm.nih.gov/nuccore/AY689436" TargetMode="External"/><Relationship Id="rId664" Type="http://schemas.openxmlformats.org/officeDocument/2006/relationships/hyperlink" Target="https://www.ncbi.nlm.nih.gov/nuccore/MH816996" TargetMode="External"/><Relationship Id="rId871" Type="http://schemas.openxmlformats.org/officeDocument/2006/relationships/hyperlink" Target="https://www.ncbi.nlm.nih.gov/nuccore/MF467281" TargetMode="External"/><Relationship Id="rId969" Type="http://schemas.openxmlformats.org/officeDocument/2006/relationships/hyperlink" Target="https://www.ncbi.nlm.nih.gov/nuccore/KY382358" TargetMode="External"/><Relationship Id="rId317" Type="http://schemas.openxmlformats.org/officeDocument/2006/relationships/hyperlink" Target="https://www.ncbi.nlm.nih.gov/nuccore/AY009089" TargetMode="External"/><Relationship Id="rId524" Type="http://schemas.openxmlformats.org/officeDocument/2006/relationships/hyperlink" Target="https://www.ncbi.nlm.nih.gov/nuccore/MH427217" TargetMode="External"/><Relationship Id="rId731" Type="http://schemas.openxmlformats.org/officeDocument/2006/relationships/hyperlink" Target="https://www.ncbi.nlm.nih.gov/nuccore/KU749310" TargetMode="External"/><Relationship Id="rId1154" Type="http://schemas.openxmlformats.org/officeDocument/2006/relationships/hyperlink" Target="https://www.ncbi.nlm.nih.gov/nuccore/HF679131" TargetMode="External"/><Relationship Id="rId1361" Type="http://schemas.openxmlformats.org/officeDocument/2006/relationships/hyperlink" Target="https://www.ncbi.nlm.nih.gov/nuccore/AY009089" TargetMode="External"/><Relationship Id="rId1459" Type="http://schemas.openxmlformats.org/officeDocument/2006/relationships/hyperlink" Target="https://www.ncbi.nlm.nih.gov/nuccore/MF467280" TargetMode="External"/><Relationship Id="rId98" Type="http://schemas.openxmlformats.org/officeDocument/2006/relationships/hyperlink" Target="https://www.ncbi.nlm.nih.gov/nuccore/KU749311" TargetMode="External"/><Relationship Id="rId829" Type="http://schemas.openxmlformats.org/officeDocument/2006/relationships/hyperlink" Target="https://www.ncbi.nlm.nih.gov/nuccore/HQ849551" TargetMode="External"/><Relationship Id="rId1014" Type="http://schemas.openxmlformats.org/officeDocument/2006/relationships/hyperlink" Target="https://www.ncbi.nlm.nih.gov/nuccore/AF438165" TargetMode="External"/><Relationship Id="rId1221" Type="http://schemas.openxmlformats.org/officeDocument/2006/relationships/hyperlink" Target="https://www.ncbi.nlm.nih.gov/nuccore/KY094066" TargetMode="External"/><Relationship Id="rId1319" Type="http://schemas.openxmlformats.org/officeDocument/2006/relationships/hyperlink" Target="https://www.ncbi.nlm.nih.gov/nuccore/AY386264" TargetMode="External"/><Relationship Id="rId25" Type="http://schemas.openxmlformats.org/officeDocument/2006/relationships/hyperlink" Target="https://www.ncbi.nlm.nih.gov/nuccore/MH607141" TargetMode="External"/><Relationship Id="rId174" Type="http://schemas.openxmlformats.org/officeDocument/2006/relationships/hyperlink" Target="https://www.ncbi.nlm.nih.gov/nuccore/AY077835" TargetMode="External"/><Relationship Id="rId381" Type="http://schemas.openxmlformats.org/officeDocument/2006/relationships/hyperlink" Target="https://www.ncbi.nlm.nih.gov/nuccore/AY753185" TargetMode="External"/><Relationship Id="rId241" Type="http://schemas.openxmlformats.org/officeDocument/2006/relationships/hyperlink" Target="https://www.ncbi.nlm.nih.gov/nuccore/MF678796" TargetMode="External"/><Relationship Id="rId479" Type="http://schemas.openxmlformats.org/officeDocument/2006/relationships/hyperlink" Target="https://www.ncbi.nlm.nih.gov/nuccore/AF325528" TargetMode="External"/><Relationship Id="rId686" Type="http://schemas.openxmlformats.org/officeDocument/2006/relationships/hyperlink" Target="https://www.ncbi.nlm.nih.gov/nuccore/GQ329670" TargetMode="External"/><Relationship Id="rId893" Type="http://schemas.openxmlformats.org/officeDocument/2006/relationships/hyperlink" Target="https://www.ncbi.nlm.nih.gov/nuccore/U60315" TargetMode="External"/><Relationship Id="rId339" Type="http://schemas.openxmlformats.org/officeDocument/2006/relationships/hyperlink" Target="https://www.ncbi.nlm.nih.gov/nuccore/AY386371" TargetMode="External"/><Relationship Id="rId546" Type="http://schemas.openxmlformats.org/officeDocument/2006/relationships/hyperlink" Target="https://www.ncbi.nlm.nih.gov/nuccore/MH816996" TargetMode="External"/><Relationship Id="rId753" Type="http://schemas.openxmlformats.org/officeDocument/2006/relationships/hyperlink" Target="https://www.ncbi.nlm.nih.gov/nuccore/AY077832" TargetMode="External"/><Relationship Id="rId1176" Type="http://schemas.openxmlformats.org/officeDocument/2006/relationships/hyperlink" Target="https://www.ncbi.nlm.nih.gov/nuccore/MF001304" TargetMode="External"/><Relationship Id="rId1383" Type="http://schemas.openxmlformats.org/officeDocument/2006/relationships/hyperlink" Target="https://www.ncbi.nlm.nih.gov/nuccore/AY386371" TargetMode="External"/><Relationship Id="rId101" Type="http://schemas.openxmlformats.org/officeDocument/2006/relationships/hyperlink" Target="https://www.ncbi.nlm.nih.gov/nuccore/AY386264" TargetMode="External"/><Relationship Id="rId406" Type="http://schemas.openxmlformats.org/officeDocument/2006/relationships/hyperlink" Target="https://www.ncbi.nlm.nih.gov/nuccore/AY077835" TargetMode="External"/><Relationship Id="rId960" Type="http://schemas.openxmlformats.org/officeDocument/2006/relationships/hyperlink" Target="https://www.ncbi.nlm.nih.gov/nuccore/AF380138" TargetMode="External"/><Relationship Id="rId1036" Type="http://schemas.openxmlformats.org/officeDocument/2006/relationships/hyperlink" Target="https://www.ncbi.nlm.nih.gov/nuccore/AF063866" TargetMode="External"/><Relationship Id="rId1243" Type="http://schemas.openxmlformats.org/officeDocument/2006/relationships/hyperlink" Target="https://www.ncbi.nlm.nih.gov/nuccore/MH607141" TargetMode="External"/><Relationship Id="rId613" Type="http://schemas.openxmlformats.org/officeDocument/2006/relationships/hyperlink" Target="https://www.ncbi.nlm.nih.gov/nuccore/AFH54685" TargetMode="External"/><Relationship Id="rId820" Type="http://schemas.openxmlformats.org/officeDocument/2006/relationships/hyperlink" Target="https://www.ncbi.nlm.nih.gov/nuccore/KY747497" TargetMode="External"/><Relationship Id="rId918" Type="http://schemas.openxmlformats.org/officeDocument/2006/relationships/hyperlink" Target="https://www.ncbi.nlm.nih.gov/nuccore/AJ293568" TargetMode="External"/><Relationship Id="rId1450" Type="http://schemas.openxmlformats.org/officeDocument/2006/relationships/hyperlink" Target="https://www.ncbi.nlm.nih.gov/nuccore/HF679134" TargetMode="External"/><Relationship Id="rId1103" Type="http://schemas.openxmlformats.org/officeDocument/2006/relationships/hyperlink" Target="https://www.ncbi.nlm.nih.gov/nuccore/MF467281" TargetMode="External"/><Relationship Id="rId1310" Type="http://schemas.openxmlformats.org/officeDocument/2006/relationships/hyperlink" Target="https://www.ncbi.nlm.nih.gov/nuccore/KP143769" TargetMode="External"/><Relationship Id="rId1408" Type="http://schemas.openxmlformats.org/officeDocument/2006/relationships/hyperlink" Target="https://www.ncbi.nlm.nih.gov/nuccore/AF325528" TargetMode="External"/><Relationship Id="rId47" Type="http://schemas.openxmlformats.org/officeDocument/2006/relationships/hyperlink" Target="https://www.ncbi.nlm.nih.gov/nuccore/AF410153" TargetMode="External"/><Relationship Id="rId196" Type="http://schemas.openxmlformats.org/officeDocument/2006/relationships/hyperlink" Target="https://www.ncbi.nlm.nih.gov/nuccore/AF170726" TargetMode="External"/><Relationship Id="rId263" Type="http://schemas.openxmlformats.org/officeDocument/2006/relationships/hyperlink" Target="https://www.ncbi.nlm.nih.gov/nuccore/AFH54685" TargetMode="External"/><Relationship Id="rId470" Type="http://schemas.openxmlformats.org/officeDocument/2006/relationships/hyperlink" Target="https://www.ncbi.nlm.nih.gov/nuccore/KT159937" TargetMode="External"/><Relationship Id="rId123" Type="http://schemas.openxmlformats.org/officeDocument/2006/relationships/hyperlink" Target="https://www.ncbi.nlm.nih.gov/nuccore/HE601899" TargetMode="External"/><Relationship Id="rId330" Type="http://schemas.openxmlformats.org/officeDocument/2006/relationships/hyperlink" Target="https://www.ncbi.nlm.nih.gov/nuccore/KU749311" TargetMode="External"/><Relationship Id="rId568" Type="http://schemas.openxmlformats.org/officeDocument/2006/relationships/hyperlink" Target="https://www.ncbi.nlm.nih.gov/nuccore/GQ329670" TargetMode="External"/><Relationship Id="rId775" Type="http://schemas.openxmlformats.org/officeDocument/2006/relationships/hyperlink" Target="https://www.ncbi.nlm.nih.gov/nuccore/AF170726" TargetMode="External"/><Relationship Id="rId982" Type="http://schemas.openxmlformats.org/officeDocument/2006/relationships/hyperlink" Target="https://www.ncbi.nlm.nih.gov/nuccore/HF679132" TargetMode="External"/><Relationship Id="rId1198" Type="http://schemas.openxmlformats.org/officeDocument/2006/relationships/hyperlink" Target="https://www.ncbi.nlm.nih.gov/nuccore/X69198" TargetMode="External"/><Relationship Id="rId428" Type="http://schemas.openxmlformats.org/officeDocument/2006/relationships/hyperlink" Target="https://www.ncbi.nlm.nih.gov/nuccore/AF170722" TargetMode="External"/><Relationship Id="rId635" Type="http://schemas.openxmlformats.org/officeDocument/2006/relationships/hyperlink" Target="https://www.ncbi.nlm.nih.gov/nuccore/AF250284" TargetMode="External"/><Relationship Id="rId842" Type="http://schemas.openxmlformats.org/officeDocument/2006/relationships/hyperlink" Target="https://www.ncbi.nlm.nih.gov/nuccore/AF012825" TargetMode="External"/><Relationship Id="rId1058" Type="http://schemas.openxmlformats.org/officeDocument/2006/relationships/hyperlink" Target="https://www.ncbi.nlm.nih.gov/nuccore/AF198100" TargetMode="External"/><Relationship Id="rId1265" Type="http://schemas.openxmlformats.org/officeDocument/2006/relationships/hyperlink" Target="https://www.ncbi.nlm.nih.gov/nuccore/AF410153" TargetMode="External"/><Relationship Id="rId1472" Type="http://schemas.openxmlformats.org/officeDocument/2006/relationships/hyperlink" Target="https://www.ncbi.nlm.nih.gov/nuccore/MF467280" TargetMode="External"/><Relationship Id="rId702" Type="http://schemas.openxmlformats.org/officeDocument/2006/relationships/hyperlink" Target="https://www.ncbi.nlm.nih.gov/nuccore/KT159937" TargetMode="External"/><Relationship Id="rId1125" Type="http://schemas.openxmlformats.org/officeDocument/2006/relationships/hyperlink" Target="https://www.ncbi.nlm.nih.gov/nuccore/U60315" TargetMode="External"/><Relationship Id="rId1332" Type="http://schemas.openxmlformats.org/officeDocument/2006/relationships/hyperlink" Target="https://www.ncbi.nlm.nih.gov/nuccore/HF679134" TargetMode="External"/><Relationship Id="rId69" Type="http://schemas.openxmlformats.org/officeDocument/2006/relationships/hyperlink" Target="https://www.ncbi.nlm.nih.gov/nuccore/KJ801920" TargetMode="External"/><Relationship Id="rId285" Type="http://schemas.openxmlformats.org/officeDocument/2006/relationships/hyperlink" Target="https://www.ncbi.nlm.nih.gov/nuccore/AF250284" TargetMode="External"/><Relationship Id="rId492" Type="http://schemas.openxmlformats.org/officeDocument/2006/relationships/hyperlink" Target="https://www.ncbi.nlm.nih.gov/nuccore/AF438165" TargetMode="External"/><Relationship Id="rId797" Type="http://schemas.openxmlformats.org/officeDocument/2006/relationships/hyperlink" Target="https://www.ncbi.nlm.nih.gov/nuccore/AY386264" TargetMode="External"/><Relationship Id="rId145" Type="http://schemas.openxmlformats.org/officeDocument/2006/relationships/hyperlink" Target="https://www.ncbi.nlm.nih.gov/nuccore/AF482758" TargetMode="External"/><Relationship Id="rId352" Type="http://schemas.openxmlformats.org/officeDocument/2006/relationships/hyperlink" Target="https://www.ncbi.nlm.nih.gov/nuccore/HQ647181" TargetMode="External"/><Relationship Id="rId1287" Type="http://schemas.openxmlformats.org/officeDocument/2006/relationships/hyperlink" Target="https://www.ncbi.nlm.nih.gov/nuccore/KJ801920" TargetMode="External"/><Relationship Id="rId212" Type="http://schemas.openxmlformats.org/officeDocument/2006/relationships/hyperlink" Target="https://www.ncbi.nlm.nih.gov/nuccore/DQ437594" TargetMode="External"/><Relationship Id="rId657" Type="http://schemas.openxmlformats.org/officeDocument/2006/relationships/hyperlink" Target="https://www.ncbi.nlm.nih.gov/nuccore/HQ849551" TargetMode="External"/><Relationship Id="rId864" Type="http://schemas.openxmlformats.org/officeDocument/2006/relationships/hyperlink" Target="https://www.ncbi.nlm.nih.gov/nuccore/HF679131" TargetMode="External"/><Relationship Id="rId517" Type="http://schemas.openxmlformats.org/officeDocument/2006/relationships/hyperlink" Target="https://www.ncbi.nlm.nih.gov/nuccore/AF250284" TargetMode="External"/><Relationship Id="rId724" Type="http://schemas.openxmlformats.org/officeDocument/2006/relationships/hyperlink" Target="https://www.ncbi.nlm.nih.gov/nuccore/AF438165" TargetMode="External"/><Relationship Id="rId931" Type="http://schemas.openxmlformats.org/officeDocument/2006/relationships/hyperlink" Target="https://www.ncbi.nlm.nih.gov/nuccore/KY094066" TargetMode="External"/><Relationship Id="rId1147" Type="http://schemas.openxmlformats.org/officeDocument/2006/relationships/hyperlink" Target="https://www.ncbi.nlm.nih.gov/nuccore/KM502564" TargetMode="External"/><Relationship Id="rId1354" Type="http://schemas.openxmlformats.org/officeDocument/2006/relationships/hyperlink" Target="https://www.ncbi.nlm.nih.gov/nuccore/AF170726" TargetMode="External"/><Relationship Id="rId60" Type="http://schemas.openxmlformats.org/officeDocument/2006/relationships/hyperlink" Target="https://www.ncbi.nlm.nih.gov/nuccore/MH427217" TargetMode="External"/><Relationship Id="rId1007" Type="http://schemas.openxmlformats.org/officeDocument/2006/relationships/hyperlink" Target="https://www.ncbi.nlm.nih.gov/nuccore/AF170726" TargetMode="External"/><Relationship Id="rId1214" Type="http://schemas.openxmlformats.org/officeDocument/2006/relationships/hyperlink" Target="https://www.ncbi.nlm.nih.gov/nuccore/HF679132" TargetMode="External"/><Relationship Id="rId1421" Type="http://schemas.openxmlformats.org/officeDocument/2006/relationships/hyperlink" Target="https://www.ncbi.nlm.nih.gov/nuccore/AY009089" TargetMode="External"/><Relationship Id="rId18" Type="http://schemas.openxmlformats.org/officeDocument/2006/relationships/hyperlink" Target="https://www.ncbi.nlm.nih.gov/nuccore/AY689436" TargetMode="External"/><Relationship Id="rId167" Type="http://schemas.openxmlformats.org/officeDocument/2006/relationships/hyperlink" Target="https://www.ncbi.nlm.nih.gov/nuccore/AP013055" TargetMode="External"/><Relationship Id="rId374" Type="http://schemas.openxmlformats.org/officeDocument/2006/relationships/hyperlink" Target="https://www.ncbi.nlm.nih.gov/nuccore/DQ792504" TargetMode="External"/><Relationship Id="rId581" Type="http://schemas.openxmlformats.org/officeDocument/2006/relationships/hyperlink" Target="https://www.ncbi.nlm.nih.gov/nuccore/MF467281" TargetMode="External"/><Relationship Id="rId234" Type="http://schemas.openxmlformats.org/officeDocument/2006/relationships/hyperlink" Target="https://www.ncbi.nlm.nih.gov/nuccore/MH427217" TargetMode="External"/><Relationship Id="rId679" Type="http://schemas.openxmlformats.org/officeDocument/2006/relationships/hyperlink" Target="https://www.ncbi.nlm.nih.gov/nuccore/Y16780" TargetMode="External"/><Relationship Id="rId886" Type="http://schemas.openxmlformats.org/officeDocument/2006/relationships/hyperlink" Target="https://www.ncbi.nlm.nih.gov/nuccore/MF001304" TargetMode="External"/><Relationship Id="rId2" Type="http://schemas.openxmlformats.org/officeDocument/2006/relationships/hyperlink" Target="https://www.ncbi.nlm.nih.gov/nuccore/MH427217" TargetMode="External"/><Relationship Id="rId441" Type="http://schemas.openxmlformats.org/officeDocument/2006/relationships/hyperlink" Target="https://www.ncbi.nlm.nih.gov/nuccore/KU749310" TargetMode="External"/><Relationship Id="rId539" Type="http://schemas.openxmlformats.org/officeDocument/2006/relationships/hyperlink" Target="https://www.ncbi.nlm.nih.gov/nuccore/HQ849551" TargetMode="External"/><Relationship Id="rId746" Type="http://schemas.openxmlformats.org/officeDocument/2006/relationships/hyperlink" Target="https://www.ncbi.nlm.nih.gov/nuccore/AF063866" TargetMode="External"/><Relationship Id="rId1071" Type="http://schemas.openxmlformats.org/officeDocument/2006/relationships/hyperlink" Target="https://www.ncbi.nlm.nih.gov/nuccore/MH607141" TargetMode="External"/><Relationship Id="rId1169" Type="http://schemas.openxmlformats.org/officeDocument/2006/relationships/hyperlink" Target="https://www.ncbi.nlm.nih.gov/nuccore/MF678796" TargetMode="External"/><Relationship Id="rId1376" Type="http://schemas.openxmlformats.org/officeDocument/2006/relationships/hyperlink" Target="https://www.ncbi.nlm.nih.gov/nuccore/AY386265" TargetMode="External"/><Relationship Id="rId301" Type="http://schemas.openxmlformats.org/officeDocument/2006/relationships/hyperlink" Target="https://www.ncbi.nlm.nih.gov/nuccore/KJ801920" TargetMode="External"/><Relationship Id="rId953" Type="http://schemas.openxmlformats.org/officeDocument/2006/relationships/hyperlink" Target="https://www.ncbi.nlm.nih.gov/nuccore/MH607141" TargetMode="External"/><Relationship Id="rId1029" Type="http://schemas.openxmlformats.org/officeDocument/2006/relationships/hyperlink" Target="https://www.ncbi.nlm.nih.gov/nuccore/AY386264" TargetMode="External"/><Relationship Id="rId1236" Type="http://schemas.openxmlformats.org/officeDocument/2006/relationships/hyperlink" Target="https://www.ncbi.nlm.nih.gov/nuccore/AY689436" TargetMode="External"/><Relationship Id="rId82" Type="http://schemas.openxmlformats.org/officeDocument/2006/relationships/hyperlink" Target="https://www.ncbi.nlm.nih.gov/nuccore/MH816996" TargetMode="External"/><Relationship Id="rId606" Type="http://schemas.openxmlformats.org/officeDocument/2006/relationships/hyperlink" Target="https://www.ncbi.nlm.nih.gov/nuccore/MH816996" TargetMode="External"/><Relationship Id="rId813" Type="http://schemas.openxmlformats.org/officeDocument/2006/relationships/hyperlink" Target="https://www.ncbi.nlm.nih.gov/nuccore/MF467281" TargetMode="External"/><Relationship Id="rId1443" Type="http://schemas.openxmlformats.org/officeDocument/2006/relationships/hyperlink" Target="https://www.ncbi.nlm.nih.gov/nuccore/AY386371" TargetMode="External"/><Relationship Id="rId1303" Type="http://schemas.openxmlformats.org/officeDocument/2006/relationships/hyperlink" Target="https://www.ncbi.nlm.nih.gov/nuccore/AY009089" TargetMode="External"/><Relationship Id="rId189" Type="http://schemas.openxmlformats.org/officeDocument/2006/relationships/hyperlink" Target="https://www.ncbi.nlm.nih.gov/nuccore/AY077835" TargetMode="External"/><Relationship Id="rId396" Type="http://schemas.openxmlformats.org/officeDocument/2006/relationships/hyperlink" Target="https://www.ncbi.nlm.nih.gov/nuccore/AJ293568" TargetMode="External"/><Relationship Id="rId256" Type="http://schemas.openxmlformats.org/officeDocument/2006/relationships/hyperlink" Target="https://www.ncbi.nlm.nih.gov/nuccore/MH816996" TargetMode="External"/><Relationship Id="rId463" Type="http://schemas.openxmlformats.org/officeDocument/2006/relationships/hyperlink" Target="https://www.ncbi.nlm.nih.gov/nuccore/AY077832" TargetMode="External"/><Relationship Id="rId670" Type="http://schemas.openxmlformats.org/officeDocument/2006/relationships/hyperlink" Target="https://www.ncbi.nlm.nih.gov/nuccore/AF012825" TargetMode="External"/><Relationship Id="rId1093" Type="http://schemas.openxmlformats.org/officeDocument/2006/relationships/hyperlink" Target="https://www.ncbi.nlm.nih.gov/nuccore/AF410153" TargetMode="External"/><Relationship Id="rId116" Type="http://schemas.openxmlformats.org/officeDocument/2006/relationships/hyperlink" Target="https://www.ncbi.nlm.nih.gov/nuccore/AY077835" TargetMode="External"/><Relationship Id="rId323" Type="http://schemas.openxmlformats.org/officeDocument/2006/relationships/hyperlink" Target="https://www.ncbi.nlm.nih.gov/nuccore/AY753185" TargetMode="External"/><Relationship Id="rId530" Type="http://schemas.openxmlformats.org/officeDocument/2006/relationships/hyperlink" Target="https://www.ncbi.nlm.nih.gov/nuccore/KY747497" TargetMode="External"/><Relationship Id="rId768" Type="http://schemas.openxmlformats.org/officeDocument/2006/relationships/hyperlink" Target="https://www.ncbi.nlm.nih.gov/nuccore/AF198100" TargetMode="External"/><Relationship Id="rId975" Type="http://schemas.openxmlformats.org/officeDocument/2006/relationships/hyperlink" Target="https://www.ncbi.nlm.nih.gov/nuccore/AF410153" TargetMode="External"/><Relationship Id="rId1160" Type="http://schemas.openxmlformats.org/officeDocument/2006/relationships/hyperlink" Target="https://www.ncbi.nlm.nih.gov/nuccore/AY077832" TargetMode="External"/><Relationship Id="rId1398" Type="http://schemas.openxmlformats.org/officeDocument/2006/relationships/hyperlink" Target="https://www.ncbi.nlm.nih.gov/nuccore/KT159937" TargetMode="External"/><Relationship Id="rId628" Type="http://schemas.openxmlformats.org/officeDocument/2006/relationships/hyperlink" Target="https://www.ncbi.nlm.nih.gov/nuccore/GQ329670" TargetMode="External"/><Relationship Id="rId835" Type="http://schemas.openxmlformats.org/officeDocument/2006/relationships/hyperlink" Target="https://www.ncbi.nlm.nih.gov/nuccore/U60315" TargetMode="External"/><Relationship Id="rId1258" Type="http://schemas.openxmlformats.org/officeDocument/2006/relationships/hyperlink" Target="https://www.ncbi.nlm.nih.gov/nuccore/KU749311" TargetMode="External"/><Relationship Id="rId1465" Type="http://schemas.openxmlformats.org/officeDocument/2006/relationships/hyperlink" Target="https://www.ncbi.nlm.nih.gov/nuccore/MF467280" TargetMode="External"/><Relationship Id="rId1020" Type="http://schemas.openxmlformats.org/officeDocument/2006/relationships/hyperlink" Target="https://www.ncbi.nlm.nih.gov/nuccore/KP143769" TargetMode="External"/><Relationship Id="rId1118" Type="http://schemas.openxmlformats.org/officeDocument/2006/relationships/hyperlink" Target="https://www.ncbi.nlm.nih.gov/nuccore/MF001304" TargetMode="External"/><Relationship Id="rId1325" Type="http://schemas.openxmlformats.org/officeDocument/2006/relationships/hyperlink" Target="https://www.ncbi.nlm.nih.gov/nuccore/AY386371" TargetMode="External"/><Relationship Id="rId902" Type="http://schemas.openxmlformats.org/officeDocument/2006/relationships/hyperlink" Target="https://www.ncbi.nlm.nih.gov/nuccore/AF380138" TargetMode="External"/><Relationship Id="rId31" Type="http://schemas.openxmlformats.org/officeDocument/2006/relationships/hyperlink" Target="https://www.ncbi.nlm.nih.gov/nuccore/AFH54685" TargetMode="External"/><Relationship Id="rId180" Type="http://schemas.openxmlformats.org/officeDocument/2006/relationships/hyperlink" Target="https://www.ncbi.nlm.nih.gov/nuccore/KT159937" TargetMode="External"/><Relationship Id="rId278" Type="http://schemas.openxmlformats.org/officeDocument/2006/relationships/hyperlink" Target="https://www.ncbi.nlm.nih.gov/nuccore/GQ329670" TargetMode="External"/><Relationship Id="rId485" Type="http://schemas.openxmlformats.org/officeDocument/2006/relationships/hyperlink" Target="https://www.ncbi.nlm.nih.gov/nuccore/AF170726" TargetMode="External"/><Relationship Id="rId692" Type="http://schemas.openxmlformats.org/officeDocument/2006/relationships/hyperlink" Target="https://www.ncbi.nlm.nih.gov/nuccore/HF679131" TargetMode="External"/><Relationship Id="rId138" Type="http://schemas.openxmlformats.org/officeDocument/2006/relationships/hyperlink" Target="https://www.ncbi.nlm.nih.gov/nuccore/AF170722" TargetMode="External"/><Relationship Id="rId345" Type="http://schemas.openxmlformats.org/officeDocument/2006/relationships/hyperlink" Target="https://www.ncbi.nlm.nih.gov/nuccore/HF679133" TargetMode="External"/><Relationship Id="rId552" Type="http://schemas.openxmlformats.org/officeDocument/2006/relationships/hyperlink" Target="https://www.ncbi.nlm.nih.gov/nuccore/AF012825" TargetMode="External"/><Relationship Id="rId997" Type="http://schemas.openxmlformats.org/officeDocument/2006/relationships/hyperlink" Target="https://www.ncbi.nlm.nih.gov/nuccore/KJ801920" TargetMode="External"/><Relationship Id="rId1182" Type="http://schemas.openxmlformats.org/officeDocument/2006/relationships/hyperlink" Target="https://www.ncbi.nlm.nih.gov/nuccore/AF170722" TargetMode="External"/><Relationship Id="rId205" Type="http://schemas.openxmlformats.org/officeDocument/2006/relationships/hyperlink" Target="https://www.ncbi.nlm.nih.gov/nuccore/AF482758" TargetMode="External"/><Relationship Id="rId412" Type="http://schemas.openxmlformats.org/officeDocument/2006/relationships/hyperlink" Target="https://www.ncbi.nlm.nih.gov/nuccore/KT159937" TargetMode="External"/><Relationship Id="rId857" Type="http://schemas.openxmlformats.org/officeDocument/2006/relationships/hyperlink" Target="https://www.ncbi.nlm.nih.gov/nuccore/KM502564" TargetMode="External"/><Relationship Id="rId1042" Type="http://schemas.openxmlformats.org/officeDocument/2006/relationships/hyperlink" Target="https://www.ncbi.nlm.nih.gov/nuccore/HF679134" TargetMode="External"/><Relationship Id="rId717" Type="http://schemas.openxmlformats.org/officeDocument/2006/relationships/hyperlink" Target="https://www.ncbi.nlm.nih.gov/nuccore/AF170726" TargetMode="External"/><Relationship Id="rId924" Type="http://schemas.openxmlformats.org/officeDocument/2006/relationships/hyperlink" Target="https://www.ncbi.nlm.nih.gov/nuccore/HF679132" TargetMode="External"/><Relationship Id="rId1347" Type="http://schemas.openxmlformats.org/officeDocument/2006/relationships/hyperlink" Target="https://www.ncbi.nlm.nih.gov/nuccore/AY318871" TargetMode="External"/><Relationship Id="rId53" Type="http://schemas.openxmlformats.org/officeDocument/2006/relationships/hyperlink" Target="https://www.ncbi.nlm.nih.gov/nuccore/AF250284" TargetMode="External"/><Relationship Id="rId1207" Type="http://schemas.openxmlformats.org/officeDocument/2006/relationships/hyperlink" Target="https://www.ncbi.nlm.nih.gov/nuccore/AF410153" TargetMode="External"/><Relationship Id="rId1414" Type="http://schemas.openxmlformats.org/officeDocument/2006/relationships/hyperlink" Target="https://www.ncbi.nlm.nih.gov/nuccore/AF170726" TargetMode="External"/><Relationship Id="rId367" Type="http://schemas.openxmlformats.org/officeDocument/2006/relationships/hyperlink" Target="https://www.ncbi.nlm.nih.gov/nuccore/DQ356948" TargetMode="External"/><Relationship Id="rId574" Type="http://schemas.openxmlformats.org/officeDocument/2006/relationships/hyperlink" Target="https://www.ncbi.nlm.nih.gov/nuccore/HF679131" TargetMode="External"/><Relationship Id="rId227" Type="http://schemas.openxmlformats.org/officeDocument/2006/relationships/hyperlink" Target="https://www.ncbi.nlm.nih.gov/nuccore/AP013055" TargetMode="External"/><Relationship Id="rId781" Type="http://schemas.openxmlformats.org/officeDocument/2006/relationships/hyperlink" Target="https://www.ncbi.nlm.nih.gov/nuccore/AY009089" TargetMode="External"/><Relationship Id="rId879" Type="http://schemas.openxmlformats.org/officeDocument/2006/relationships/hyperlink" Target="https://www.ncbi.nlm.nih.gov/nuccore/MF678796" TargetMode="External"/><Relationship Id="rId434" Type="http://schemas.openxmlformats.org/officeDocument/2006/relationships/hyperlink" Target="https://www.ncbi.nlm.nih.gov/nuccore/AF438165" TargetMode="External"/><Relationship Id="rId641" Type="http://schemas.openxmlformats.org/officeDocument/2006/relationships/hyperlink" Target="https://www.ncbi.nlm.nih.gov/nuccore/KY094066" TargetMode="External"/><Relationship Id="rId739" Type="http://schemas.openxmlformats.org/officeDocument/2006/relationships/hyperlink" Target="https://www.ncbi.nlm.nih.gov/nuccore/AY386264" TargetMode="External"/><Relationship Id="rId1064" Type="http://schemas.openxmlformats.org/officeDocument/2006/relationships/hyperlink" Target="https://www.ncbi.nlm.nih.gov/nuccore/AY689436" TargetMode="External"/><Relationship Id="rId1271" Type="http://schemas.openxmlformats.org/officeDocument/2006/relationships/hyperlink" Target="https://www.ncbi.nlm.nih.gov/nuccore/AF250284" TargetMode="External"/><Relationship Id="rId1369" Type="http://schemas.openxmlformats.org/officeDocument/2006/relationships/hyperlink" Target="https://www.ncbi.nlm.nih.gov/nuccore/KU749310" TargetMode="External"/><Relationship Id="rId501" Type="http://schemas.openxmlformats.org/officeDocument/2006/relationships/hyperlink" Target="https://www.ncbi.nlm.nih.gov/nuccore/AY243312" TargetMode="External"/><Relationship Id="rId946" Type="http://schemas.openxmlformats.org/officeDocument/2006/relationships/hyperlink" Target="https://www.ncbi.nlm.nih.gov/nuccore/AY689436" TargetMode="External"/><Relationship Id="rId1131" Type="http://schemas.openxmlformats.org/officeDocument/2006/relationships/hyperlink" Target="https://www.ncbi.nlm.nih.gov/nuccore/AF482758" TargetMode="External"/><Relationship Id="rId1229" Type="http://schemas.openxmlformats.org/officeDocument/2006/relationships/hyperlink" Target="https://www.ncbi.nlm.nih.gov/nuccore/KJ801920" TargetMode="External"/><Relationship Id="rId75" Type="http://schemas.openxmlformats.org/officeDocument/2006/relationships/hyperlink" Target="https://www.ncbi.nlm.nih.gov/nuccore/HQ849551" TargetMode="External"/><Relationship Id="rId806" Type="http://schemas.openxmlformats.org/officeDocument/2006/relationships/hyperlink" Target="https://www.ncbi.nlm.nih.gov/nuccore/HF679131" TargetMode="External"/><Relationship Id="rId1436" Type="http://schemas.openxmlformats.org/officeDocument/2006/relationships/hyperlink" Target="https://www.ncbi.nlm.nih.gov/nuccore/AY386265" TargetMode="External"/><Relationship Id="rId291" Type="http://schemas.openxmlformats.org/officeDocument/2006/relationships/hyperlink" Target="https://www.ncbi.nlm.nih.gov/nuccore/MF467281" TargetMode="External"/><Relationship Id="rId151" Type="http://schemas.openxmlformats.org/officeDocument/2006/relationships/hyperlink" Target="https://www.ncbi.nlm.nih.gov/nuccore/KU749310" TargetMode="External"/><Relationship Id="rId389" Type="http://schemas.openxmlformats.org/officeDocument/2006/relationships/hyperlink" Target="https://www.ncbi.nlm.nih.gov/nuccore/KY382358" TargetMode="External"/><Relationship Id="rId596" Type="http://schemas.openxmlformats.org/officeDocument/2006/relationships/hyperlink" Target="https://www.ncbi.nlm.nih.gov/nuccore/AF325528" TargetMode="External"/><Relationship Id="rId249" Type="http://schemas.openxmlformats.org/officeDocument/2006/relationships/hyperlink" Target="https://www.ncbi.nlm.nih.gov/nuccore/HQ849551" TargetMode="External"/><Relationship Id="rId456" Type="http://schemas.openxmlformats.org/officeDocument/2006/relationships/hyperlink" Target="https://www.ncbi.nlm.nih.gov/nuccore/AF063866" TargetMode="External"/><Relationship Id="rId663" Type="http://schemas.openxmlformats.org/officeDocument/2006/relationships/hyperlink" Target="https://www.ncbi.nlm.nih.gov/nuccore/U60315" TargetMode="External"/><Relationship Id="rId870" Type="http://schemas.openxmlformats.org/officeDocument/2006/relationships/hyperlink" Target="https://www.ncbi.nlm.nih.gov/nuccore/AY077835" TargetMode="External"/><Relationship Id="rId1086" Type="http://schemas.openxmlformats.org/officeDocument/2006/relationships/hyperlink" Target="https://www.ncbi.nlm.nih.gov/nuccore/KU749311" TargetMode="External"/><Relationship Id="rId1293" Type="http://schemas.openxmlformats.org/officeDocument/2006/relationships/hyperlink" Target="https://www.ncbi.nlm.nih.gov/nuccore/HQ849551" TargetMode="External"/><Relationship Id="rId109" Type="http://schemas.openxmlformats.org/officeDocument/2006/relationships/hyperlink" Target="https://www.ncbi.nlm.nih.gov/nuccore/AP013055" TargetMode="External"/><Relationship Id="rId316" Type="http://schemas.openxmlformats.org/officeDocument/2006/relationships/hyperlink" Target="https://www.ncbi.nlm.nih.gov/nuccore/DQ792504" TargetMode="External"/><Relationship Id="rId523" Type="http://schemas.openxmlformats.org/officeDocument/2006/relationships/hyperlink" Target="https://www.ncbi.nlm.nih.gov/nuccore/MF467281" TargetMode="External"/><Relationship Id="rId968" Type="http://schemas.openxmlformats.org/officeDocument/2006/relationships/hyperlink" Target="https://www.ncbi.nlm.nih.gov/nuccore/KU749311" TargetMode="External"/><Relationship Id="rId1153" Type="http://schemas.openxmlformats.org/officeDocument/2006/relationships/hyperlink" Target="https://www.ncbi.nlm.nih.gov/nuccore/AP013055" TargetMode="External"/><Relationship Id="rId97" Type="http://schemas.openxmlformats.org/officeDocument/2006/relationships/hyperlink" Target="https://www.ncbi.nlm.nih.gov/nuccore/Y16780" TargetMode="External"/><Relationship Id="rId730" Type="http://schemas.openxmlformats.org/officeDocument/2006/relationships/hyperlink" Target="https://www.ncbi.nlm.nih.gov/nuccore/KP143769" TargetMode="External"/><Relationship Id="rId828" Type="http://schemas.openxmlformats.org/officeDocument/2006/relationships/hyperlink" Target="https://www.ncbi.nlm.nih.gov/nuccore/MF001304" TargetMode="External"/><Relationship Id="rId1013" Type="http://schemas.openxmlformats.org/officeDocument/2006/relationships/hyperlink" Target="https://www.ncbi.nlm.nih.gov/nuccore/AY009089" TargetMode="External"/><Relationship Id="rId1360" Type="http://schemas.openxmlformats.org/officeDocument/2006/relationships/hyperlink" Target="https://www.ncbi.nlm.nih.gov/nuccore/DQ792504" TargetMode="External"/><Relationship Id="rId1458" Type="http://schemas.openxmlformats.org/officeDocument/2006/relationships/hyperlink" Target="https://www.ncbi.nlm.nih.gov/nuccore/MF467280" TargetMode="External"/><Relationship Id="rId1220" Type="http://schemas.openxmlformats.org/officeDocument/2006/relationships/hyperlink" Target="https://www.ncbi.nlm.nih.gov/nuccore/MH427217" TargetMode="External"/><Relationship Id="rId1318" Type="http://schemas.openxmlformats.org/officeDocument/2006/relationships/hyperlink" Target="https://www.ncbi.nlm.nih.gov/nuccore/AY386265" TargetMode="External"/><Relationship Id="rId24" Type="http://schemas.openxmlformats.org/officeDocument/2006/relationships/hyperlink" Target="https://www.ncbi.nlm.nih.gov/nuccore/MH816996" TargetMode="External"/><Relationship Id="rId173" Type="http://schemas.openxmlformats.org/officeDocument/2006/relationships/hyperlink" Target="https://www.ncbi.nlm.nih.gov/nuccore/AY077832" TargetMode="External"/><Relationship Id="rId380" Type="http://schemas.openxmlformats.org/officeDocument/2006/relationships/hyperlink" Target="https://www.ncbi.nlm.nih.gov/nuccore/AF380138" TargetMode="External"/><Relationship Id="rId240" Type="http://schemas.openxmlformats.org/officeDocument/2006/relationships/hyperlink" Target="https://www.ncbi.nlm.nih.gov/nuccore/KY747497" TargetMode="External"/><Relationship Id="rId478" Type="http://schemas.openxmlformats.org/officeDocument/2006/relationships/hyperlink" Target="https://www.ncbi.nlm.nih.gov/nuccore/AF198100" TargetMode="External"/><Relationship Id="rId685" Type="http://schemas.openxmlformats.org/officeDocument/2006/relationships/hyperlink" Target="https://www.ncbi.nlm.nih.gov/nuccore/KM502564" TargetMode="External"/><Relationship Id="rId892" Type="http://schemas.openxmlformats.org/officeDocument/2006/relationships/hyperlink" Target="https://www.ncbi.nlm.nih.gov/nuccore/AF170722" TargetMode="External"/><Relationship Id="rId100" Type="http://schemas.openxmlformats.org/officeDocument/2006/relationships/hyperlink" Target="https://www.ncbi.nlm.nih.gov/nuccore/AY386265" TargetMode="External"/><Relationship Id="rId338" Type="http://schemas.openxmlformats.org/officeDocument/2006/relationships/hyperlink" Target="https://www.ncbi.nlm.nih.gov/nuccore/AJ293568" TargetMode="External"/><Relationship Id="rId545" Type="http://schemas.openxmlformats.org/officeDocument/2006/relationships/hyperlink" Target="https://www.ncbi.nlm.nih.gov/nuccore/U60315" TargetMode="External"/><Relationship Id="rId752" Type="http://schemas.openxmlformats.org/officeDocument/2006/relationships/hyperlink" Target="https://www.ncbi.nlm.nih.gov/nuccore/HF679134" TargetMode="External"/><Relationship Id="rId1175" Type="http://schemas.openxmlformats.org/officeDocument/2006/relationships/hyperlink" Target="https://www.ncbi.nlm.nih.gov/nuccore/AF325528" TargetMode="External"/><Relationship Id="rId1382" Type="http://schemas.openxmlformats.org/officeDocument/2006/relationships/hyperlink" Target="https://www.ncbi.nlm.nih.gov/nuccore/AJ293568" TargetMode="External"/><Relationship Id="rId405" Type="http://schemas.openxmlformats.org/officeDocument/2006/relationships/hyperlink" Target="https://www.ncbi.nlm.nih.gov/nuccore/AY077832" TargetMode="External"/><Relationship Id="rId612" Type="http://schemas.openxmlformats.org/officeDocument/2006/relationships/hyperlink" Target="https://www.ncbi.nlm.nih.gov/nuccore/AF012825" TargetMode="External"/><Relationship Id="rId1035" Type="http://schemas.openxmlformats.org/officeDocument/2006/relationships/hyperlink" Target="https://www.ncbi.nlm.nih.gov/nuccore/AY386371" TargetMode="External"/><Relationship Id="rId1242" Type="http://schemas.openxmlformats.org/officeDocument/2006/relationships/hyperlink" Target="https://www.ncbi.nlm.nih.gov/nuccore/MH816996" TargetMode="External"/><Relationship Id="rId917" Type="http://schemas.openxmlformats.org/officeDocument/2006/relationships/hyperlink" Target="https://www.ncbi.nlm.nih.gov/nuccore/AF410153" TargetMode="External"/><Relationship Id="rId1102" Type="http://schemas.openxmlformats.org/officeDocument/2006/relationships/hyperlink" Target="https://www.ncbi.nlm.nih.gov/nuccore/HF679134" TargetMode="External"/><Relationship Id="rId46" Type="http://schemas.openxmlformats.org/officeDocument/2006/relationships/hyperlink" Target="https://www.ncbi.nlm.nih.gov/nuccore/GQ329670" TargetMode="External"/><Relationship Id="rId1407" Type="http://schemas.openxmlformats.org/officeDocument/2006/relationships/hyperlink" Target="https://www.ncbi.nlm.nih.gov/nuccore/AY077835" TargetMode="External"/><Relationship Id="rId195" Type="http://schemas.openxmlformats.org/officeDocument/2006/relationships/hyperlink" Target="https://www.ncbi.nlm.nih.gov/nuccore/DQ356948" TargetMode="External"/><Relationship Id="rId262" Type="http://schemas.openxmlformats.org/officeDocument/2006/relationships/hyperlink" Target="https://www.ncbi.nlm.nih.gov/nuccore/AF012825" TargetMode="External"/><Relationship Id="rId567" Type="http://schemas.openxmlformats.org/officeDocument/2006/relationships/hyperlink" Target="https://www.ncbi.nlm.nih.gov/nuccore/KM502564" TargetMode="External"/><Relationship Id="rId1197" Type="http://schemas.openxmlformats.org/officeDocument/2006/relationships/hyperlink" Target="https://www.ncbi.nlm.nih.gov/nuccore/AY243312" TargetMode="External"/><Relationship Id="rId122" Type="http://schemas.openxmlformats.org/officeDocument/2006/relationships/hyperlink" Target="https://www.ncbi.nlm.nih.gov/nuccore/KT159937" TargetMode="External"/><Relationship Id="rId774" Type="http://schemas.openxmlformats.org/officeDocument/2006/relationships/hyperlink" Target="https://www.ncbi.nlm.nih.gov/nuccore/AF170726" TargetMode="External"/><Relationship Id="rId981" Type="http://schemas.openxmlformats.org/officeDocument/2006/relationships/hyperlink" Target="https://www.ncbi.nlm.nih.gov/nuccore/AF250284" TargetMode="External"/><Relationship Id="rId1057" Type="http://schemas.openxmlformats.org/officeDocument/2006/relationships/hyperlink" Target="https://www.ncbi.nlm.nih.gov/nuccore/AY318871" TargetMode="External"/><Relationship Id="rId427" Type="http://schemas.openxmlformats.org/officeDocument/2006/relationships/hyperlink" Target="https://www.ncbi.nlm.nih.gov/nuccore/AF170726" TargetMode="External"/><Relationship Id="rId634" Type="http://schemas.openxmlformats.org/officeDocument/2006/relationships/hyperlink" Target="https://www.ncbi.nlm.nih.gov/nuccore/HF679131" TargetMode="External"/><Relationship Id="rId841" Type="http://schemas.openxmlformats.org/officeDocument/2006/relationships/hyperlink" Target="https://www.ncbi.nlm.nih.gov/nuccore/AF482758" TargetMode="External"/><Relationship Id="rId1264" Type="http://schemas.openxmlformats.org/officeDocument/2006/relationships/hyperlink" Target="https://www.ncbi.nlm.nih.gov/nuccore/GQ329670" TargetMode="External"/><Relationship Id="rId1471" Type="http://schemas.openxmlformats.org/officeDocument/2006/relationships/hyperlink" Target="https://www.ncbi.nlm.nih.gov/nuccore/MF467280" TargetMode="External"/><Relationship Id="rId701" Type="http://schemas.openxmlformats.org/officeDocument/2006/relationships/hyperlink" Target="https://www.ncbi.nlm.nih.gov/nuccore/KU980965" TargetMode="External"/><Relationship Id="rId939" Type="http://schemas.openxmlformats.org/officeDocument/2006/relationships/hyperlink" Target="https://www.ncbi.nlm.nih.gov/nuccore/KJ801920" TargetMode="External"/><Relationship Id="rId1124" Type="http://schemas.openxmlformats.org/officeDocument/2006/relationships/hyperlink" Target="https://www.ncbi.nlm.nih.gov/nuccore/AF170722" TargetMode="External"/><Relationship Id="rId1331" Type="http://schemas.openxmlformats.org/officeDocument/2006/relationships/hyperlink" Target="https://www.ncbi.nlm.nih.gov/nuccore/HF679133" TargetMode="External"/><Relationship Id="rId68" Type="http://schemas.openxmlformats.org/officeDocument/2006/relationships/hyperlink" Target="https://www.ncbi.nlm.nih.gov/nuccore/KJ859677" TargetMode="External"/><Relationship Id="rId1429" Type="http://schemas.openxmlformats.org/officeDocument/2006/relationships/hyperlink" Target="https://www.ncbi.nlm.nih.gov/nuccore/KU749310" TargetMode="External"/><Relationship Id="rId284" Type="http://schemas.openxmlformats.org/officeDocument/2006/relationships/hyperlink" Target="https://www.ncbi.nlm.nih.gov/nuccore/HF679131" TargetMode="External"/><Relationship Id="rId491" Type="http://schemas.openxmlformats.org/officeDocument/2006/relationships/hyperlink" Target="https://www.ncbi.nlm.nih.gov/nuccore/AY009089" TargetMode="External"/><Relationship Id="rId144" Type="http://schemas.openxmlformats.org/officeDocument/2006/relationships/hyperlink" Target="https://www.ncbi.nlm.nih.gov/nuccore/AF438165" TargetMode="External"/><Relationship Id="rId589" Type="http://schemas.openxmlformats.org/officeDocument/2006/relationships/hyperlink" Target="https://www.ncbi.nlm.nih.gov/nuccore/MF678796" TargetMode="External"/><Relationship Id="rId796" Type="http://schemas.openxmlformats.org/officeDocument/2006/relationships/hyperlink" Target="https://www.ncbi.nlm.nih.gov/nuccore/AY386265" TargetMode="External"/><Relationship Id="rId351" Type="http://schemas.openxmlformats.org/officeDocument/2006/relationships/hyperlink" Target="https://www.ncbi.nlm.nih.gov/nuccore/KY094066" TargetMode="External"/><Relationship Id="rId449" Type="http://schemas.openxmlformats.org/officeDocument/2006/relationships/hyperlink" Target="https://www.ncbi.nlm.nih.gov/nuccore/AY386264" TargetMode="External"/><Relationship Id="rId656" Type="http://schemas.openxmlformats.org/officeDocument/2006/relationships/hyperlink" Target="https://www.ncbi.nlm.nih.gov/nuccore/MF001304" TargetMode="External"/><Relationship Id="rId863" Type="http://schemas.openxmlformats.org/officeDocument/2006/relationships/hyperlink" Target="https://www.ncbi.nlm.nih.gov/nuccore/AP013055" TargetMode="External"/><Relationship Id="rId1079" Type="http://schemas.openxmlformats.org/officeDocument/2006/relationships/hyperlink" Target="https://www.ncbi.nlm.nih.gov/nuccore/AY753185" TargetMode="External"/><Relationship Id="rId1286" Type="http://schemas.openxmlformats.org/officeDocument/2006/relationships/hyperlink" Target="https://www.ncbi.nlm.nih.gov/nuccore/KJ859677" TargetMode="External"/><Relationship Id="rId211" Type="http://schemas.openxmlformats.org/officeDocument/2006/relationships/hyperlink" Target="https://www.ncbi.nlm.nih.gov/nuccore/KU749310" TargetMode="External"/><Relationship Id="rId309" Type="http://schemas.openxmlformats.org/officeDocument/2006/relationships/hyperlink" Target="https://www.ncbi.nlm.nih.gov/nuccore/DQ356948" TargetMode="External"/><Relationship Id="rId516" Type="http://schemas.openxmlformats.org/officeDocument/2006/relationships/hyperlink" Target="https://www.ncbi.nlm.nih.gov/nuccore/HF679131" TargetMode="External"/><Relationship Id="rId1146" Type="http://schemas.openxmlformats.org/officeDocument/2006/relationships/hyperlink" Target="https://www.ncbi.nlm.nih.gov/nuccore/AY386264" TargetMode="External"/><Relationship Id="rId723" Type="http://schemas.openxmlformats.org/officeDocument/2006/relationships/hyperlink" Target="https://www.ncbi.nlm.nih.gov/nuccore/AY009089" TargetMode="External"/><Relationship Id="rId930" Type="http://schemas.openxmlformats.org/officeDocument/2006/relationships/hyperlink" Target="https://www.ncbi.nlm.nih.gov/nuccore/MH427217" TargetMode="External"/><Relationship Id="rId1006" Type="http://schemas.openxmlformats.org/officeDocument/2006/relationships/hyperlink" Target="https://www.ncbi.nlm.nih.gov/nuccore/AF170726" TargetMode="External"/><Relationship Id="rId1353" Type="http://schemas.openxmlformats.org/officeDocument/2006/relationships/hyperlink" Target="https://www.ncbi.nlm.nih.gov/nuccore/DQ356948" TargetMode="External"/><Relationship Id="rId1213" Type="http://schemas.openxmlformats.org/officeDocument/2006/relationships/hyperlink" Target="https://www.ncbi.nlm.nih.gov/nuccore/AF250284" TargetMode="External"/><Relationship Id="rId1420" Type="http://schemas.openxmlformats.org/officeDocument/2006/relationships/hyperlink" Target="https://www.ncbi.nlm.nih.gov/nuccore/DQ792504" TargetMode="External"/><Relationship Id="rId17" Type="http://schemas.openxmlformats.org/officeDocument/2006/relationships/hyperlink" Target="https://www.ncbi.nlm.nih.gov/nuccore/HQ849551" TargetMode="External"/><Relationship Id="rId166" Type="http://schemas.openxmlformats.org/officeDocument/2006/relationships/hyperlink" Target="https://www.ncbi.nlm.nih.gov/nuccore/AF063866" TargetMode="External"/><Relationship Id="rId373" Type="http://schemas.openxmlformats.org/officeDocument/2006/relationships/hyperlink" Target="https://www.ncbi.nlm.nih.gov/nuccore/MH607141" TargetMode="External"/><Relationship Id="rId580" Type="http://schemas.openxmlformats.org/officeDocument/2006/relationships/hyperlink" Target="https://www.ncbi.nlm.nih.gov/nuccore/AY077835" TargetMode="External"/><Relationship Id="rId1" Type="http://schemas.openxmlformats.org/officeDocument/2006/relationships/hyperlink" Target="https://www.ncbi.nlm.nih.gov/nuccore/MF467281" TargetMode="External"/><Relationship Id="rId233" Type="http://schemas.openxmlformats.org/officeDocument/2006/relationships/hyperlink" Target="https://www.ncbi.nlm.nih.gov/nuccore/MF467281" TargetMode="External"/><Relationship Id="rId440" Type="http://schemas.openxmlformats.org/officeDocument/2006/relationships/hyperlink" Target="https://www.ncbi.nlm.nih.gov/nuccore/KP143769" TargetMode="External"/><Relationship Id="rId678" Type="http://schemas.openxmlformats.org/officeDocument/2006/relationships/hyperlink" Target="https://www.ncbi.nlm.nih.gov/nuccore/X69198" TargetMode="External"/><Relationship Id="rId885" Type="http://schemas.openxmlformats.org/officeDocument/2006/relationships/hyperlink" Target="https://www.ncbi.nlm.nih.gov/nuccore/AF325528" TargetMode="External"/><Relationship Id="rId1070" Type="http://schemas.openxmlformats.org/officeDocument/2006/relationships/hyperlink" Target="https://www.ncbi.nlm.nih.gov/nuccore/MH816996" TargetMode="External"/><Relationship Id="rId300" Type="http://schemas.openxmlformats.org/officeDocument/2006/relationships/hyperlink" Target="https://www.ncbi.nlm.nih.gov/nuccore/KJ859677" TargetMode="External"/><Relationship Id="rId538" Type="http://schemas.openxmlformats.org/officeDocument/2006/relationships/hyperlink" Target="https://www.ncbi.nlm.nih.gov/nuccore/MF001304" TargetMode="External"/><Relationship Id="rId745" Type="http://schemas.openxmlformats.org/officeDocument/2006/relationships/hyperlink" Target="https://www.ncbi.nlm.nih.gov/nuccore/AY386371" TargetMode="External"/><Relationship Id="rId952" Type="http://schemas.openxmlformats.org/officeDocument/2006/relationships/hyperlink" Target="https://www.ncbi.nlm.nih.gov/nuccore/MH816996" TargetMode="External"/><Relationship Id="rId1168" Type="http://schemas.openxmlformats.org/officeDocument/2006/relationships/hyperlink" Target="https://www.ncbi.nlm.nih.gov/nuccore/KY747497" TargetMode="External"/><Relationship Id="rId1375" Type="http://schemas.openxmlformats.org/officeDocument/2006/relationships/hyperlink" Target="https://www.ncbi.nlm.nih.gov/nuccore/KY382358" TargetMode="External"/><Relationship Id="rId81" Type="http://schemas.openxmlformats.org/officeDocument/2006/relationships/hyperlink" Target="https://www.ncbi.nlm.nih.gov/nuccore/U60315" TargetMode="External"/><Relationship Id="rId605" Type="http://schemas.openxmlformats.org/officeDocument/2006/relationships/hyperlink" Target="https://www.ncbi.nlm.nih.gov/nuccore/U60315" TargetMode="External"/><Relationship Id="rId812" Type="http://schemas.openxmlformats.org/officeDocument/2006/relationships/hyperlink" Target="https://www.ncbi.nlm.nih.gov/nuccore/AY077835" TargetMode="External"/><Relationship Id="rId1028" Type="http://schemas.openxmlformats.org/officeDocument/2006/relationships/hyperlink" Target="https://www.ncbi.nlm.nih.gov/nuccore/AY386265" TargetMode="External"/><Relationship Id="rId1235" Type="http://schemas.openxmlformats.org/officeDocument/2006/relationships/hyperlink" Target="https://www.ncbi.nlm.nih.gov/nuccore/HQ849551" TargetMode="External"/><Relationship Id="rId1442" Type="http://schemas.openxmlformats.org/officeDocument/2006/relationships/hyperlink" Target="https://www.ncbi.nlm.nih.gov/nuccore/AJ293568" TargetMode="External"/><Relationship Id="rId1302" Type="http://schemas.openxmlformats.org/officeDocument/2006/relationships/hyperlink" Target="https://www.ncbi.nlm.nih.gov/nuccore/DQ792504" TargetMode="External"/><Relationship Id="rId39" Type="http://schemas.openxmlformats.org/officeDocument/2006/relationships/hyperlink" Target="https://www.ncbi.nlm.nih.gov/nuccore/Y1678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cbi.nlm.nih.gov/nuccore/JX565564.1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476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RowHeight="16" x14ac:dyDescent="0.2"/>
  <cols>
    <col min="1" max="1" width="4.6640625" bestFit="1" customWidth="1"/>
    <col min="2" max="2" width="25.6640625" bestFit="1" customWidth="1"/>
    <col min="3" max="3" width="14.5" bestFit="1" customWidth="1"/>
    <col min="4" max="4" width="14.5" customWidth="1"/>
    <col min="5" max="5" width="133" bestFit="1" customWidth="1"/>
    <col min="6" max="6" width="37.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10</v>
      </c>
      <c r="B2" t="s">
        <v>11</v>
      </c>
      <c r="C2" t="s">
        <v>12</v>
      </c>
      <c r="D2" s="6" t="str">
        <f t="shared" ref="D2:D65" si="0">HYPERLINK(_xlfn.CONCAT("https://www.ncbi.nlm.nih.gov/protein/",C2),_xlfn.CONCAT("PROT:",C2))</f>
        <v>PROT:ATI21220.1</v>
      </c>
      <c r="E2" t="s">
        <v>13</v>
      </c>
      <c r="F2" t="s">
        <v>14</v>
      </c>
      <c r="G2">
        <f>IF(ISERROR(MATCH(AllProtiens!F2,Genomes!$C:$C,0)),0,1)</f>
        <v>1</v>
      </c>
      <c r="H2">
        <f>IF(ISERROR(MATCH(AllProtiens!A2,CoreProteinGroups!B:B,0)),0,1)</f>
        <v>1</v>
      </c>
      <c r="J2" s="6" t="s">
        <v>15</v>
      </c>
    </row>
    <row r="3" spans="1:10" x14ac:dyDescent="0.2">
      <c r="A3" s="1" t="s">
        <v>10</v>
      </c>
      <c r="B3" t="s">
        <v>11</v>
      </c>
      <c r="C3" t="s">
        <v>16</v>
      </c>
      <c r="D3" s="6" t="str">
        <f t="shared" si="0"/>
        <v>PROT:AWU47153.1</v>
      </c>
      <c r="E3" t="s">
        <v>11</v>
      </c>
      <c r="F3" t="s">
        <v>17</v>
      </c>
      <c r="G3">
        <f>IF(ISERROR(MATCH(AllProtiens!F3,Genomes!$C:$C,0)),0,1)</f>
        <v>1</v>
      </c>
      <c r="H3">
        <f>IF(ISERROR(MATCH(AllProtiens!A3,CoreProteinGroups!B:B,0)),0,1)</f>
        <v>1</v>
      </c>
      <c r="J3" s="6" t="s">
        <v>18</v>
      </c>
    </row>
    <row r="4" spans="1:10" x14ac:dyDescent="0.2">
      <c r="A4" s="1" t="s">
        <v>10</v>
      </c>
      <c r="B4" t="s">
        <v>11</v>
      </c>
      <c r="C4" t="s">
        <v>19</v>
      </c>
      <c r="D4" s="6" t="str">
        <f t="shared" si="0"/>
        <v>PROT:APG58328.1</v>
      </c>
      <c r="E4" t="s">
        <v>20</v>
      </c>
      <c r="F4" t="s">
        <v>21</v>
      </c>
      <c r="G4">
        <f>IF(ISERROR(MATCH(AllProtiens!F4,Genomes!$C:$C,0)),0,1)</f>
        <v>1</v>
      </c>
      <c r="H4">
        <f>IF(ISERROR(MATCH(AllProtiens!A4,CoreProteinGroups!B:B,0)),0,1)</f>
        <v>1</v>
      </c>
      <c r="J4" s="6" t="s">
        <v>22</v>
      </c>
    </row>
    <row r="5" spans="1:10" x14ac:dyDescent="0.2">
      <c r="A5" s="1" t="s">
        <v>10</v>
      </c>
      <c r="B5" t="s">
        <v>11</v>
      </c>
      <c r="C5" t="s">
        <v>23</v>
      </c>
      <c r="D5" s="6" t="str">
        <f t="shared" si="0"/>
        <v>PROT:ADT91137.1</v>
      </c>
      <c r="E5" t="s">
        <v>24</v>
      </c>
      <c r="F5" t="s">
        <v>25</v>
      </c>
      <c r="G5">
        <f>IF(ISERROR(MATCH(AllProtiens!F5,Genomes!$C:$C,0)),0,1)</f>
        <v>1</v>
      </c>
      <c r="H5">
        <f>IF(ISERROR(MATCH(AllProtiens!A5,CoreProteinGroups!B:B,0)),0,1)</f>
        <v>1</v>
      </c>
      <c r="J5" s="6" t="s">
        <v>26</v>
      </c>
    </row>
    <row r="6" spans="1:10" x14ac:dyDescent="0.2">
      <c r="A6" s="1" t="s">
        <v>10</v>
      </c>
      <c r="B6" t="s">
        <v>11</v>
      </c>
      <c r="C6" t="s">
        <v>27</v>
      </c>
      <c r="D6" s="6" t="str">
        <f t="shared" si="0"/>
        <v>PROT:ANS71197.1</v>
      </c>
      <c r="E6" t="s">
        <v>13</v>
      </c>
      <c r="F6" t="s">
        <v>28</v>
      </c>
      <c r="G6">
        <f>IF(ISERROR(MATCH(AllProtiens!F6,Genomes!$C:$C,0)),0,1)</f>
        <v>1</v>
      </c>
      <c r="H6">
        <f>IF(ISERROR(MATCH(AllProtiens!A6,CoreProteinGroups!B:B,0)),0,1)</f>
        <v>1</v>
      </c>
      <c r="J6" s="6" t="s">
        <v>29</v>
      </c>
    </row>
    <row r="7" spans="1:10" x14ac:dyDescent="0.2">
      <c r="A7" s="1" t="s">
        <v>10</v>
      </c>
      <c r="B7" t="s">
        <v>11</v>
      </c>
      <c r="C7" t="s">
        <v>30</v>
      </c>
      <c r="D7" s="6" t="str">
        <f t="shared" si="0"/>
        <v>PROT:AKR04244.1</v>
      </c>
      <c r="E7" t="s">
        <v>31</v>
      </c>
      <c r="F7" t="s">
        <v>32</v>
      </c>
      <c r="G7">
        <f>IF(ISERROR(MATCH(AllProtiens!F7,Genomes!$C:$C,0)),0,1)</f>
        <v>1</v>
      </c>
      <c r="H7">
        <f>IF(ISERROR(MATCH(AllProtiens!A7,CoreProteinGroups!B:B,0)),0,1)</f>
        <v>1</v>
      </c>
      <c r="J7" s="6" t="s">
        <v>33</v>
      </c>
    </row>
    <row r="8" spans="1:10" x14ac:dyDescent="0.2">
      <c r="A8" s="1" t="s">
        <v>10</v>
      </c>
      <c r="B8" t="s">
        <v>11</v>
      </c>
      <c r="C8" t="s">
        <v>34</v>
      </c>
      <c r="D8" s="6" t="str">
        <f t="shared" si="0"/>
        <v>PROT:CCD83290.1</v>
      </c>
      <c r="E8" t="s">
        <v>35</v>
      </c>
      <c r="F8" t="s">
        <v>36</v>
      </c>
      <c r="G8">
        <f>IF(ISERROR(MATCH(AllProtiens!F8,Genomes!$C:$C,0)),0,1)</f>
        <v>1</v>
      </c>
      <c r="H8">
        <f>IF(ISERROR(MATCH(AllProtiens!A8,CoreProteinGroups!B:B,0)),0,1)</f>
        <v>1</v>
      </c>
      <c r="J8" s="6" t="s">
        <v>37</v>
      </c>
    </row>
    <row r="9" spans="1:10" x14ac:dyDescent="0.2">
      <c r="A9" s="1" t="s">
        <v>10</v>
      </c>
      <c r="B9" t="s">
        <v>11</v>
      </c>
      <c r="C9" t="s">
        <v>38</v>
      </c>
      <c r="D9" s="6" t="str">
        <f t="shared" si="0"/>
        <v>PROT:ASK51316.1</v>
      </c>
      <c r="E9" t="s">
        <v>39</v>
      </c>
      <c r="F9" t="s">
        <v>40</v>
      </c>
      <c r="G9">
        <f>IF(ISERROR(MATCH(AllProtiens!F9,Genomes!$C:$C,0)),0,1)</f>
        <v>1</v>
      </c>
      <c r="H9">
        <f>IF(ISERROR(MATCH(AllProtiens!A9,CoreProteinGroups!B:B,0)),0,1)</f>
        <v>1</v>
      </c>
      <c r="J9" s="6" t="s">
        <v>41</v>
      </c>
    </row>
    <row r="10" spans="1:10" x14ac:dyDescent="0.2">
      <c r="A10" s="1" t="s">
        <v>10</v>
      </c>
      <c r="B10" t="s">
        <v>11</v>
      </c>
      <c r="C10" t="s">
        <v>42</v>
      </c>
      <c r="D10" s="6" t="str">
        <f t="shared" si="0"/>
        <v>PROT:AUD40291.1</v>
      </c>
      <c r="E10" t="s">
        <v>11</v>
      </c>
      <c r="F10" t="s">
        <v>43</v>
      </c>
      <c r="G10">
        <f>IF(ISERROR(MATCH(AllProtiens!F10,Genomes!$C:$C,0)),0,1)</f>
        <v>1</v>
      </c>
      <c r="H10">
        <f>IF(ISERROR(MATCH(AllProtiens!A10,CoreProteinGroups!B:B,0)),0,1)</f>
        <v>1</v>
      </c>
      <c r="J10" s="6" t="s">
        <v>44</v>
      </c>
    </row>
    <row r="11" spans="1:10" x14ac:dyDescent="0.2">
      <c r="A11" s="1" t="s">
        <v>10</v>
      </c>
      <c r="B11" t="s">
        <v>11</v>
      </c>
      <c r="C11" t="s">
        <v>45</v>
      </c>
      <c r="D11" s="6" t="str">
        <f t="shared" si="0"/>
        <v>PROT:AID46922.1</v>
      </c>
      <c r="E11" t="s">
        <v>11</v>
      </c>
      <c r="F11" t="s">
        <v>46</v>
      </c>
      <c r="G11">
        <f>IF(ISERROR(MATCH(AllProtiens!F11,Genomes!$C:$C,0)),0,1)</f>
        <v>1</v>
      </c>
      <c r="H11">
        <f>IF(ISERROR(MATCH(AllProtiens!A11,CoreProteinGroups!B:B,0)),0,1)</f>
        <v>1</v>
      </c>
      <c r="J11" s="6" t="s">
        <v>47</v>
      </c>
    </row>
    <row r="12" spans="1:10" x14ac:dyDescent="0.2">
      <c r="A12" s="1" t="s">
        <v>10</v>
      </c>
      <c r="B12" t="s">
        <v>11</v>
      </c>
      <c r="C12" t="s">
        <v>48</v>
      </c>
      <c r="D12" s="6" t="str">
        <f t="shared" si="0"/>
        <v>PROT:AID46690.1</v>
      </c>
      <c r="E12" t="s">
        <v>11</v>
      </c>
      <c r="F12" t="s">
        <v>49</v>
      </c>
      <c r="G12">
        <f>IF(ISERROR(MATCH(AllProtiens!F12,Genomes!$C:$C,0)),0,1)</f>
        <v>1</v>
      </c>
      <c r="H12">
        <f>IF(ISERROR(MATCH(AllProtiens!A12,CoreProteinGroups!B:B,0)),0,1)</f>
        <v>1</v>
      </c>
      <c r="J12" s="6" t="s">
        <v>50</v>
      </c>
    </row>
    <row r="13" spans="1:10" x14ac:dyDescent="0.2">
      <c r="A13" s="1" t="s">
        <v>10</v>
      </c>
      <c r="B13" t="s">
        <v>11</v>
      </c>
      <c r="C13" t="s">
        <v>51</v>
      </c>
      <c r="D13" s="6" t="str">
        <f t="shared" si="0"/>
        <v>PROT:ALA62507.1</v>
      </c>
      <c r="E13" t="s">
        <v>52</v>
      </c>
      <c r="F13" t="s">
        <v>53</v>
      </c>
      <c r="G13">
        <f>IF(ISERROR(MATCH(AllProtiens!F13,Genomes!$C:$C,0)),0,1)</f>
        <v>1</v>
      </c>
      <c r="H13">
        <f>IF(ISERROR(MATCH(AllProtiens!A13,CoreProteinGroups!B:B,0)),0,1)</f>
        <v>1</v>
      </c>
      <c r="J13" s="6" t="s">
        <v>54</v>
      </c>
    </row>
    <row r="14" spans="1:10" x14ac:dyDescent="0.2">
      <c r="A14" s="1" t="s">
        <v>10</v>
      </c>
      <c r="B14" t="s">
        <v>11</v>
      </c>
      <c r="C14" t="s">
        <v>55</v>
      </c>
      <c r="D14" s="6" t="str">
        <f t="shared" si="0"/>
        <v>PROT:AAR83603.1</v>
      </c>
      <c r="E14" t="s">
        <v>56</v>
      </c>
      <c r="F14" t="s">
        <v>57</v>
      </c>
      <c r="G14">
        <f>IF(ISERROR(MATCH(AllProtiens!F14,Genomes!$C:$C,0)),0,1)</f>
        <v>1</v>
      </c>
      <c r="H14">
        <f>IF(ISERROR(MATCH(AllProtiens!A14,CoreProteinGroups!B:B,0)),0,1)</f>
        <v>1</v>
      </c>
      <c r="J14" s="6" t="s">
        <v>58</v>
      </c>
    </row>
    <row r="15" spans="1:10" x14ac:dyDescent="0.2">
      <c r="A15" s="1" t="s">
        <v>10</v>
      </c>
      <c r="B15" t="s">
        <v>11</v>
      </c>
      <c r="C15" t="s">
        <v>59</v>
      </c>
      <c r="D15" s="6" t="str">
        <f t="shared" si="0"/>
        <v>PROT:AAF44527.1</v>
      </c>
      <c r="E15" t="s">
        <v>60</v>
      </c>
      <c r="F15" t="s">
        <v>61</v>
      </c>
      <c r="G15">
        <f>IF(ISERROR(MATCH(AllProtiens!F15,Genomes!$C:$C,0)),0,1)</f>
        <v>1</v>
      </c>
      <c r="H15">
        <f>IF(ISERROR(MATCH(AllProtiens!A15,CoreProteinGroups!B:B,0)),0,1)</f>
        <v>1</v>
      </c>
      <c r="J15" s="6" t="s">
        <v>62</v>
      </c>
    </row>
    <row r="16" spans="1:10" x14ac:dyDescent="0.2">
      <c r="A16" s="1" t="s">
        <v>10</v>
      </c>
      <c r="B16" t="s">
        <v>11</v>
      </c>
      <c r="C16" t="s">
        <v>63</v>
      </c>
      <c r="D16" s="6" t="str">
        <f t="shared" si="0"/>
        <v>PROT:AAK85071.1</v>
      </c>
      <c r="E16" t="s">
        <v>64</v>
      </c>
      <c r="F16" t="s">
        <v>65</v>
      </c>
      <c r="G16">
        <f>IF(ISERROR(MATCH(AllProtiens!F16,Genomes!$C:$C,0)),0,1)</f>
        <v>1</v>
      </c>
      <c r="H16">
        <f>IF(ISERROR(MATCH(AllProtiens!A16,CoreProteinGroups!B:B,0)),0,1)</f>
        <v>1</v>
      </c>
      <c r="J16" s="6" t="s">
        <v>66</v>
      </c>
    </row>
    <row r="17" spans="1:10" x14ac:dyDescent="0.2">
      <c r="A17" s="1" t="s">
        <v>10</v>
      </c>
      <c r="B17" t="s">
        <v>11</v>
      </c>
      <c r="C17" t="s">
        <v>67</v>
      </c>
      <c r="D17" s="6" t="str">
        <f t="shared" si="0"/>
        <v>PROT:AST09329.1</v>
      </c>
      <c r="E17" t="s">
        <v>11</v>
      </c>
      <c r="F17" t="s">
        <v>68</v>
      </c>
      <c r="G17">
        <f>IF(ISERROR(MATCH(AllProtiens!F17,Genomes!$C:$C,0)),0,1)</f>
        <v>1</v>
      </c>
      <c r="H17">
        <f>IF(ISERROR(MATCH(AllProtiens!A17,CoreProteinGroups!B:B,0)),0,1)</f>
        <v>1</v>
      </c>
      <c r="J17" s="6" t="s">
        <v>69</v>
      </c>
    </row>
    <row r="18" spans="1:10" x14ac:dyDescent="0.2">
      <c r="A18" s="1" t="s">
        <v>10</v>
      </c>
      <c r="B18" t="s">
        <v>11</v>
      </c>
      <c r="C18" t="s">
        <v>70</v>
      </c>
      <c r="D18" s="6" t="str">
        <f t="shared" si="0"/>
        <v>PROT:AEN03711.1</v>
      </c>
      <c r="E18" t="s">
        <v>11</v>
      </c>
      <c r="F18" t="s">
        <v>71</v>
      </c>
      <c r="G18">
        <f>IF(ISERROR(MATCH(AllProtiens!F18,Genomes!$C:$C,0)),0,1)</f>
        <v>1</v>
      </c>
      <c r="H18">
        <f>IF(ISERROR(MATCH(AllProtiens!A18,CoreProteinGroups!B:B,0)),0,1)</f>
        <v>1</v>
      </c>
      <c r="J18" s="6" t="s">
        <v>72</v>
      </c>
    </row>
    <row r="19" spans="1:10" x14ac:dyDescent="0.2">
      <c r="A19" s="1" t="s">
        <v>10</v>
      </c>
      <c r="B19" t="s">
        <v>11</v>
      </c>
      <c r="C19" t="s">
        <v>73</v>
      </c>
      <c r="D19" s="6" t="str">
        <f t="shared" si="0"/>
        <v>PROT:ABI99274.1</v>
      </c>
      <c r="E19" t="s">
        <v>11</v>
      </c>
      <c r="F19" t="s">
        <v>74</v>
      </c>
      <c r="G19">
        <f>IF(ISERROR(MATCH(AllProtiens!F19,Genomes!$C:$C,0)),0,1)</f>
        <v>1</v>
      </c>
      <c r="H19">
        <f>IF(ISERROR(MATCH(AllProtiens!A19,CoreProteinGroups!B:B,0)),0,1)</f>
        <v>1</v>
      </c>
      <c r="J19" s="6" t="s">
        <v>75</v>
      </c>
    </row>
    <row r="20" spans="1:10" x14ac:dyDescent="0.2">
      <c r="A20" s="1" t="s">
        <v>10</v>
      </c>
      <c r="B20" t="s">
        <v>11</v>
      </c>
      <c r="C20" t="s">
        <v>76</v>
      </c>
      <c r="D20" s="6" t="str">
        <f t="shared" si="0"/>
        <v>PROT:ABJ09032.1</v>
      </c>
      <c r="E20" t="s">
        <v>11</v>
      </c>
      <c r="F20" t="s">
        <v>77</v>
      </c>
      <c r="G20">
        <f>IF(ISERROR(MATCH(AllProtiens!F20,Genomes!$C:$C,0)),0,1)</f>
        <v>1</v>
      </c>
      <c r="H20">
        <f>IF(ISERROR(MATCH(AllProtiens!A20,CoreProteinGroups!B:B,0)),0,1)</f>
        <v>1</v>
      </c>
      <c r="J20" s="6" t="s">
        <v>78</v>
      </c>
    </row>
    <row r="21" spans="1:10" x14ac:dyDescent="0.2">
      <c r="A21" s="1" t="s">
        <v>10</v>
      </c>
      <c r="B21" t="s">
        <v>11</v>
      </c>
      <c r="C21" t="s">
        <v>79</v>
      </c>
      <c r="D21" s="6" t="str">
        <f t="shared" si="0"/>
        <v>PROT:AAF14996.1</v>
      </c>
      <c r="E21" t="s">
        <v>80</v>
      </c>
      <c r="F21" t="s">
        <v>81</v>
      </c>
      <c r="G21">
        <f>IF(ISERROR(MATCH(AllProtiens!F21,Genomes!$C:$C,0)),0,1)</f>
        <v>0</v>
      </c>
      <c r="H21">
        <f>IF(ISERROR(MATCH(AllProtiens!A21,CoreProteinGroups!B:B,0)),0,1)</f>
        <v>1</v>
      </c>
      <c r="J21" s="6" t="s">
        <v>82</v>
      </c>
    </row>
    <row r="22" spans="1:10" x14ac:dyDescent="0.2">
      <c r="A22" s="1" t="s">
        <v>10</v>
      </c>
      <c r="B22" t="s">
        <v>11</v>
      </c>
      <c r="C22" t="s">
        <v>83</v>
      </c>
      <c r="D22" s="6" t="str">
        <f t="shared" si="0"/>
        <v>PROT:AFU77372.1</v>
      </c>
      <c r="E22" t="s">
        <v>80</v>
      </c>
      <c r="F22" t="s">
        <v>81</v>
      </c>
      <c r="G22">
        <f>IF(ISERROR(MATCH(AllProtiens!F22,Genomes!$C:$C,0)),0,1)</f>
        <v>0</v>
      </c>
      <c r="H22">
        <f>IF(ISERROR(MATCH(AllProtiens!A22,CoreProteinGroups!B:B,0)),0,1)</f>
        <v>1</v>
      </c>
      <c r="J22" s="6" t="s">
        <v>82</v>
      </c>
    </row>
    <row r="23" spans="1:10" x14ac:dyDescent="0.2">
      <c r="A23" s="1" t="s">
        <v>10</v>
      </c>
      <c r="B23" t="s">
        <v>11</v>
      </c>
      <c r="C23" t="s">
        <v>84</v>
      </c>
      <c r="D23" s="6" t="str">
        <f t="shared" si="0"/>
        <v>PROT:AAF17991.1</v>
      </c>
      <c r="E23" t="s">
        <v>85</v>
      </c>
      <c r="F23" t="s">
        <v>86</v>
      </c>
      <c r="G23">
        <f>IF(ISERROR(MATCH(AllProtiens!F23,Genomes!$C:$C,0)),0,1)</f>
        <v>1</v>
      </c>
      <c r="H23">
        <f>IF(ISERROR(MATCH(AllProtiens!A23,CoreProteinGroups!B:B,0)),0,1)</f>
        <v>1</v>
      </c>
      <c r="J23" s="6" t="s">
        <v>87</v>
      </c>
    </row>
    <row r="24" spans="1:10" x14ac:dyDescent="0.2">
      <c r="A24" s="1" t="s">
        <v>10</v>
      </c>
      <c r="B24" t="s">
        <v>11</v>
      </c>
      <c r="C24" t="s">
        <v>88</v>
      </c>
      <c r="D24" s="6" t="str">
        <f t="shared" si="0"/>
        <v>PROT:AAC55251.1</v>
      </c>
      <c r="E24" t="s">
        <v>89</v>
      </c>
      <c r="F24" t="s">
        <v>90</v>
      </c>
      <c r="G24">
        <f>IF(ISERROR(MATCH(AllProtiens!F24,Genomes!$C:$C,0)),0,1)</f>
        <v>1</v>
      </c>
      <c r="H24">
        <f>IF(ISERROR(MATCH(AllProtiens!A24,CoreProteinGroups!B:B,0)),0,1)</f>
        <v>1</v>
      </c>
      <c r="J24" s="6" t="s">
        <v>91</v>
      </c>
    </row>
    <row r="25" spans="1:10" x14ac:dyDescent="0.2">
      <c r="A25" s="1" t="s">
        <v>10</v>
      </c>
      <c r="B25" t="s">
        <v>11</v>
      </c>
      <c r="C25" t="s">
        <v>92</v>
      </c>
      <c r="D25" s="6" t="str">
        <f t="shared" si="0"/>
        <v>PROT:AYN64703.1</v>
      </c>
      <c r="E25" t="s">
        <v>93</v>
      </c>
      <c r="F25" t="s">
        <v>94</v>
      </c>
      <c r="G25">
        <f>IF(ISERROR(MATCH(AllProtiens!F25,Genomes!$C:$C,0)),0,1)</f>
        <v>1</v>
      </c>
      <c r="H25">
        <f>IF(ISERROR(MATCH(AllProtiens!A25,CoreProteinGroups!B:B,0)),0,1)</f>
        <v>1</v>
      </c>
      <c r="J25" s="6" t="s">
        <v>95</v>
      </c>
    </row>
    <row r="26" spans="1:10" x14ac:dyDescent="0.2">
      <c r="A26" s="1" t="s">
        <v>10</v>
      </c>
      <c r="B26" t="s">
        <v>11</v>
      </c>
      <c r="C26" t="s">
        <v>96</v>
      </c>
      <c r="D26" s="6" t="str">
        <f t="shared" si="0"/>
        <v>PROT:AXN74933.1</v>
      </c>
      <c r="E26" t="s">
        <v>11</v>
      </c>
      <c r="F26" t="s">
        <v>97</v>
      </c>
      <c r="G26">
        <f>IF(ISERROR(MATCH(AllProtiens!F26,Genomes!$C:$C,0)),0,1)</f>
        <v>1</v>
      </c>
      <c r="H26">
        <f>IF(ISERROR(MATCH(AllProtiens!A26,CoreProteinGroups!B:B,0)),0,1)</f>
        <v>1</v>
      </c>
      <c r="J26" s="6" t="s">
        <v>98</v>
      </c>
    </row>
    <row r="27" spans="1:10" x14ac:dyDescent="0.2">
      <c r="A27" s="1" t="s">
        <v>10</v>
      </c>
      <c r="B27" t="s">
        <v>11</v>
      </c>
      <c r="C27" t="s">
        <v>99</v>
      </c>
      <c r="D27" s="6" t="str">
        <f t="shared" si="0"/>
        <v>PROT:ABH08245.1</v>
      </c>
      <c r="E27" t="s">
        <v>100</v>
      </c>
      <c r="F27" t="s">
        <v>101</v>
      </c>
      <c r="G27">
        <f>IF(ISERROR(MATCH(AllProtiens!F27,Genomes!$C:$C,0)),0,1)</f>
        <v>1</v>
      </c>
      <c r="H27">
        <f>IF(ISERROR(MATCH(AllProtiens!A27,CoreProteinGroups!B:B,0)),0,1)</f>
        <v>1</v>
      </c>
      <c r="J27" s="6" t="s">
        <v>102</v>
      </c>
    </row>
    <row r="28" spans="1:10" x14ac:dyDescent="0.2">
      <c r="A28" s="1" t="s">
        <v>10</v>
      </c>
      <c r="B28" t="s">
        <v>11</v>
      </c>
      <c r="C28" t="s">
        <v>103</v>
      </c>
      <c r="D28" s="6" t="str">
        <f t="shared" si="0"/>
        <v>PROT:AAG37625.1</v>
      </c>
      <c r="E28" t="s">
        <v>104</v>
      </c>
      <c r="F28" t="s">
        <v>105</v>
      </c>
      <c r="G28">
        <f>IF(ISERROR(MATCH(AllProtiens!F28,Genomes!$C:$C,0)),0,1)</f>
        <v>1</v>
      </c>
      <c r="H28">
        <f>IF(ISERROR(MATCH(AllProtiens!A28,CoreProteinGroups!B:B,0)),0,1)</f>
        <v>1</v>
      </c>
      <c r="J28" s="6" t="s">
        <v>106</v>
      </c>
    </row>
    <row r="29" spans="1:10" x14ac:dyDescent="0.2">
      <c r="A29" s="1" t="s">
        <v>10</v>
      </c>
      <c r="B29" t="s">
        <v>11</v>
      </c>
      <c r="C29" t="s">
        <v>107</v>
      </c>
      <c r="D29" s="6" t="str">
        <f t="shared" si="0"/>
        <v>PROT:AAL73843.1</v>
      </c>
      <c r="E29" t="s">
        <v>108</v>
      </c>
      <c r="F29" t="s">
        <v>109</v>
      </c>
      <c r="G29">
        <f>IF(ISERROR(MATCH(AllProtiens!F29,Genomes!$C:$C,0)),0,1)</f>
        <v>1</v>
      </c>
      <c r="H29">
        <f>IF(ISERROR(MATCH(AllProtiens!A29,CoreProteinGroups!B:B,0)),0,1)</f>
        <v>1</v>
      </c>
      <c r="J29" s="6" t="s">
        <v>110</v>
      </c>
    </row>
    <row r="30" spans="1:10" x14ac:dyDescent="0.2">
      <c r="A30" s="1" t="s">
        <v>10</v>
      </c>
      <c r="B30" t="s">
        <v>11</v>
      </c>
      <c r="C30" t="s">
        <v>111</v>
      </c>
      <c r="D30" s="6" t="str">
        <f t="shared" si="0"/>
        <v>PROT:AAM13592.1</v>
      </c>
      <c r="E30" t="s">
        <v>112</v>
      </c>
      <c r="F30" t="s">
        <v>113</v>
      </c>
      <c r="G30">
        <f>IF(ISERROR(MATCH(AllProtiens!F30,Genomes!$C:$C,0)),0,1)</f>
        <v>1</v>
      </c>
      <c r="H30">
        <f>IF(ISERROR(MATCH(AllProtiens!A30,CoreProteinGroups!B:B,0)),0,1)</f>
        <v>1</v>
      </c>
      <c r="J30" s="6" t="s">
        <v>114</v>
      </c>
    </row>
    <row r="31" spans="1:10" x14ac:dyDescent="0.2">
      <c r="A31" s="1" t="s">
        <v>10</v>
      </c>
      <c r="B31" t="s">
        <v>11</v>
      </c>
      <c r="C31" t="s">
        <v>115</v>
      </c>
      <c r="D31" s="6" t="str">
        <f t="shared" si="0"/>
        <v>PROT:AAM92426.1</v>
      </c>
      <c r="E31" t="s">
        <v>116</v>
      </c>
      <c r="F31" t="s">
        <v>117</v>
      </c>
      <c r="G31">
        <f>IF(ISERROR(MATCH(AllProtiens!F31,Genomes!$C:$C,0)),0,1)</f>
        <v>1</v>
      </c>
      <c r="H31">
        <f>IF(ISERROR(MATCH(AllProtiens!A31,CoreProteinGroups!B:B,0)),0,1)</f>
        <v>1</v>
      </c>
      <c r="J31" s="6" t="s">
        <v>118</v>
      </c>
    </row>
    <row r="32" spans="1:10" x14ac:dyDescent="0.2">
      <c r="A32" s="1" t="s">
        <v>10</v>
      </c>
      <c r="B32" t="s">
        <v>11</v>
      </c>
      <c r="C32" t="s">
        <v>119</v>
      </c>
      <c r="D32" s="6" t="str">
        <f t="shared" si="0"/>
        <v>PROT:AFH54685.1</v>
      </c>
      <c r="E32" t="s">
        <v>11</v>
      </c>
      <c r="F32" t="s">
        <v>120</v>
      </c>
      <c r="G32">
        <f>IF(ISERROR(MATCH(AllProtiens!F32,Genomes!$C:$C,0)),0,1)</f>
        <v>1</v>
      </c>
      <c r="H32">
        <f>IF(ISERROR(MATCH(AllProtiens!A32,CoreProteinGroups!B:B,0)),0,1)</f>
        <v>1</v>
      </c>
      <c r="J32" s="6" t="s">
        <v>121</v>
      </c>
    </row>
    <row r="33" spans="1:10" x14ac:dyDescent="0.2">
      <c r="A33" s="1" t="s">
        <v>10</v>
      </c>
      <c r="B33" t="s">
        <v>11</v>
      </c>
      <c r="C33" t="s">
        <v>122</v>
      </c>
      <c r="D33" s="6" t="str">
        <f t="shared" si="0"/>
        <v>PROT:AAL40587.1</v>
      </c>
      <c r="E33" t="s">
        <v>123</v>
      </c>
      <c r="F33" t="s">
        <v>124</v>
      </c>
      <c r="G33">
        <f>IF(ISERROR(MATCH(AllProtiens!F33,Genomes!$C:$C,0)),0,1)</f>
        <v>1</v>
      </c>
      <c r="H33">
        <f>IF(ISERROR(MATCH(AllProtiens!A33,CoreProteinGroups!B:B,0)),0,1)</f>
        <v>1</v>
      </c>
      <c r="J33" s="6" t="s">
        <v>125</v>
      </c>
    </row>
    <row r="34" spans="1:10" x14ac:dyDescent="0.2">
      <c r="A34" s="1" t="s">
        <v>10</v>
      </c>
      <c r="B34" t="s">
        <v>11</v>
      </c>
      <c r="C34" t="s">
        <v>126</v>
      </c>
      <c r="D34" s="6" t="str">
        <f t="shared" si="0"/>
        <v>PROT:AAX09225.1</v>
      </c>
      <c r="E34" t="s">
        <v>127</v>
      </c>
      <c r="F34" t="s">
        <v>128</v>
      </c>
      <c r="G34">
        <f>IF(ISERROR(MATCH(AllProtiens!F34,Genomes!$C:$C,0)),0,1)</f>
        <v>1</v>
      </c>
      <c r="H34">
        <f>IF(ISERROR(MATCH(AllProtiens!A34,CoreProteinGroups!B:B,0)),0,1)</f>
        <v>1</v>
      </c>
      <c r="J34" s="6" t="s">
        <v>129</v>
      </c>
    </row>
    <row r="35" spans="1:10" x14ac:dyDescent="0.2">
      <c r="A35" s="1" t="s">
        <v>10</v>
      </c>
      <c r="B35" t="s">
        <v>11</v>
      </c>
      <c r="C35" t="s">
        <v>130</v>
      </c>
      <c r="D35" s="6" t="str">
        <f t="shared" si="0"/>
        <v>PROT:AKJ93767.1</v>
      </c>
      <c r="E35" t="s">
        <v>11</v>
      </c>
      <c r="F35" t="s">
        <v>131</v>
      </c>
      <c r="G35">
        <f>IF(ISERROR(MATCH(AllProtiens!F35,Genomes!$C:$C,0)),0,1)</f>
        <v>1</v>
      </c>
      <c r="H35">
        <f>IF(ISERROR(MATCH(AllProtiens!A35,CoreProteinGroups!B:B,0)),0,1)</f>
        <v>1</v>
      </c>
      <c r="J35" s="6" t="s">
        <v>132</v>
      </c>
    </row>
    <row r="36" spans="1:10" x14ac:dyDescent="0.2">
      <c r="A36" s="1" t="s">
        <v>10</v>
      </c>
      <c r="B36" t="s">
        <v>11</v>
      </c>
      <c r="C36" t="s">
        <v>133</v>
      </c>
      <c r="D36" s="6" t="str">
        <f t="shared" si="0"/>
        <v>PROT:AOP31616.1</v>
      </c>
      <c r="E36" t="s">
        <v>11</v>
      </c>
      <c r="F36" t="s">
        <v>134</v>
      </c>
      <c r="G36">
        <f>IF(ISERROR(MATCH(AllProtiens!F36,Genomes!$C:$C,0)),0,1)</f>
        <v>1</v>
      </c>
      <c r="H36">
        <f>IF(ISERROR(MATCH(AllProtiens!A36,CoreProteinGroups!B:B,0)),0,1)</f>
        <v>1</v>
      </c>
      <c r="J36" s="6" t="s">
        <v>135</v>
      </c>
    </row>
    <row r="37" spans="1:10" x14ac:dyDescent="0.2">
      <c r="A37" s="1" t="s">
        <v>10</v>
      </c>
      <c r="B37" t="s">
        <v>11</v>
      </c>
      <c r="C37" t="s">
        <v>136</v>
      </c>
      <c r="D37" s="6" t="str">
        <f t="shared" si="0"/>
        <v>PROT:ABD97706.1</v>
      </c>
      <c r="E37" t="s">
        <v>11</v>
      </c>
      <c r="F37" t="s">
        <v>137</v>
      </c>
      <c r="G37">
        <f>IF(ISERROR(MATCH(AllProtiens!F37,Genomes!$C:$C,0)),0,1)</f>
        <v>1</v>
      </c>
      <c r="H37">
        <f>IF(ISERROR(MATCH(AllProtiens!A37,CoreProteinGroups!B:B,0)),0,1)</f>
        <v>1</v>
      </c>
      <c r="J37" s="6" t="s">
        <v>138</v>
      </c>
    </row>
    <row r="38" spans="1:10" x14ac:dyDescent="0.2">
      <c r="A38" s="1" t="s">
        <v>10</v>
      </c>
      <c r="B38" t="s">
        <v>11</v>
      </c>
      <c r="C38" t="s">
        <v>139</v>
      </c>
      <c r="D38" s="6" t="str">
        <f t="shared" si="0"/>
        <v>PROT:AAO89417.1</v>
      </c>
      <c r="E38" t="s">
        <v>11</v>
      </c>
      <c r="F38" t="s">
        <v>140</v>
      </c>
      <c r="G38">
        <f>IF(ISERROR(MATCH(AllProtiens!F38,Genomes!$C:$C,0)),0,1)</f>
        <v>1</v>
      </c>
      <c r="H38">
        <f>IF(ISERROR(MATCH(AllProtiens!A38,CoreProteinGroups!B:B,0)),0,1)</f>
        <v>1</v>
      </c>
      <c r="J38" s="6" t="s">
        <v>141</v>
      </c>
    </row>
    <row r="39" spans="1:10" x14ac:dyDescent="0.2">
      <c r="A39" s="1" t="s">
        <v>10</v>
      </c>
      <c r="B39" t="s">
        <v>11</v>
      </c>
      <c r="C39" t="s">
        <v>142</v>
      </c>
      <c r="D39" s="6" t="str">
        <f t="shared" si="0"/>
        <v>PROT:CAA49063.1</v>
      </c>
      <c r="E39" t="s">
        <v>143</v>
      </c>
      <c r="F39" t="s">
        <v>144</v>
      </c>
      <c r="G39">
        <f>IF(ISERROR(MATCH(AllProtiens!F39,Genomes!$C:$C,0)),0,1)</f>
        <v>1</v>
      </c>
      <c r="H39">
        <f>IF(ISERROR(MATCH(AllProtiens!A39,CoreProteinGroups!B:B,0)),0,1)</f>
        <v>1</v>
      </c>
      <c r="J39" s="6" t="s">
        <v>145</v>
      </c>
    </row>
    <row r="40" spans="1:10" x14ac:dyDescent="0.2">
      <c r="A40" s="1" t="s">
        <v>10</v>
      </c>
      <c r="B40" t="s">
        <v>11</v>
      </c>
      <c r="C40" t="s">
        <v>146</v>
      </c>
      <c r="D40" s="6" t="str">
        <f t="shared" si="0"/>
        <v>PROT:CAB54722.1</v>
      </c>
      <c r="E40" t="s">
        <v>147</v>
      </c>
      <c r="F40" t="s">
        <v>148</v>
      </c>
      <c r="G40">
        <f>IF(ISERROR(MATCH(AllProtiens!F40,Genomes!$C:$C,0)),0,1)</f>
        <v>1</v>
      </c>
      <c r="H40">
        <f>IF(ISERROR(MATCH(AllProtiens!A40,CoreProteinGroups!B:B,0)),0,1)</f>
        <v>1</v>
      </c>
      <c r="J40" s="6" t="s">
        <v>149</v>
      </c>
    </row>
    <row r="41" spans="1:10" x14ac:dyDescent="0.2">
      <c r="A41" s="1" t="s">
        <v>10</v>
      </c>
      <c r="B41" t="s">
        <v>11</v>
      </c>
      <c r="C41" t="s">
        <v>150</v>
      </c>
      <c r="D41" s="6" t="str">
        <f t="shared" si="0"/>
        <v>PROT:AOP31827.1</v>
      </c>
      <c r="E41" t="s">
        <v>11</v>
      </c>
      <c r="F41" t="s">
        <v>151</v>
      </c>
      <c r="G41">
        <f>IF(ISERROR(MATCH(AllProtiens!F41,Genomes!$C:$C,0)),0,1)</f>
        <v>1</v>
      </c>
      <c r="H41">
        <f>IF(ISERROR(MATCH(AllProtiens!A41,CoreProteinGroups!B:B,0)),0,1)</f>
        <v>1</v>
      </c>
      <c r="J41" s="6" t="s">
        <v>152</v>
      </c>
    </row>
    <row r="42" spans="1:10" x14ac:dyDescent="0.2">
      <c r="A42" s="1" t="s">
        <v>10</v>
      </c>
      <c r="B42" t="s">
        <v>11</v>
      </c>
      <c r="C42" t="s">
        <v>153</v>
      </c>
      <c r="D42" s="6" t="str">
        <f t="shared" si="0"/>
        <v>PROT:ASC55551.1</v>
      </c>
      <c r="E42" t="s">
        <v>154</v>
      </c>
      <c r="F42" t="s">
        <v>155</v>
      </c>
      <c r="G42">
        <f>IF(ISERROR(MATCH(AllProtiens!F42,Genomes!$C:$C,0)),0,1)</f>
        <v>1</v>
      </c>
      <c r="H42">
        <f>IF(ISERROR(MATCH(AllProtiens!A42,CoreProteinGroups!B:B,0)),0,1)</f>
        <v>1</v>
      </c>
      <c r="J42" s="6" t="s">
        <v>156</v>
      </c>
    </row>
    <row r="43" spans="1:10" x14ac:dyDescent="0.2">
      <c r="A43" s="1" t="s">
        <v>10</v>
      </c>
      <c r="B43" t="s">
        <v>11</v>
      </c>
      <c r="C43" t="s">
        <v>157</v>
      </c>
      <c r="D43" s="6" t="str">
        <f t="shared" si="0"/>
        <v>PROT:AAR98452.1</v>
      </c>
      <c r="E43" t="s">
        <v>158</v>
      </c>
      <c r="F43" t="s">
        <v>159</v>
      </c>
      <c r="G43">
        <f>IF(ISERROR(MATCH(AllProtiens!F43,Genomes!$C:$C,0)),0,1)</f>
        <v>1</v>
      </c>
      <c r="H43">
        <f>IF(ISERROR(MATCH(AllProtiens!A43,CoreProteinGroups!B:B,0)),0,1)</f>
        <v>1</v>
      </c>
      <c r="J43" s="6" t="s">
        <v>160</v>
      </c>
    </row>
    <row r="44" spans="1:10" x14ac:dyDescent="0.2">
      <c r="A44" s="1" t="s">
        <v>10</v>
      </c>
      <c r="B44" t="s">
        <v>11</v>
      </c>
      <c r="C44" t="s">
        <v>161</v>
      </c>
      <c r="D44" s="6" t="str">
        <f t="shared" si="0"/>
        <v>PROT:AAR98320.1</v>
      </c>
      <c r="E44" t="s">
        <v>158</v>
      </c>
      <c r="F44" t="s">
        <v>162</v>
      </c>
      <c r="G44">
        <f>IF(ISERROR(MATCH(AllProtiens!F44,Genomes!$C:$C,0)),0,1)</f>
        <v>1</v>
      </c>
      <c r="H44">
        <f>IF(ISERROR(MATCH(AllProtiens!A44,CoreProteinGroups!B:B,0)),0,1)</f>
        <v>1</v>
      </c>
      <c r="J44" s="6" t="s">
        <v>163</v>
      </c>
    </row>
    <row r="45" spans="1:10" x14ac:dyDescent="0.2">
      <c r="A45" s="1" t="s">
        <v>10</v>
      </c>
      <c r="B45" t="s">
        <v>11</v>
      </c>
      <c r="C45" t="s">
        <v>164</v>
      </c>
      <c r="D45" s="6" t="str">
        <f t="shared" si="0"/>
        <v>PROT:ABA00612.1</v>
      </c>
      <c r="E45" t="s">
        <v>11</v>
      </c>
      <c r="F45" t="s">
        <v>162</v>
      </c>
      <c r="G45">
        <f>IF(ISERROR(MATCH(AllProtiens!F45,Genomes!$C:$C,0)),0,1)</f>
        <v>1</v>
      </c>
      <c r="H45">
        <f>IF(ISERROR(MATCH(AllProtiens!A45,CoreProteinGroups!B:B,0)),0,1)</f>
        <v>1</v>
      </c>
      <c r="J45" s="6" t="s">
        <v>163</v>
      </c>
    </row>
    <row r="46" spans="1:10" x14ac:dyDescent="0.2">
      <c r="A46" s="1" t="s">
        <v>10</v>
      </c>
      <c r="B46" t="s">
        <v>11</v>
      </c>
      <c r="C46" t="s">
        <v>165</v>
      </c>
      <c r="D46" s="6" t="str">
        <f t="shared" si="0"/>
        <v>PROT:AIZ77346.1</v>
      </c>
      <c r="E46" t="s">
        <v>166</v>
      </c>
      <c r="F46" t="s">
        <v>167</v>
      </c>
      <c r="G46">
        <f>IF(ISERROR(MATCH(AllProtiens!F46,Genomes!$C:$C,0)),0,1)</f>
        <v>1</v>
      </c>
      <c r="H46">
        <f>IF(ISERROR(MATCH(AllProtiens!A46,CoreProteinGroups!B:B,0)),0,1)</f>
        <v>1</v>
      </c>
      <c r="J46" s="6" t="s">
        <v>168</v>
      </c>
    </row>
    <row r="47" spans="1:10" x14ac:dyDescent="0.2">
      <c r="A47" s="1" t="s">
        <v>10</v>
      </c>
      <c r="B47" t="s">
        <v>11</v>
      </c>
      <c r="C47" t="s">
        <v>169</v>
      </c>
      <c r="D47" s="6" t="str">
        <f t="shared" si="0"/>
        <v>PROT:ADC53997.1</v>
      </c>
      <c r="E47" t="s">
        <v>11</v>
      </c>
      <c r="F47" t="s">
        <v>170</v>
      </c>
      <c r="G47">
        <f>IF(ISERROR(MATCH(AllProtiens!F47,Genomes!$C:$C,0)),0,1)</f>
        <v>1</v>
      </c>
      <c r="H47">
        <f>IF(ISERROR(MATCH(AllProtiens!A47,CoreProteinGroups!B:B,0)),0,1)</f>
        <v>1</v>
      </c>
      <c r="J47" s="6" t="s">
        <v>171</v>
      </c>
    </row>
    <row r="48" spans="1:10" x14ac:dyDescent="0.2">
      <c r="A48" s="1" t="s">
        <v>10</v>
      </c>
      <c r="B48" t="s">
        <v>11</v>
      </c>
      <c r="C48" t="s">
        <v>172</v>
      </c>
      <c r="D48" s="6" t="str">
        <f t="shared" si="0"/>
        <v>PROT:AAL69846.1</v>
      </c>
      <c r="E48" t="s">
        <v>173</v>
      </c>
      <c r="F48" t="s">
        <v>174</v>
      </c>
      <c r="G48">
        <f>IF(ISERROR(MATCH(AllProtiens!F48,Genomes!$C:$C,0)),0,1)</f>
        <v>1</v>
      </c>
      <c r="H48">
        <f>IF(ISERROR(MATCH(AllProtiens!A48,CoreProteinGroups!B:B,0)),0,1)</f>
        <v>1</v>
      </c>
      <c r="J48" s="6" t="s">
        <v>175</v>
      </c>
    </row>
    <row r="49" spans="1:10" x14ac:dyDescent="0.2">
      <c r="A49" s="1" t="s">
        <v>10</v>
      </c>
      <c r="B49" t="s">
        <v>11</v>
      </c>
      <c r="C49" t="s">
        <v>176</v>
      </c>
      <c r="D49" s="6" t="str">
        <f t="shared" si="0"/>
        <v>PROT:CAC21348.1</v>
      </c>
      <c r="E49" t="s">
        <v>177</v>
      </c>
      <c r="F49" t="s">
        <v>178</v>
      </c>
      <c r="G49">
        <f>IF(ISERROR(MATCH(AllProtiens!F49,Genomes!$C:$C,0)),0,1)</f>
        <v>1</v>
      </c>
      <c r="H49">
        <f>IF(ISERROR(MATCH(AllProtiens!A49,CoreProteinGroups!B:B,0)),0,1)</f>
        <v>1</v>
      </c>
      <c r="J49" s="6" t="s">
        <v>179</v>
      </c>
    </row>
    <row r="50" spans="1:10" x14ac:dyDescent="0.2">
      <c r="A50" s="1" t="s">
        <v>10</v>
      </c>
      <c r="B50" t="s">
        <v>11</v>
      </c>
      <c r="C50" t="s">
        <v>180</v>
      </c>
      <c r="D50" s="6" t="str">
        <f t="shared" si="0"/>
        <v>PROT:AAR07466.1</v>
      </c>
      <c r="E50" t="s">
        <v>181</v>
      </c>
      <c r="F50" t="s">
        <v>182</v>
      </c>
      <c r="G50">
        <f>IF(ISERROR(MATCH(AllProtiens!F50,Genomes!$C:$C,0)),0,1)</f>
        <v>1</v>
      </c>
      <c r="H50">
        <f>IF(ISERROR(MATCH(AllProtiens!A50,CoreProteinGroups!B:B,0)),0,1)</f>
        <v>1</v>
      </c>
      <c r="J50" s="6" t="s">
        <v>183</v>
      </c>
    </row>
    <row r="51" spans="1:10" x14ac:dyDescent="0.2">
      <c r="A51" s="1" t="s">
        <v>10</v>
      </c>
      <c r="B51" t="s">
        <v>11</v>
      </c>
      <c r="C51" t="s">
        <v>184</v>
      </c>
      <c r="D51" s="6" t="str">
        <f t="shared" si="0"/>
        <v>PROT:AAC97786.1</v>
      </c>
      <c r="E51" t="s">
        <v>185</v>
      </c>
      <c r="F51" t="s">
        <v>186</v>
      </c>
      <c r="G51">
        <f>IF(ISERROR(MATCH(AllProtiens!F51,Genomes!$C:$C,0)),0,1)</f>
        <v>1</v>
      </c>
      <c r="H51">
        <f>IF(ISERROR(MATCH(AllProtiens!A51,CoreProteinGroups!B:B,0)),0,1)</f>
        <v>1</v>
      </c>
      <c r="J51" s="6" t="s">
        <v>187</v>
      </c>
    </row>
    <row r="52" spans="1:10" x14ac:dyDescent="0.2">
      <c r="A52" s="1" t="s">
        <v>10</v>
      </c>
      <c r="B52" t="s">
        <v>11</v>
      </c>
      <c r="C52" t="s">
        <v>188</v>
      </c>
      <c r="D52" s="6" t="str">
        <f t="shared" si="0"/>
        <v>PROT:BAO49508.1</v>
      </c>
      <c r="E52" t="s">
        <v>189</v>
      </c>
      <c r="F52" t="s">
        <v>190</v>
      </c>
      <c r="G52">
        <f>IF(ISERROR(MATCH(AllProtiens!F52,Genomes!$C:$C,0)),0,1)</f>
        <v>1</v>
      </c>
      <c r="H52">
        <f>IF(ISERROR(MATCH(AllProtiens!A52,CoreProteinGroups!B:B,0)),0,1)</f>
        <v>1</v>
      </c>
      <c r="J52" s="6" t="s">
        <v>191</v>
      </c>
    </row>
    <row r="53" spans="1:10" x14ac:dyDescent="0.2">
      <c r="A53" s="1" t="s">
        <v>10</v>
      </c>
      <c r="B53" t="s">
        <v>11</v>
      </c>
      <c r="C53" t="s">
        <v>192</v>
      </c>
      <c r="D53" s="6" t="str">
        <f t="shared" si="0"/>
        <v>PROT:CCU55377.1</v>
      </c>
      <c r="E53" t="s">
        <v>39</v>
      </c>
      <c r="F53" t="s">
        <v>193</v>
      </c>
      <c r="G53">
        <f>IF(ISERROR(MATCH(AllProtiens!F53,Genomes!$C:$C,0)),0,1)</f>
        <v>1</v>
      </c>
      <c r="H53">
        <f>IF(ISERROR(MATCH(AllProtiens!A53,CoreProteinGroups!B:B,0)),0,1)</f>
        <v>1</v>
      </c>
      <c r="J53" s="6" t="s">
        <v>194</v>
      </c>
    </row>
    <row r="54" spans="1:10" x14ac:dyDescent="0.2">
      <c r="A54" s="1" t="s">
        <v>10</v>
      </c>
      <c r="B54" t="s">
        <v>11</v>
      </c>
      <c r="C54" t="s">
        <v>195</v>
      </c>
      <c r="D54" s="6" t="str">
        <f t="shared" si="0"/>
        <v>PROT:AAG02765.1</v>
      </c>
      <c r="E54" t="s">
        <v>196</v>
      </c>
      <c r="F54" t="s">
        <v>197</v>
      </c>
      <c r="G54">
        <f>IF(ISERROR(MATCH(AllProtiens!F54,Genomes!$C:$C,0)),0,1)</f>
        <v>1</v>
      </c>
      <c r="H54">
        <f>IF(ISERROR(MATCH(AllProtiens!A54,CoreProteinGroups!B:B,0)),0,1)</f>
        <v>1</v>
      </c>
      <c r="J54" s="6" t="s">
        <v>198</v>
      </c>
    </row>
    <row r="55" spans="1:10" x14ac:dyDescent="0.2">
      <c r="A55" s="1" t="s">
        <v>10</v>
      </c>
      <c r="B55" t="s">
        <v>11</v>
      </c>
      <c r="C55" t="s">
        <v>199</v>
      </c>
      <c r="D55" s="6" t="str">
        <f t="shared" si="0"/>
        <v>PROT:CCU55672.1</v>
      </c>
      <c r="E55" t="s">
        <v>39</v>
      </c>
      <c r="F55" t="s">
        <v>200</v>
      </c>
      <c r="G55">
        <f>IF(ISERROR(MATCH(AllProtiens!F55,Genomes!$C:$C,0)),0,1)</f>
        <v>1</v>
      </c>
      <c r="H55">
        <f>IF(ISERROR(MATCH(AllProtiens!A55,CoreProteinGroups!B:B,0)),0,1)</f>
        <v>1</v>
      </c>
      <c r="J55" s="6" t="s">
        <v>201</v>
      </c>
    </row>
    <row r="56" spans="1:10" x14ac:dyDescent="0.2">
      <c r="A56" s="1" t="s">
        <v>10</v>
      </c>
      <c r="B56" t="s">
        <v>11</v>
      </c>
      <c r="C56" t="s">
        <v>202</v>
      </c>
      <c r="D56" s="6" t="str">
        <f t="shared" si="0"/>
        <v>PROT:CCU55983.1</v>
      </c>
      <c r="E56" t="s">
        <v>39</v>
      </c>
      <c r="F56" t="s">
        <v>203</v>
      </c>
      <c r="G56">
        <f>IF(ISERROR(MATCH(AllProtiens!F56,Genomes!$C:$C,0)),0,1)</f>
        <v>1</v>
      </c>
      <c r="H56">
        <f>IF(ISERROR(MATCH(AllProtiens!A56,CoreProteinGroups!B:B,0)),0,1)</f>
        <v>1</v>
      </c>
      <c r="J56" s="6" t="s">
        <v>204</v>
      </c>
    </row>
    <row r="57" spans="1:10" x14ac:dyDescent="0.2">
      <c r="A57" s="1" t="s">
        <v>10</v>
      </c>
      <c r="B57" t="s">
        <v>11</v>
      </c>
      <c r="C57" t="s">
        <v>205</v>
      </c>
      <c r="D57" s="6" t="str">
        <f t="shared" si="0"/>
        <v>PROT:CCU56280.1</v>
      </c>
      <c r="E57" t="s">
        <v>39</v>
      </c>
      <c r="F57" t="s">
        <v>206</v>
      </c>
      <c r="G57">
        <f>IF(ISERROR(MATCH(AllProtiens!F57,Genomes!$C:$C,0)),0,1)</f>
        <v>1</v>
      </c>
      <c r="H57">
        <f>IF(ISERROR(MATCH(AllProtiens!A57,CoreProteinGroups!B:B,0)),0,1)</f>
        <v>1</v>
      </c>
      <c r="J57" s="6" t="s">
        <v>207</v>
      </c>
    </row>
    <row r="58" spans="1:10" x14ac:dyDescent="0.2">
      <c r="A58" s="1" t="s">
        <v>10</v>
      </c>
      <c r="B58" t="s">
        <v>11</v>
      </c>
      <c r="C58" t="s">
        <v>208</v>
      </c>
      <c r="D58" s="6" t="str">
        <f t="shared" si="0"/>
        <v>PROT:NP_659682.1</v>
      </c>
      <c r="E58" t="s">
        <v>209</v>
      </c>
      <c r="F58" t="s">
        <v>210</v>
      </c>
      <c r="G58">
        <f>IF(ISERROR(MATCH(AllProtiens!F58,Genomes!$C:$C,0)),0,1)</f>
        <v>1</v>
      </c>
      <c r="H58">
        <f>IF(ISERROR(MATCH(AllProtiens!A58,CoreProteinGroups!B:B,0)),0,1)</f>
        <v>1</v>
      </c>
      <c r="J58" s="6" t="s">
        <v>211</v>
      </c>
    </row>
    <row r="59" spans="1:10" x14ac:dyDescent="0.2">
      <c r="A59" s="1" t="s">
        <v>10</v>
      </c>
      <c r="B59" t="s">
        <v>11</v>
      </c>
      <c r="C59" t="s">
        <v>212</v>
      </c>
      <c r="D59" s="6" t="str">
        <f t="shared" si="0"/>
        <v>PROT:YP_001293301.1</v>
      </c>
      <c r="E59" t="s">
        <v>213</v>
      </c>
      <c r="F59" t="s">
        <v>214</v>
      </c>
      <c r="G59">
        <f>IF(ISERROR(MATCH(AllProtiens!F59,Genomes!$C:$C,0)),0,1)</f>
        <v>1</v>
      </c>
      <c r="H59">
        <f>IF(ISERROR(MATCH(AllProtiens!A59,CoreProteinGroups!B:B,0)),0,1)</f>
        <v>1</v>
      </c>
      <c r="J59" s="6" t="s">
        <v>215</v>
      </c>
    </row>
    <row r="60" spans="1:10" x14ac:dyDescent="0.2">
      <c r="A60" s="1" t="s">
        <v>216</v>
      </c>
      <c r="B60" t="s">
        <v>217</v>
      </c>
      <c r="C60" t="s">
        <v>218</v>
      </c>
      <c r="D60" s="6" t="str">
        <f t="shared" si="0"/>
        <v>PROT:ATI21201.1</v>
      </c>
      <c r="E60" t="s">
        <v>217</v>
      </c>
      <c r="F60" t="s">
        <v>14</v>
      </c>
      <c r="G60">
        <f>IF(ISERROR(MATCH(AllProtiens!F60,Genomes!$C:$C,0)),0,1)</f>
        <v>1</v>
      </c>
      <c r="H60">
        <f>IF(ISERROR(MATCH(AllProtiens!A60,CoreProteinGroups!B:B,0)),0,1)</f>
        <v>1</v>
      </c>
      <c r="J60" s="6" t="s">
        <v>15</v>
      </c>
    </row>
    <row r="61" spans="1:10" x14ac:dyDescent="0.2">
      <c r="A61" s="1" t="s">
        <v>216</v>
      </c>
      <c r="B61" t="s">
        <v>217</v>
      </c>
      <c r="C61" t="s">
        <v>219</v>
      </c>
      <c r="D61" s="6" t="str">
        <f t="shared" si="0"/>
        <v>PROT:AWU47135.1</v>
      </c>
      <c r="E61" t="s">
        <v>217</v>
      </c>
      <c r="F61" t="s">
        <v>17</v>
      </c>
      <c r="G61">
        <f>IF(ISERROR(MATCH(AllProtiens!F61,Genomes!$C:$C,0)),0,1)</f>
        <v>1</v>
      </c>
      <c r="H61">
        <f>IF(ISERROR(MATCH(AllProtiens!A61,CoreProteinGroups!B:B,0)),0,1)</f>
        <v>1</v>
      </c>
      <c r="J61" s="6" t="s">
        <v>18</v>
      </c>
    </row>
    <row r="62" spans="1:10" x14ac:dyDescent="0.2">
      <c r="A62" s="1" t="s">
        <v>216</v>
      </c>
      <c r="B62" t="s">
        <v>217</v>
      </c>
      <c r="C62" t="s">
        <v>220</v>
      </c>
      <c r="D62" s="6" t="str">
        <f t="shared" si="0"/>
        <v>PROT:APG58311.1</v>
      </c>
      <c r="E62" t="s">
        <v>221</v>
      </c>
      <c r="F62" t="s">
        <v>21</v>
      </c>
      <c r="G62">
        <f>IF(ISERROR(MATCH(AllProtiens!F62,Genomes!$C:$C,0)),0,1)</f>
        <v>1</v>
      </c>
      <c r="H62">
        <f>IF(ISERROR(MATCH(AllProtiens!A62,CoreProteinGroups!B:B,0)),0,1)</f>
        <v>1</v>
      </c>
      <c r="J62" s="6" t="s">
        <v>22</v>
      </c>
    </row>
    <row r="63" spans="1:10" x14ac:dyDescent="0.2">
      <c r="A63" s="1" t="s">
        <v>216</v>
      </c>
      <c r="B63" t="s">
        <v>217</v>
      </c>
      <c r="C63" t="s">
        <v>222</v>
      </c>
      <c r="D63" s="6" t="str">
        <f t="shared" si="0"/>
        <v>PROT:ADT91121.1</v>
      </c>
      <c r="E63" t="s">
        <v>223</v>
      </c>
      <c r="F63" t="s">
        <v>25</v>
      </c>
      <c r="G63">
        <f>IF(ISERROR(MATCH(AllProtiens!F63,Genomes!$C:$C,0)),0,1)</f>
        <v>1</v>
      </c>
      <c r="H63">
        <f>IF(ISERROR(MATCH(AllProtiens!A63,CoreProteinGroups!B:B,0)),0,1)</f>
        <v>1</v>
      </c>
      <c r="J63" s="6" t="s">
        <v>26</v>
      </c>
    </row>
    <row r="64" spans="1:10" x14ac:dyDescent="0.2">
      <c r="A64" s="1" t="s">
        <v>216</v>
      </c>
      <c r="B64" t="s">
        <v>217</v>
      </c>
      <c r="C64" t="s">
        <v>224</v>
      </c>
      <c r="D64" s="6" t="str">
        <f t="shared" si="0"/>
        <v>PROT:ANS71179.1</v>
      </c>
      <c r="E64" t="s">
        <v>225</v>
      </c>
      <c r="F64" t="s">
        <v>28</v>
      </c>
      <c r="G64">
        <f>IF(ISERROR(MATCH(AllProtiens!F64,Genomes!$C:$C,0)),0,1)</f>
        <v>1</v>
      </c>
      <c r="H64">
        <f>IF(ISERROR(MATCH(AllProtiens!A64,CoreProteinGroups!B:B,0)),0,1)</f>
        <v>1</v>
      </c>
      <c r="J64" s="6" t="s">
        <v>29</v>
      </c>
    </row>
    <row r="65" spans="1:10" x14ac:dyDescent="0.2">
      <c r="A65" s="1" t="s">
        <v>216</v>
      </c>
      <c r="B65" t="s">
        <v>217</v>
      </c>
      <c r="C65" t="s">
        <v>226</v>
      </c>
      <c r="D65" s="6" t="str">
        <f t="shared" si="0"/>
        <v>PROT:AKR04224.1</v>
      </c>
      <c r="E65" t="s">
        <v>227</v>
      </c>
      <c r="F65" t="s">
        <v>32</v>
      </c>
      <c r="G65">
        <f>IF(ISERROR(MATCH(AllProtiens!F65,Genomes!$C:$C,0)),0,1)</f>
        <v>1</v>
      </c>
      <c r="H65">
        <f>IF(ISERROR(MATCH(AllProtiens!A65,CoreProteinGroups!B:B,0)),0,1)</f>
        <v>1</v>
      </c>
      <c r="J65" s="6" t="s">
        <v>33</v>
      </c>
    </row>
    <row r="66" spans="1:10" x14ac:dyDescent="0.2">
      <c r="A66" s="1" t="s">
        <v>216</v>
      </c>
      <c r="B66" t="s">
        <v>217</v>
      </c>
      <c r="C66" t="s">
        <v>228</v>
      </c>
      <c r="D66" s="6" t="str">
        <f t="shared" ref="D66:D129" si="1">HYPERLINK(_xlfn.CONCAT("https://www.ncbi.nlm.nih.gov/protein/",C66),_xlfn.CONCAT("PROT:",C66))</f>
        <v>PROT:CCD83272.1</v>
      </c>
      <c r="E66" t="s">
        <v>229</v>
      </c>
      <c r="F66" t="s">
        <v>36</v>
      </c>
      <c r="G66">
        <f>IF(ISERROR(MATCH(AllProtiens!F66,Genomes!$C:$C,0)),0,1)</f>
        <v>1</v>
      </c>
      <c r="H66">
        <f>IF(ISERROR(MATCH(AllProtiens!A66,CoreProteinGroups!B:B,0)),0,1)</f>
        <v>1</v>
      </c>
      <c r="J66" s="6" t="s">
        <v>37</v>
      </c>
    </row>
    <row r="67" spans="1:10" x14ac:dyDescent="0.2">
      <c r="A67" s="1" t="s">
        <v>216</v>
      </c>
      <c r="B67" t="s">
        <v>217</v>
      </c>
      <c r="C67" t="s">
        <v>230</v>
      </c>
      <c r="D67" s="6" t="str">
        <f t="shared" si="1"/>
        <v>PROT:ASK51298.1</v>
      </c>
      <c r="E67" t="s">
        <v>231</v>
      </c>
      <c r="F67" t="s">
        <v>40</v>
      </c>
      <c r="G67">
        <f>IF(ISERROR(MATCH(AllProtiens!F67,Genomes!$C:$C,0)),0,1)</f>
        <v>1</v>
      </c>
      <c r="H67">
        <f>IF(ISERROR(MATCH(AllProtiens!A67,CoreProteinGroups!B:B,0)),0,1)</f>
        <v>1</v>
      </c>
      <c r="J67" s="6" t="s">
        <v>41</v>
      </c>
    </row>
    <row r="68" spans="1:10" x14ac:dyDescent="0.2">
      <c r="A68" s="1" t="s">
        <v>216</v>
      </c>
      <c r="B68" t="s">
        <v>217</v>
      </c>
      <c r="C68" t="s">
        <v>232</v>
      </c>
      <c r="D68" s="6" t="str">
        <f t="shared" si="1"/>
        <v>PROT:AUD40272.1</v>
      </c>
      <c r="E68" t="s">
        <v>233</v>
      </c>
      <c r="F68" t="s">
        <v>43</v>
      </c>
      <c r="G68">
        <f>IF(ISERROR(MATCH(AllProtiens!F68,Genomes!$C:$C,0)),0,1)</f>
        <v>1</v>
      </c>
      <c r="H68">
        <f>IF(ISERROR(MATCH(AllProtiens!A68,CoreProteinGroups!B:B,0)),0,1)</f>
        <v>1</v>
      </c>
      <c r="J68" s="6" t="s">
        <v>44</v>
      </c>
    </row>
    <row r="69" spans="1:10" x14ac:dyDescent="0.2">
      <c r="A69" s="1" t="s">
        <v>216</v>
      </c>
      <c r="B69" t="s">
        <v>217</v>
      </c>
      <c r="C69" t="s">
        <v>234</v>
      </c>
      <c r="D69" s="6" t="str">
        <f t="shared" si="1"/>
        <v>PROT:AID46903.1</v>
      </c>
      <c r="E69" t="s">
        <v>235</v>
      </c>
      <c r="F69" t="s">
        <v>46</v>
      </c>
      <c r="G69">
        <f>IF(ISERROR(MATCH(AllProtiens!F69,Genomes!$C:$C,0)),0,1)</f>
        <v>1</v>
      </c>
      <c r="H69">
        <f>IF(ISERROR(MATCH(AllProtiens!A69,CoreProteinGroups!B:B,0)),0,1)</f>
        <v>1</v>
      </c>
      <c r="J69" s="6" t="s">
        <v>47</v>
      </c>
    </row>
    <row r="70" spans="1:10" x14ac:dyDescent="0.2">
      <c r="A70" s="1" t="s">
        <v>216</v>
      </c>
      <c r="B70" t="s">
        <v>217</v>
      </c>
      <c r="C70" t="s">
        <v>236</v>
      </c>
      <c r="D70" s="6" t="str">
        <f t="shared" si="1"/>
        <v>PROT:AID46672.1</v>
      </c>
      <c r="E70" t="s">
        <v>235</v>
      </c>
      <c r="F70" t="s">
        <v>49</v>
      </c>
      <c r="G70">
        <f>IF(ISERROR(MATCH(AllProtiens!F70,Genomes!$C:$C,0)),0,1)</f>
        <v>1</v>
      </c>
      <c r="H70">
        <f>IF(ISERROR(MATCH(AllProtiens!A70,CoreProteinGroups!B:B,0)),0,1)</f>
        <v>1</v>
      </c>
      <c r="J70" s="6" t="s">
        <v>50</v>
      </c>
    </row>
    <row r="71" spans="1:10" x14ac:dyDescent="0.2">
      <c r="A71" s="1" t="s">
        <v>216</v>
      </c>
      <c r="B71" t="s">
        <v>217</v>
      </c>
      <c r="C71" t="s">
        <v>237</v>
      </c>
      <c r="D71" s="6" t="str">
        <f t="shared" si="1"/>
        <v>PROT:ALA62495.1</v>
      </c>
      <c r="E71" t="s">
        <v>235</v>
      </c>
      <c r="F71" t="s">
        <v>53</v>
      </c>
      <c r="G71">
        <f>IF(ISERROR(MATCH(AllProtiens!F71,Genomes!$C:$C,0)),0,1)</f>
        <v>1</v>
      </c>
      <c r="H71">
        <f>IF(ISERROR(MATCH(AllProtiens!A71,CoreProteinGroups!B:B,0)),0,1)</f>
        <v>1</v>
      </c>
      <c r="J71" s="6" t="s">
        <v>54</v>
      </c>
    </row>
    <row r="72" spans="1:10" x14ac:dyDescent="0.2">
      <c r="A72" s="1" t="s">
        <v>216</v>
      </c>
      <c r="B72" t="s">
        <v>217</v>
      </c>
      <c r="C72" t="s">
        <v>238</v>
      </c>
      <c r="D72" s="6" t="str">
        <f t="shared" si="1"/>
        <v>PROT:AAR83584.1</v>
      </c>
      <c r="E72" t="s">
        <v>239</v>
      </c>
      <c r="F72" t="s">
        <v>57</v>
      </c>
      <c r="G72">
        <f>IF(ISERROR(MATCH(AllProtiens!F72,Genomes!$C:$C,0)),0,1)</f>
        <v>1</v>
      </c>
      <c r="H72">
        <f>IF(ISERROR(MATCH(AllProtiens!A72,CoreProteinGroups!B:B,0)),0,1)</f>
        <v>1</v>
      </c>
      <c r="J72" s="6" t="s">
        <v>58</v>
      </c>
    </row>
    <row r="73" spans="1:10" x14ac:dyDescent="0.2">
      <c r="A73" s="1" t="s">
        <v>216</v>
      </c>
      <c r="B73" t="s">
        <v>217</v>
      </c>
      <c r="C73" t="s">
        <v>240</v>
      </c>
      <c r="D73" s="6" t="str">
        <f t="shared" si="1"/>
        <v>PROT:AAF44509.1</v>
      </c>
      <c r="E73" t="s">
        <v>241</v>
      </c>
      <c r="F73" t="s">
        <v>61</v>
      </c>
      <c r="G73">
        <f>IF(ISERROR(MATCH(AllProtiens!F73,Genomes!$C:$C,0)),0,1)</f>
        <v>1</v>
      </c>
      <c r="H73">
        <f>IF(ISERROR(MATCH(AllProtiens!A73,CoreProteinGroups!B:B,0)),0,1)</f>
        <v>1</v>
      </c>
      <c r="J73" s="6" t="s">
        <v>62</v>
      </c>
    </row>
    <row r="74" spans="1:10" x14ac:dyDescent="0.2">
      <c r="A74" s="1" t="s">
        <v>216</v>
      </c>
      <c r="B74" t="s">
        <v>217</v>
      </c>
      <c r="C74" t="s">
        <v>242</v>
      </c>
      <c r="D74" s="6" t="str">
        <f t="shared" si="1"/>
        <v>PROT:AAK85053.1</v>
      </c>
      <c r="E74" t="s">
        <v>243</v>
      </c>
      <c r="F74" t="s">
        <v>65</v>
      </c>
      <c r="G74">
        <f>IF(ISERROR(MATCH(AllProtiens!F74,Genomes!$C:$C,0)),0,1)</f>
        <v>1</v>
      </c>
      <c r="H74">
        <f>IF(ISERROR(MATCH(AllProtiens!A74,CoreProteinGroups!B:B,0)),0,1)</f>
        <v>1</v>
      </c>
      <c r="J74" s="6" t="s">
        <v>66</v>
      </c>
    </row>
    <row r="75" spans="1:10" x14ac:dyDescent="0.2">
      <c r="A75" s="1" t="s">
        <v>216</v>
      </c>
      <c r="B75" t="s">
        <v>217</v>
      </c>
      <c r="C75" t="s">
        <v>244</v>
      </c>
      <c r="D75" s="6" t="str">
        <f t="shared" si="1"/>
        <v>PROT:AST09311.1</v>
      </c>
      <c r="E75" t="s">
        <v>245</v>
      </c>
      <c r="F75" t="s">
        <v>68</v>
      </c>
      <c r="G75">
        <f>IF(ISERROR(MATCH(AllProtiens!F75,Genomes!$C:$C,0)),0,1)</f>
        <v>1</v>
      </c>
      <c r="H75">
        <f>IF(ISERROR(MATCH(AllProtiens!A75,CoreProteinGroups!B:B,0)),0,1)</f>
        <v>1</v>
      </c>
      <c r="J75" s="6" t="s">
        <v>69</v>
      </c>
    </row>
    <row r="76" spans="1:10" x14ac:dyDescent="0.2">
      <c r="A76" s="1" t="s">
        <v>216</v>
      </c>
      <c r="B76" t="s">
        <v>217</v>
      </c>
      <c r="C76" t="s">
        <v>246</v>
      </c>
      <c r="D76" s="6" t="str">
        <f t="shared" si="1"/>
        <v>PROT:AEN03691.1</v>
      </c>
      <c r="E76" t="s">
        <v>247</v>
      </c>
      <c r="F76" t="s">
        <v>71</v>
      </c>
      <c r="G76">
        <f>IF(ISERROR(MATCH(AllProtiens!F76,Genomes!$C:$C,0)),0,1)</f>
        <v>1</v>
      </c>
      <c r="H76">
        <f>IF(ISERROR(MATCH(AllProtiens!A76,CoreProteinGroups!B:B,0)),0,1)</f>
        <v>1</v>
      </c>
      <c r="J76" s="6" t="s">
        <v>72</v>
      </c>
    </row>
    <row r="77" spans="1:10" x14ac:dyDescent="0.2">
      <c r="A77" s="1" t="s">
        <v>216</v>
      </c>
      <c r="B77" t="s">
        <v>217</v>
      </c>
      <c r="C77" t="s">
        <v>248</v>
      </c>
      <c r="D77" s="6" t="str">
        <f t="shared" si="1"/>
        <v>PROT:ABI99256.1</v>
      </c>
      <c r="E77" t="s">
        <v>235</v>
      </c>
      <c r="F77" t="s">
        <v>74</v>
      </c>
      <c r="G77">
        <f>IF(ISERROR(MATCH(AllProtiens!F77,Genomes!$C:$C,0)),0,1)</f>
        <v>1</v>
      </c>
      <c r="H77">
        <f>IF(ISERROR(MATCH(AllProtiens!A77,CoreProteinGroups!B:B,0)),0,1)</f>
        <v>1</v>
      </c>
      <c r="J77" s="6" t="s">
        <v>75</v>
      </c>
    </row>
    <row r="78" spans="1:10" x14ac:dyDescent="0.2">
      <c r="A78" s="1" t="s">
        <v>216</v>
      </c>
      <c r="B78" t="s">
        <v>217</v>
      </c>
      <c r="C78" t="s">
        <v>249</v>
      </c>
      <c r="D78" s="6" t="str">
        <f t="shared" si="1"/>
        <v>PROT:ABJ09013.1</v>
      </c>
      <c r="E78" t="s">
        <v>235</v>
      </c>
      <c r="F78" t="s">
        <v>77</v>
      </c>
      <c r="G78">
        <f>IF(ISERROR(MATCH(AllProtiens!F78,Genomes!$C:$C,0)),0,1)</f>
        <v>1</v>
      </c>
      <c r="H78">
        <f>IF(ISERROR(MATCH(AllProtiens!A78,CoreProteinGroups!B:B,0)),0,1)</f>
        <v>1</v>
      </c>
      <c r="J78" s="6" t="s">
        <v>78</v>
      </c>
    </row>
    <row r="79" spans="1:10" x14ac:dyDescent="0.2">
      <c r="A79" s="1" t="s">
        <v>216</v>
      </c>
      <c r="B79" t="s">
        <v>217</v>
      </c>
      <c r="C79" t="s">
        <v>250</v>
      </c>
      <c r="D79" s="6" t="str">
        <f t="shared" si="1"/>
        <v>PROT:AAF14978.1</v>
      </c>
      <c r="E79" t="s">
        <v>251</v>
      </c>
      <c r="F79" t="s">
        <v>81</v>
      </c>
      <c r="G79">
        <f>IF(ISERROR(MATCH(AllProtiens!F79,Genomes!$C:$C,0)),0,1)</f>
        <v>0</v>
      </c>
      <c r="H79">
        <f>IF(ISERROR(MATCH(AllProtiens!A79,CoreProteinGroups!B:B,0)),0,1)</f>
        <v>1</v>
      </c>
      <c r="J79" s="6" t="s">
        <v>82</v>
      </c>
    </row>
    <row r="80" spans="1:10" x14ac:dyDescent="0.2">
      <c r="A80" s="1" t="s">
        <v>216</v>
      </c>
      <c r="B80" t="s">
        <v>217</v>
      </c>
      <c r="C80" t="s">
        <v>252</v>
      </c>
      <c r="D80" s="6" t="str">
        <f t="shared" si="1"/>
        <v>PROT:AFU77354.1</v>
      </c>
      <c r="E80" t="s">
        <v>251</v>
      </c>
      <c r="F80" t="s">
        <v>81</v>
      </c>
      <c r="G80">
        <f>IF(ISERROR(MATCH(AllProtiens!F80,Genomes!$C:$C,0)),0,1)</f>
        <v>0</v>
      </c>
      <c r="H80">
        <f>IF(ISERROR(MATCH(AllProtiens!A80,CoreProteinGroups!B:B,0)),0,1)</f>
        <v>1</v>
      </c>
      <c r="J80" s="6" t="s">
        <v>82</v>
      </c>
    </row>
    <row r="81" spans="1:10" x14ac:dyDescent="0.2">
      <c r="A81" s="1" t="s">
        <v>216</v>
      </c>
      <c r="B81" t="s">
        <v>217</v>
      </c>
      <c r="C81" t="s">
        <v>253</v>
      </c>
      <c r="D81" s="6" t="str">
        <f t="shared" si="1"/>
        <v>PROT:AAF17974.1</v>
      </c>
      <c r="E81" t="s">
        <v>254</v>
      </c>
      <c r="F81" t="s">
        <v>86</v>
      </c>
      <c r="G81">
        <f>IF(ISERROR(MATCH(AllProtiens!F81,Genomes!$C:$C,0)),0,1)</f>
        <v>1</v>
      </c>
      <c r="H81">
        <f>IF(ISERROR(MATCH(AllProtiens!A81,CoreProteinGroups!B:B,0)),0,1)</f>
        <v>1</v>
      </c>
      <c r="J81" s="6" t="s">
        <v>87</v>
      </c>
    </row>
    <row r="82" spans="1:10" x14ac:dyDescent="0.2">
      <c r="A82" s="1" t="s">
        <v>216</v>
      </c>
      <c r="B82" t="s">
        <v>217</v>
      </c>
      <c r="C82" t="s">
        <v>255</v>
      </c>
      <c r="D82" s="6" t="str">
        <f t="shared" si="1"/>
        <v>PROT:AAC55232.1</v>
      </c>
      <c r="E82" t="s">
        <v>256</v>
      </c>
      <c r="F82" t="s">
        <v>90</v>
      </c>
      <c r="G82">
        <f>IF(ISERROR(MATCH(AllProtiens!F82,Genomes!$C:$C,0)),0,1)</f>
        <v>1</v>
      </c>
      <c r="H82">
        <f>IF(ISERROR(MATCH(AllProtiens!A82,CoreProteinGroups!B:B,0)),0,1)</f>
        <v>1</v>
      </c>
      <c r="J82" s="6" t="s">
        <v>91</v>
      </c>
    </row>
    <row r="83" spans="1:10" x14ac:dyDescent="0.2">
      <c r="A83" s="1" t="s">
        <v>216</v>
      </c>
      <c r="B83" t="s">
        <v>217</v>
      </c>
      <c r="C83" t="s">
        <v>257</v>
      </c>
      <c r="D83" s="6" t="str">
        <f t="shared" si="1"/>
        <v>PROT:AYN64686.1</v>
      </c>
      <c r="E83" t="s">
        <v>258</v>
      </c>
      <c r="F83" t="s">
        <v>94</v>
      </c>
      <c r="G83">
        <f>IF(ISERROR(MATCH(AllProtiens!F83,Genomes!$C:$C,0)),0,1)</f>
        <v>1</v>
      </c>
      <c r="H83">
        <f>IF(ISERROR(MATCH(AllProtiens!A83,CoreProteinGroups!B:B,0)),0,1)</f>
        <v>1</v>
      </c>
      <c r="J83" s="6" t="s">
        <v>95</v>
      </c>
    </row>
    <row r="84" spans="1:10" x14ac:dyDescent="0.2">
      <c r="A84" s="1" t="s">
        <v>216</v>
      </c>
      <c r="B84" t="s">
        <v>217</v>
      </c>
      <c r="C84" t="s">
        <v>259</v>
      </c>
      <c r="D84" s="6" t="str">
        <f t="shared" si="1"/>
        <v>PROT:AXN74915.1</v>
      </c>
      <c r="E84" t="s">
        <v>235</v>
      </c>
      <c r="F84" t="s">
        <v>97</v>
      </c>
      <c r="G84">
        <f>IF(ISERROR(MATCH(AllProtiens!F84,Genomes!$C:$C,0)),0,1)</f>
        <v>1</v>
      </c>
      <c r="H84">
        <f>IF(ISERROR(MATCH(AllProtiens!A84,CoreProteinGroups!B:B,0)),0,1)</f>
        <v>1</v>
      </c>
      <c r="J84" s="6" t="s">
        <v>98</v>
      </c>
    </row>
    <row r="85" spans="1:10" x14ac:dyDescent="0.2">
      <c r="A85" s="1" t="s">
        <v>216</v>
      </c>
      <c r="B85" t="s">
        <v>217</v>
      </c>
      <c r="C85" t="s">
        <v>260</v>
      </c>
      <c r="D85" s="6" t="str">
        <f t="shared" si="1"/>
        <v>PROT:ABH08227.1</v>
      </c>
      <c r="E85" t="s">
        <v>261</v>
      </c>
      <c r="F85" t="s">
        <v>101</v>
      </c>
      <c r="G85">
        <f>IF(ISERROR(MATCH(AllProtiens!F85,Genomes!$C:$C,0)),0,1)</f>
        <v>1</v>
      </c>
      <c r="H85">
        <f>IF(ISERROR(MATCH(AllProtiens!A85,CoreProteinGroups!B:B,0)),0,1)</f>
        <v>1</v>
      </c>
      <c r="J85" s="6" t="s">
        <v>102</v>
      </c>
    </row>
    <row r="86" spans="1:10" x14ac:dyDescent="0.2">
      <c r="A86" s="1" t="s">
        <v>216</v>
      </c>
      <c r="B86" t="s">
        <v>217</v>
      </c>
      <c r="C86" t="s">
        <v>262</v>
      </c>
      <c r="D86" s="6" t="str">
        <f t="shared" si="1"/>
        <v>PROT:AAG37600.1</v>
      </c>
      <c r="E86" t="s">
        <v>263</v>
      </c>
      <c r="F86" t="s">
        <v>105</v>
      </c>
      <c r="G86">
        <f>IF(ISERROR(MATCH(AllProtiens!F86,Genomes!$C:$C,0)),0,1)</f>
        <v>1</v>
      </c>
      <c r="H86">
        <f>IF(ISERROR(MATCH(AllProtiens!A86,CoreProteinGroups!B:B,0)),0,1)</f>
        <v>1</v>
      </c>
      <c r="J86" s="6" t="s">
        <v>106</v>
      </c>
    </row>
    <row r="87" spans="1:10" x14ac:dyDescent="0.2">
      <c r="A87" s="1" t="s">
        <v>216</v>
      </c>
      <c r="B87" t="s">
        <v>217</v>
      </c>
      <c r="C87" t="s">
        <v>264</v>
      </c>
      <c r="D87" s="6" t="str">
        <f t="shared" si="1"/>
        <v>PROT:AAL73825.1</v>
      </c>
      <c r="E87" t="s">
        <v>265</v>
      </c>
      <c r="F87" t="s">
        <v>109</v>
      </c>
      <c r="G87">
        <f>IF(ISERROR(MATCH(AllProtiens!F87,Genomes!$C:$C,0)),0,1)</f>
        <v>1</v>
      </c>
      <c r="H87">
        <f>IF(ISERROR(MATCH(AllProtiens!A87,CoreProteinGroups!B:B,0)),0,1)</f>
        <v>1</v>
      </c>
      <c r="J87" s="6" t="s">
        <v>110</v>
      </c>
    </row>
    <row r="88" spans="1:10" x14ac:dyDescent="0.2">
      <c r="A88" s="1" t="s">
        <v>216</v>
      </c>
      <c r="B88" t="s">
        <v>217</v>
      </c>
      <c r="C88" t="s">
        <v>266</v>
      </c>
      <c r="D88" s="6" t="str">
        <f t="shared" si="1"/>
        <v>PROT:AAM13574.1</v>
      </c>
      <c r="E88" t="s">
        <v>267</v>
      </c>
      <c r="F88" t="s">
        <v>113</v>
      </c>
      <c r="G88">
        <f>IF(ISERROR(MATCH(AllProtiens!F88,Genomes!$C:$C,0)),0,1)</f>
        <v>1</v>
      </c>
      <c r="H88">
        <f>IF(ISERROR(MATCH(AllProtiens!A88,CoreProteinGroups!B:B,0)),0,1)</f>
        <v>1</v>
      </c>
      <c r="J88" s="6" t="s">
        <v>114</v>
      </c>
    </row>
    <row r="89" spans="1:10" x14ac:dyDescent="0.2">
      <c r="A89" s="1" t="s">
        <v>216</v>
      </c>
      <c r="B89" t="s">
        <v>217</v>
      </c>
      <c r="C89" t="s">
        <v>268</v>
      </c>
      <c r="D89" s="6" t="str">
        <f t="shared" si="1"/>
        <v>PROT:AAM92408.1</v>
      </c>
      <c r="E89" t="s">
        <v>269</v>
      </c>
      <c r="F89" t="s">
        <v>117</v>
      </c>
      <c r="G89">
        <f>IF(ISERROR(MATCH(AllProtiens!F89,Genomes!$C:$C,0)),0,1)</f>
        <v>1</v>
      </c>
      <c r="H89">
        <f>IF(ISERROR(MATCH(AllProtiens!A89,CoreProteinGroups!B:B,0)),0,1)</f>
        <v>1</v>
      </c>
      <c r="J89" s="6" t="s">
        <v>118</v>
      </c>
    </row>
    <row r="90" spans="1:10" x14ac:dyDescent="0.2">
      <c r="A90" s="1" t="s">
        <v>216</v>
      </c>
      <c r="B90" t="s">
        <v>217</v>
      </c>
      <c r="C90" t="s">
        <v>270</v>
      </c>
      <c r="D90" s="6" t="str">
        <f t="shared" si="1"/>
        <v>PROT:AFH54667.1</v>
      </c>
      <c r="E90" t="s">
        <v>271</v>
      </c>
      <c r="F90" t="s">
        <v>120</v>
      </c>
      <c r="G90">
        <f>IF(ISERROR(MATCH(AllProtiens!F90,Genomes!$C:$C,0)),0,1)</f>
        <v>1</v>
      </c>
      <c r="H90">
        <f>IF(ISERROR(MATCH(AllProtiens!A90,CoreProteinGroups!B:B,0)),0,1)</f>
        <v>1</v>
      </c>
      <c r="J90" s="6" t="s">
        <v>121</v>
      </c>
    </row>
    <row r="91" spans="1:10" x14ac:dyDescent="0.2">
      <c r="A91" s="1" t="s">
        <v>216</v>
      </c>
      <c r="B91" t="s">
        <v>217</v>
      </c>
      <c r="C91" t="s">
        <v>272</v>
      </c>
      <c r="D91" s="6" t="str">
        <f t="shared" si="1"/>
        <v>PROT:AAL40570.1</v>
      </c>
      <c r="E91" t="s">
        <v>273</v>
      </c>
      <c r="F91" t="s">
        <v>124</v>
      </c>
      <c r="G91">
        <f>IF(ISERROR(MATCH(AllProtiens!F91,Genomes!$C:$C,0)),0,1)</f>
        <v>1</v>
      </c>
      <c r="H91">
        <f>IF(ISERROR(MATCH(AllProtiens!A91,CoreProteinGroups!B:B,0)),0,1)</f>
        <v>1</v>
      </c>
      <c r="J91" s="6" t="s">
        <v>125</v>
      </c>
    </row>
    <row r="92" spans="1:10" x14ac:dyDescent="0.2">
      <c r="A92" s="1" t="s">
        <v>216</v>
      </c>
      <c r="B92" t="s">
        <v>217</v>
      </c>
      <c r="C92" t="s">
        <v>274</v>
      </c>
      <c r="D92" s="6" t="str">
        <f t="shared" si="1"/>
        <v>PROT:AAX09207.1</v>
      </c>
      <c r="E92" t="s">
        <v>275</v>
      </c>
      <c r="F92" t="s">
        <v>128</v>
      </c>
      <c r="G92">
        <f>IF(ISERROR(MATCH(AllProtiens!F92,Genomes!$C:$C,0)),0,1)</f>
        <v>1</v>
      </c>
      <c r="H92">
        <f>IF(ISERROR(MATCH(AllProtiens!A92,CoreProteinGroups!B:B,0)),0,1)</f>
        <v>1</v>
      </c>
      <c r="J92" s="6" t="s">
        <v>129</v>
      </c>
    </row>
    <row r="93" spans="1:10" x14ac:dyDescent="0.2">
      <c r="A93" s="1" t="s">
        <v>216</v>
      </c>
      <c r="B93" t="s">
        <v>217</v>
      </c>
      <c r="C93" t="s">
        <v>276</v>
      </c>
      <c r="D93" s="6" t="str">
        <f t="shared" si="1"/>
        <v>PROT:AKJ93749.1</v>
      </c>
      <c r="E93" t="s">
        <v>217</v>
      </c>
      <c r="F93" t="s">
        <v>131</v>
      </c>
      <c r="G93">
        <f>IF(ISERROR(MATCH(AllProtiens!F93,Genomes!$C:$C,0)),0,1)</f>
        <v>1</v>
      </c>
      <c r="H93">
        <f>IF(ISERROR(MATCH(AllProtiens!A93,CoreProteinGroups!B:B,0)),0,1)</f>
        <v>1</v>
      </c>
      <c r="J93" s="6" t="s">
        <v>132</v>
      </c>
    </row>
    <row r="94" spans="1:10" x14ac:dyDescent="0.2">
      <c r="A94" s="1" t="s">
        <v>216</v>
      </c>
      <c r="B94" t="s">
        <v>217</v>
      </c>
      <c r="C94" t="s">
        <v>277</v>
      </c>
      <c r="D94" s="6" t="str">
        <f t="shared" si="1"/>
        <v>PROT:AOP31598.1</v>
      </c>
      <c r="E94" t="s">
        <v>278</v>
      </c>
      <c r="F94" t="s">
        <v>134</v>
      </c>
      <c r="G94">
        <f>IF(ISERROR(MATCH(AllProtiens!F94,Genomes!$C:$C,0)),0,1)</f>
        <v>1</v>
      </c>
      <c r="H94">
        <f>IF(ISERROR(MATCH(AllProtiens!A94,CoreProteinGroups!B:B,0)),0,1)</f>
        <v>1</v>
      </c>
      <c r="J94" s="6" t="s">
        <v>135</v>
      </c>
    </row>
    <row r="95" spans="1:10" x14ac:dyDescent="0.2">
      <c r="A95" s="1" t="s">
        <v>216</v>
      </c>
      <c r="B95" t="s">
        <v>217</v>
      </c>
      <c r="C95" t="s">
        <v>279</v>
      </c>
      <c r="D95" s="6" t="str">
        <f t="shared" si="1"/>
        <v>PROT:ABD97688.1</v>
      </c>
      <c r="E95" t="s">
        <v>247</v>
      </c>
      <c r="F95" t="s">
        <v>137</v>
      </c>
      <c r="G95">
        <f>IF(ISERROR(MATCH(AllProtiens!F95,Genomes!$C:$C,0)),0,1)</f>
        <v>1</v>
      </c>
      <c r="H95">
        <f>IF(ISERROR(MATCH(AllProtiens!A95,CoreProteinGroups!B:B,0)),0,1)</f>
        <v>1</v>
      </c>
      <c r="J95" s="6" t="s">
        <v>138</v>
      </c>
    </row>
    <row r="96" spans="1:10" x14ac:dyDescent="0.2">
      <c r="A96" s="1" t="s">
        <v>216</v>
      </c>
      <c r="B96" t="s">
        <v>217</v>
      </c>
      <c r="C96" t="s">
        <v>280</v>
      </c>
      <c r="D96" s="6" t="str">
        <f t="shared" si="1"/>
        <v>PROT:AAO89399.1</v>
      </c>
      <c r="E96" t="s">
        <v>247</v>
      </c>
      <c r="F96" t="s">
        <v>140</v>
      </c>
      <c r="G96">
        <f>IF(ISERROR(MATCH(AllProtiens!F96,Genomes!$C:$C,0)),0,1)</f>
        <v>1</v>
      </c>
      <c r="H96">
        <f>IF(ISERROR(MATCH(AllProtiens!A96,CoreProteinGroups!B:B,0)),0,1)</f>
        <v>1</v>
      </c>
      <c r="J96" s="6" t="s">
        <v>141</v>
      </c>
    </row>
    <row r="97" spans="1:10" x14ac:dyDescent="0.2">
      <c r="A97" s="1" t="s">
        <v>216</v>
      </c>
      <c r="B97" t="s">
        <v>217</v>
      </c>
      <c r="C97" t="s">
        <v>281</v>
      </c>
      <c r="D97" s="6" t="str">
        <f t="shared" si="1"/>
        <v>PROT:CAA49046.1</v>
      </c>
      <c r="E97" t="s">
        <v>273</v>
      </c>
      <c r="F97" t="s">
        <v>144</v>
      </c>
      <c r="G97">
        <f>IF(ISERROR(MATCH(AllProtiens!F97,Genomes!$C:$C,0)),0,1)</f>
        <v>1</v>
      </c>
      <c r="H97">
        <f>IF(ISERROR(MATCH(AllProtiens!A97,CoreProteinGroups!B:B,0)),0,1)</f>
        <v>1</v>
      </c>
      <c r="J97" s="6" t="s">
        <v>145</v>
      </c>
    </row>
    <row r="98" spans="1:10" x14ac:dyDescent="0.2">
      <c r="A98" s="1" t="s">
        <v>216</v>
      </c>
      <c r="B98" t="s">
        <v>217</v>
      </c>
      <c r="C98" t="s">
        <v>282</v>
      </c>
      <c r="D98" s="6" t="str">
        <f t="shared" si="1"/>
        <v>PROT:CAB54705.1</v>
      </c>
      <c r="E98" t="s">
        <v>283</v>
      </c>
      <c r="F98" t="s">
        <v>148</v>
      </c>
      <c r="G98">
        <f>IF(ISERROR(MATCH(AllProtiens!F98,Genomes!$C:$C,0)),0,1)</f>
        <v>1</v>
      </c>
      <c r="H98">
        <f>IF(ISERROR(MATCH(AllProtiens!A98,CoreProteinGroups!B:B,0)),0,1)</f>
        <v>1</v>
      </c>
      <c r="J98" s="6" t="s">
        <v>149</v>
      </c>
    </row>
    <row r="99" spans="1:10" x14ac:dyDescent="0.2">
      <c r="A99" s="1" t="s">
        <v>216</v>
      </c>
      <c r="B99" t="s">
        <v>217</v>
      </c>
      <c r="C99" t="s">
        <v>284</v>
      </c>
      <c r="D99" s="6" t="str">
        <f t="shared" si="1"/>
        <v>PROT:AOP31809.1</v>
      </c>
      <c r="E99" t="s">
        <v>278</v>
      </c>
      <c r="F99" t="s">
        <v>151</v>
      </c>
      <c r="G99">
        <f>IF(ISERROR(MATCH(AllProtiens!F99,Genomes!$C:$C,0)),0,1)</f>
        <v>1</v>
      </c>
      <c r="H99">
        <f>IF(ISERROR(MATCH(AllProtiens!A99,CoreProteinGroups!B:B,0)),0,1)</f>
        <v>1</v>
      </c>
      <c r="J99" s="6" t="s">
        <v>152</v>
      </c>
    </row>
    <row r="100" spans="1:10" x14ac:dyDescent="0.2">
      <c r="A100" s="1" t="s">
        <v>216</v>
      </c>
      <c r="B100" t="s">
        <v>217</v>
      </c>
      <c r="C100" t="s">
        <v>285</v>
      </c>
      <c r="D100" s="6" t="str">
        <f t="shared" si="1"/>
        <v>PROT:ASC55563.1</v>
      </c>
      <c r="E100" t="s">
        <v>286</v>
      </c>
      <c r="F100" t="s">
        <v>155</v>
      </c>
      <c r="G100">
        <f>IF(ISERROR(MATCH(AllProtiens!F100,Genomes!$C:$C,0)),0,1)</f>
        <v>1</v>
      </c>
      <c r="H100">
        <f>IF(ISERROR(MATCH(AllProtiens!A100,CoreProteinGroups!B:B,0)),0,1)</f>
        <v>1</v>
      </c>
      <c r="J100" s="6" t="s">
        <v>156</v>
      </c>
    </row>
    <row r="101" spans="1:10" x14ac:dyDescent="0.2">
      <c r="A101" s="1" t="s">
        <v>216</v>
      </c>
      <c r="B101" t="s">
        <v>217</v>
      </c>
      <c r="C101" t="s">
        <v>287</v>
      </c>
      <c r="D101" s="6" t="str">
        <f t="shared" si="1"/>
        <v>PROT:AAR98434.1</v>
      </c>
      <c r="E101" t="s">
        <v>288</v>
      </c>
      <c r="F101" t="s">
        <v>159</v>
      </c>
      <c r="G101">
        <f>IF(ISERROR(MATCH(AllProtiens!F101,Genomes!$C:$C,0)),0,1)</f>
        <v>1</v>
      </c>
      <c r="H101">
        <f>IF(ISERROR(MATCH(AllProtiens!A101,CoreProteinGroups!B:B,0)),0,1)</f>
        <v>1</v>
      </c>
      <c r="J101" s="6" t="s">
        <v>160</v>
      </c>
    </row>
    <row r="102" spans="1:10" x14ac:dyDescent="0.2">
      <c r="A102" s="1" t="s">
        <v>216</v>
      </c>
      <c r="B102" t="s">
        <v>217</v>
      </c>
      <c r="C102" t="s">
        <v>289</v>
      </c>
      <c r="D102" s="6" t="str">
        <f t="shared" si="1"/>
        <v>PROT:AAR98302.1</v>
      </c>
      <c r="E102" t="s">
        <v>288</v>
      </c>
      <c r="F102" t="s">
        <v>162</v>
      </c>
      <c r="G102">
        <f>IF(ISERROR(MATCH(AllProtiens!F102,Genomes!$C:$C,0)),0,1)</f>
        <v>1</v>
      </c>
      <c r="H102">
        <f>IF(ISERROR(MATCH(AllProtiens!A102,CoreProteinGroups!B:B,0)),0,1)</f>
        <v>1</v>
      </c>
      <c r="J102" s="6" t="s">
        <v>163</v>
      </c>
    </row>
    <row r="103" spans="1:10" x14ac:dyDescent="0.2">
      <c r="A103" s="1" t="s">
        <v>216</v>
      </c>
      <c r="B103" t="s">
        <v>217</v>
      </c>
      <c r="C103" t="s">
        <v>290</v>
      </c>
      <c r="D103" s="6" t="str">
        <f t="shared" si="1"/>
        <v>PROT:ABA00594.1</v>
      </c>
      <c r="E103" t="s">
        <v>229</v>
      </c>
      <c r="F103" t="s">
        <v>162</v>
      </c>
      <c r="G103">
        <f>IF(ISERROR(MATCH(AllProtiens!F103,Genomes!$C:$C,0)),0,1)</f>
        <v>1</v>
      </c>
      <c r="H103">
        <f>IF(ISERROR(MATCH(AllProtiens!A103,CoreProteinGroups!B:B,0)),0,1)</f>
        <v>1</v>
      </c>
      <c r="J103" s="6" t="s">
        <v>163</v>
      </c>
    </row>
    <row r="104" spans="1:10" x14ac:dyDescent="0.2">
      <c r="A104" s="1" t="s">
        <v>216</v>
      </c>
      <c r="B104" t="s">
        <v>217</v>
      </c>
      <c r="C104" t="s">
        <v>291</v>
      </c>
      <c r="D104" s="6" t="str">
        <f t="shared" si="1"/>
        <v>PROT:AIZ77328.1</v>
      </c>
      <c r="E104" t="s">
        <v>265</v>
      </c>
      <c r="F104" t="s">
        <v>167</v>
      </c>
      <c r="G104">
        <f>IF(ISERROR(MATCH(AllProtiens!F104,Genomes!$C:$C,0)),0,1)</f>
        <v>1</v>
      </c>
      <c r="H104">
        <f>IF(ISERROR(MATCH(AllProtiens!A104,CoreProteinGroups!B:B,0)),0,1)</f>
        <v>1</v>
      </c>
      <c r="J104" s="6" t="s">
        <v>168</v>
      </c>
    </row>
    <row r="105" spans="1:10" x14ac:dyDescent="0.2">
      <c r="A105" s="1" t="s">
        <v>216</v>
      </c>
      <c r="B105" t="s">
        <v>217</v>
      </c>
      <c r="C105" t="s">
        <v>292</v>
      </c>
      <c r="D105" s="6" t="str">
        <f t="shared" si="1"/>
        <v>PROT:ADC53979.1</v>
      </c>
      <c r="E105" t="s">
        <v>229</v>
      </c>
      <c r="F105" t="s">
        <v>170</v>
      </c>
      <c r="G105">
        <f>IF(ISERROR(MATCH(AllProtiens!F105,Genomes!$C:$C,0)),0,1)</f>
        <v>1</v>
      </c>
      <c r="H105">
        <f>IF(ISERROR(MATCH(AllProtiens!A105,CoreProteinGroups!B:B,0)),0,1)</f>
        <v>1</v>
      </c>
      <c r="J105" s="6" t="s">
        <v>171</v>
      </c>
    </row>
    <row r="106" spans="1:10" x14ac:dyDescent="0.2">
      <c r="A106" s="1" t="s">
        <v>216</v>
      </c>
      <c r="B106" t="s">
        <v>217</v>
      </c>
      <c r="C106" t="s">
        <v>293</v>
      </c>
      <c r="D106" s="6" t="str">
        <f t="shared" si="1"/>
        <v>PROT:AAL69828.1</v>
      </c>
      <c r="E106" t="s">
        <v>294</v>
      </c>
      <c r="F106" t="s">
        <v>174</v>
      </c>
      <c r="G106">
        <f>IF(ISERROR(MATCH(AllProtiens!F106,Genomes!$C:$C,0)),0,1)</f>
        <v>1</v>
      </c>
      <c r="H106">
        <f>IF(ISERROR(MATCH(AllProtiens!A106,CoreProteinGroups!B:B,0)),0,1)</f>
        <v>1</v>
      </c>
      <c r="J106" s="6" t="s">
        <v>175</v>
      </c>
    </row>
    <row r="107" spans="1:10" x14ac:dyDescent="0.2">
      <c r="A107" s="1" t="s">
        <v>216</v>
      </c>
      <c r="B107" t="s">
        <v>217</v>
      </c>
      <c r="C107" t="s">
        <v>295</v>
      </c>
      <c r="D107" s="6" t="str">
        <f t="shared" si="1"/>
        <v>PROT:CAC21330.1</v>
      </c>
      <c r="E107" t="s">
        <v>296</v>
      </c>
      <c r="F107" t="s">
        <v>178</v>
      </c>
      <c r="G107">
        <f>IF(ISERROR(MATCH(AllProtiens!F107,Genomes!$C:$C,0)),0,1)</f>
        <v>1</v>
      </c>
      <c r="H107">
        <f>IF(ISERROR(MATCH(AllProtiens!A107,CoreProteinGroups!B:B,0)),0,1)</f>
        <v>1</v>
      </c>
      <c r="J107" s="6" t="s">
        <v>179</v>
      </c>
    </row>
    <row r="108" spans="1:10" x14ac:dyDescent="0.2">
      <c r="A108" s="1" t="s">
        <v>216</v>
      </c>
      <c r="B108" t="s">
        <v>217</v>
      </c>
      <c r="C108" t="s">
        <v>297</v>
      </c>
      <c r="D108" s="6" t="str">
        <f t="shared" si="1"/>
        <v>PROT:AAR07448.1</v>
      </c>
      <c r="E108" t="s">
        <v>298</v>
      </c>
      <c r="F108" t="s">
        <v>182</v>
      </c>
      <c r="G108">
        <f>IF(ISERROR(MATCH(AllProtiens!F108,Genomes!$C:$C,0)),0,1)</f>
        <v>1</v>
      </c>
      <c r="H108">
        <f>IF(ISERROR(MATCH(AllProtiens!A108,CoreProteinGroups!B:B,0)),0,1)</f>
        <v>1</v>
      </c>
      <c r="J108" s="6" t="s">
        <v>183</v>
      </c>
    </row>
    <row r="109" spans="1:10" x14ac:dyDescent="0.2">
      <c r="A109" s="1" t="s">
        <v>216</v>
      </c>
      <c r="B109" t="s">
        <v>217</v>
      </c>
      <c r="C109" t="s">
        <v>299</v>
      </c>
      <c r="D109" s="6" t="str">
        <f t="shared" si="1"/>
        <v>PROT:AAC97623.1</v>
      </c>
      <c r="E109" t="s">
        <v>300</v>
      </c>
      <c r="F109" t="s">
        <v>186</v>
      </c>
      <c r="G109">
        <f>IF(ISERROR(MATCH(AllProtiens!F109,Genomes!$C:$C,0)),0,1)</f>
        <v>1</v>
      </c>
      <c r="H109">
        <f>IF(ISERROR(MATCH(AllProtiens!A109,CoreProteinGroups!B:B,0)),0,1)</f>
        <v>1</v>
      </c>
      <c r="J109" s="6" t="s">
        <v>187</v>
      </c>
    </row>
    <row r="110" spans="1:10" x14ac:dyDescent="0.2">
      <c r="A110" s="1" t="s">
        <v>216</v>
      </c>
      <c r="B110" t="s">
        <v>217</v>
      </c>
      <c r="C110" t="s">
        <v>301</v>
      </c>
      <c r="D110" s="6" t="str">
        <f t="shared" si="1"/>
        <v>PROT:BAO49552.1</v>
      </c>
      <c r="E110" t="s">
        <v>235</v>
      </c>
      <c r="F110" t="s">
        <v>190</v>
      </c>
      <c r="G110">
        <f>IF(ISERROR(MATCH(AllProtiens!F110,Genomes!$C:$C,0)),0,1)</f>
        <v>1</v>
      </c>
      <c r="H110">
        <f>IF(ISERROR(MATCH(AllProtiens!A110,CoreProteinGroups!B:B,0)),0,1)</f>
        <v>1</v>
      </c>
      <c r="J110" s="6" t="s">
        <v>191</v>
      </c>
    </row>
    <row r="111" spans="1:10" x14ac:dyDescent="0.2">
      <c r="A111" s="1" t="s">
        <v>216</v>
      </c>
      <c r="B111" t="s">
        <v>217</v>
      </c>
      <c r="C111" t="s">
        <v>302</v>
      </c>
      <c r="D111" s="6" t="str">
        <f t="shared" si="1"/>
        <v>PROT:CCU55463.1</v>
      </c>
      <c r="E111" t="s">
        <v>303</v>
      </c>
      <c r="F111" t="s">
        <v>193</v>
      </c>
      <c r="G111">
        <f>IF(ISERROR(MATCH(AllProtiens!F111,Genomes!$C:$C,0)),0,1)</f>
        <v>1</v>
      </c>
      <c r="H111">
        <f>IF(ISERROR(MATCH(AllProtiens!A111,CoreProteinGroups!B:B,0)),0,1)</f>
        <v>1</v>
      </c>
      <c r="J111" s="6" t="s">
        <v>194</v>
      </c>
    </row>
    <row r="112" spans="1:10" x14ac:dyDescent="0.2">
      <c r="A112" s="1" t="s">
        <v>216</v>
      </c>
      <c r="B112" t="s">
        <v>217</v>
      </c>
      <c r="C112" t="s">
        <v>304</v>
      </c>
      <c r="D112" s="6" t="str">
        <f t="shared" si="1"/>
        <v>PROT:AAG02911.1</v>
      </c>
      <c r="E112" t="s">
        <v>305</v>
      </c>
      <c r="F112" t="s">
        <v>197</v>
      </c>
      <c r="G112">
        <f>IF(ISERROR(MATCH(AllProtiens!F112,Genomes!$C:$C,0)),0,1)</f>
        <v>1</v>
      </c>
      <c r="H112">
        <f>IF(ISERROR(MATCH(AllProtiens!A112,CoreProteinGroups!B:B,0)),0,1)</f>
        <v>1</v>
      </c>
      <c r="J112" s="6" t="s">
        <v>198</v>
      </c>
    </row>
    <row r="113" spans="1:10" x14ac:dyDescent="0.2">
      <c r="A113" s="1" t="s">
        <v>216</v>
      </c>
      <c r="B113" t="s">
        <v>217</v>
      </c>
      <c r="C113" t="s">
        <v>306</v>
      </c>
      <c r="D113" s="6" t="str">
        <f t="shared" si="1"/>
        <v>PROT:CCU55803.1</v>
      </c>
      <c r="E113" t="s">
        <v>303</v>
      </c>
      <c r="F113" t="s">
        <v>200</v>
      </c>
      <c r="G113">
        <f>IF(ISERROR(MATCH(AllProtiens!F113,Genomes!$C:$C,0)),0,1)</f>
        <v>1</v>
      </c>
      <c r="H113">
        <f>IF(ISERROR(MATCH(AllProtiens!A113,CoreProteinGroups!B:B,0)),0,1)</f>
        <v>1</v>
      </c>
      <c r="J113" s="6" t="s">
        <v>201</v>
      </c>
    </row>
    <row r="114" spans="1:10" x14ac:dyDescent="0.2">
      <c r="A114" s="1" t="s">
        <v>216</v>
      </c>
      <c r="B114" t="s">
        <v>217</v>
      </c>
      <c r="C114" t="s">
        <v>307</v>
      </c>
      <c r="D114" s="6" t="str">
        <f t="shared" si="1"/>
        <v>PROT:CCU56105.1</v>
      </c>
      <c r="E114" t="s">
        <v>303</v>
      </c>
      <c r="F114" t="s">
        <v>203</v>
      </c>
      <c r="G114">
        <f>IF(ISERROR(MATCH(AllProtiens!F114,Genomes!$C:$C,0)),0,1)</f>
        <v>1</v>
      </c>
      <c r="H114">
        <f>IF(ISERROR(MATCH(AllProtiens!A114,CoreProteinGroups!B:B,0)),0,1)</f>
        <v>1</v>
      </c>
      <c r="J114" s="6" t="s">
        <v>204</v>
      </c>
    </row>
    <row r="115" spans="1:10" x14ac:dyDescent="0.2">
      <c r="A115" s="1" t="s">
        <v>216</v>
      </c>
      <c r="B115" t="s">
        <v>217</v>
      </c>
      <c r="C115" t="s">
        <v>308</v>
      </c>
      <c r="D115" s="6" t="str">
        <f t="shared" si="1"/>
        <v>PROT:CCU56429.1</v>
      </c>
      <c r="E115" t="s">
        <v>303</v>
      </c>
      <c r="F115" t="s">
        <v>206</v>
      </c>
      <c r="G115">
        <f>IF(ISERROR(MATCH(AllProtiens!F115,Genomes!$C:$C,0)),0,1)</f>
        <v>1</v>
      </c>
      <c r="H115">
        <f>IF(ISERROR(MATCH(AllProtiens!A115,CoreProteinGroups!B:B,0)),0,1)</f>
        <v>1</v>
      </c>
      <c r="J115" s="6" t="s">
        <v>207</v>
      </c>
    </row>
    <row r="116" spans="1:10" x14ac:dyDescent="0.2">
      <c r="A116" s="1" t="s">
        <v>216</v>
      </c>
      <c r="B116" t="s">
        <v>217</v>
      </c>
      <c r="C116" t="s">
        <v>309</v>
      </c>
      <c r="D116" s="6" t="str">
        <f t="shared" si="1"/>
        <v>PROT:NP_659664.1</v>
      </c>
      <c r="E116" t="s">
        <v>310</v>
      </c>
      <c r="F116" t="s">
        <v>210</v>
      </c>
      <c r="G116">
        <f>IF(ISERROR(MATCH(AllProtiens!F116,Genomes!$C:$C,0)),0,1)</f>
        <v>1</v>
      </c>
      <c r="H116">
        <f>IF(ISERROR(MATCH(AllProtiens!A116,CoreProteinGroups!B:B,0)),0,1)</f>
        <v>1</v>
      </c>
      <c r="J116" s="6" t="s">
        <v>211</v>
      </c>
    </row>
    <row r="117" spans="1:10" x14ac:dyDescent="0.2">
      <c r="A117" s="1" t="s">
        <v>216</v>
      </c>
      <c r="B117" t="s">
        <v>217</v>
      </c>
      <c r="C117" t="s">
        <v>311</v>
      </c>
      <c r="D117" s="6" t="str">
        <f t="shared" si="1"/>
        <v>PROT:YP_001293283.1</v>
      </c>
      <c r="E117" t="s">
        <v>312</v>
      </c>
      <c r="F117" t="s">
        <v>214</v>
      </c>
      <c r="G117">
        <f>IF(ISERROR(MATCH(AllProtiens!F117,Genomes!$C:$C,0)),0,1)</f>
        <v>1</v>
      </c>
      <c r="H117">
        <f>IF(ISERROR(MATCH(AllProtiens!A117,CoreProteinGroups!B:B,0)),0,1)</f>
        <v>1</v>
      </c>
      <c r="J117" s="6" t="s">
        <v>215</v>
      </c>
    </row>
    <row r="118" spans="1:10" x14ac:dyDescent="0.2">
      <c r="A118" s="1" t="s">
        <v>313</v>
      </c>
      <c r="B118" t="s">
        <v>314</v>
      </c>
      <c r="C118" t="s">
        <v>315</v>
      </c>
      <c r="D118" s="6" t="str">
        <f t="shared" si="1"/>
        <v>PROT:ATI21224.1</v>
      </c>
      <c r="E118" t="s">
        <v>316</v>
      </c>
      <c r="F118" t="s">
        <v>14</v>
      </c>
      <c r="G118">
        <f>IF(ISERROR(MATCH(AllProtiens!F118,Genomes!$C:$C,0)),0,1)</f>
        <v>1</v>
      </c>
      <c r="H118">
        <f>IF(ISERROR(MATCH(AllProtiens!A118,CoreProteinGroups!B:B,0)),0,1)</f>
        <v>1</v>
      </c>
      <c r="J118" s="6" t="s">
        <v>15</v>
      </c>
    </row>
    <row r="119" spans="1:10" x14ac:dyDescent="0.2">
      <c r="A119" s="1" t="s">
        <v>313</v>
      </c>
      <c r="B119" t="s">
        <v>314</v>
      </c>
      <c r="C119" t="s">
        <v>317</v>
      </c>
      <c r="D119" s="6" t="str">
        <f t="shared" si="1"/>
        <v>PROT:AWU47157.1</v>
      </c>
      <c r="E119" t="s">
        <v>316</v>
      </c>
      <c r="F119" t="s">
        <v>17</v>
      </c>
      <c r="G119">
        <f>IF(ISERROR(MATCH(AllProtiens!F119,Genomes!$C:$C,0)),0,1)</f>
        <v>1</v>
      </c>
      <c r="H119">
        <f>IF(ISERROR(MATCH(AllProtiens!A119,CoreProteinGroups!B:B,0)),0,1)</f>
        <v>1</v>
      </c>
      <c r="J119" s="6" t="s">
        <v>18</v>
      </c>
    </row>
    <row r="120" spans="1:10" x14ac:dyDescent="0.2">
      <c r="A120" s="1" t="s">
        <v>313</v>
      </c>
      <c r="B120" t="s">
        <v>314</v>
      </c>
      <c r="C120" t="s">
        <v>318</v>
      </c>
      <c r="D120" s="6" t="str">
        <f t="shared" si="1"/>
        <v>PROT:APG58332.1</v>
      </c>
      <c r="E120" t="s">
        <v>319</v>
      </c>
      <c r="F120" t="s">
        <v>21</v>
      </c>
      <c r="G120">
        <f>IF(ISERROR(MATCH(AllProtiens!F120,Genomes!$C:$C,0)),0,1)</f>
        <v>1</v>
      </c>
      <c r="H120">
        <f>IF(ISERROR(MATCH(AllProtiens!A120,CoreProteinGroups!B:B,0)),0,1)</f>
        <v>1</v>
      </c>
      <c r="J120" s="6" t="s">
        <v>22</v>
      </c>
    </row>
    <row r="121" spans="1:10" x14ac:dyDescent="0.2">
      <c r="A121" s="1" t="s">
        <v>313</v>
      </c>
      <c r="B121" t="s">
        <v>314</v>
      </c>
      <c r="C121" t="s">
        <v>320</v>
      </c>
      <c r="D121" s="6" t="str">
        <f t="shared" si="1"/>
        <v>PROT:ADT91141.1</v>
      </c>
      <c r="E121" t="s">
        <v>316</v>
      </c>
      <c r="F121" t="s">
        <v>25</v>
      </c>
      <c r="G121">
        <f>IF(ISERROR(MATCH(AllProtiens!F121,Genomes!$C:$C,0)),0,1)</f>
        <v>1</v>
      </c>
      <c r="H121">
        <f>IF(ISERROR(MATCH(AllProtiens!A121,CoreProteinGroups!B:B,0)),0,1)</f>
        <v>1</v>
      </c>
      <c r="J121" s="6" t="s">
        <v>26</v>
      </c>
    </row>
    <row r="122" spans="1:10" x14ac:dyDescent="0.2">
      <c r="A122" s="1" t="s">
        <v>313</v>
      </c>
      <c r="B122" t="s">
        <v>314</v>
      </c>
      <c r="C122" t="s">
        <v>321</v>
      </c>
      <c r="D122" s="6" t="str">
        <f t="shared" si="1"/>
        <v>PROT:ANS71201.1</v>
      </c>
      <c r="E122" t="s">
        <v>314</v>
      </c>
      <c r="F122" t="s">
        <v>28</v>
      </c>
      <c r="G122">
        <f>IF(ISERROR(MATCH(AllProtiens!F122,Genomes!$C:$C,0)),0,1)</f>
        <v>1</v>
      </c>
      <c r="H122">
        <f>IF(ISERROR(MATCH(AllProtiens!A122,CoreProteinGroups!B:B,0)),0,1)</f>
        <v>1</v>
      </c>
      <c r="J122" s="6" t="s">
        <v>29</v>
      </c>
    </row>
    <row r="123" spans="1:10" x14ac:dyDescent="0.2">
      <c r="A123" s="1" t="s">
        <v>313</v>
      </c>
      <c r="B123" t="s">
        <v>314</v>
      </c>
      <c r="C123" t="s">
        <v>322</v>
      </c>
      <c r="D123" s="6" t="str">
        <f t="shared" si="1"/>
        <v>PROT:AKR04248.1</v>
      </c>
      <c r="E123" t="s">
        <v>323</v>
      </c>
      <c r="F123" t="s">
        <v>32</v>
      </c>
      <c r="G123">
        <f>IF(ISERROR(MATCH(AllProtiens!F123,Genomes!$C:$C,0)),0,1)</f>
        <v>1</v>
      </c>
      <c r="H123">
        <f>IF(ISERROR(MATCH(AllProtiens!A123,CoreProteinGroups!B:B,0)),0,1)</f>
        <v>1</v>
      </c>
      <c r="J123" s="6" t="s">
        <v>33</v>
      </c>
    </row>
    <row r="124" spans="1:10" x14ac:dyDescent="0.2">
      <c r="A124" s="1" t="s">
        <v>313</v>
      </c>
      <c r="B124" t="s">
        <v>314</v>
      </c>
      <c r="C124" t="s">
        <v>324</v>
      </c>
      <c r="D124" s="6" t="str">
        <f t="shared" si="1"/>
        <v>PROT:CCD83294.1</v>
      </c>
      <c r="E124" t="s">
        <v>325</v>
      </c>
      <c r="F124" t="s">
        <v>36</v>
      </c>
      <c r="G124">
        <f>IF(ISERROR(MATCH(AllProtiens!F124,Genomes!$C:$C,0)),0,1)</f>
        <v>1</v>
      </c>
      <c r="H124">
        <f>IF(ISERROR(MATCH(AllProtiens!A124,CoreProteinGroups!B:B,0)),0,1)</f>
        <v>1</v>
      </c>
      <c r="J124" s="6" t="s">
        <v>37</v>
      </c>
    </row>
    <row r="125" spans="1:10" x14ac:dyDescent="0.2">
      <c r="A125" s="1" t="s">
        <v>313</v>
      </c>
      <c r="B125" t="s">
        <v>314</v>
      </c>
      <c r="C125" t="s">
        <v>326</v>
      </c>
      <c r="D125" s="6" t="str">
        <f t="shared" si="1"/>
        <v>PROT:ASK51320.1</v>
      </c>
      <c r="E125" t="s">
        <v>316</v>
      </c>
      <c r="F125" t="s">
        <v>40</v>
      </c>
      <c r="G125">
        <f>IF(ISERROR(MATCH(AllProtiens!F125,Genomes!$C:$C,0)),0,1)</f>
        <v>1</v>
      </c>
      <c r="H125">
        <f>IF(ISERROR(MATCH(AllProtiens!A125,CoreProteinGroups!B:B,0)),0,1)</f>
        <v>1</v>
      </c>
      <c r="J125" s="6" t="s">
        <v>41</v>
      </c>
    </row>
    <row r="126" spans="1:10" x14ac:dyDescent="0.2">
      <c r="A126" s="1" t="s">
        <v>313</v>
      </c>
      <c r="B126" t="s">
        <v>314</v>
      </c>
      <c r="C126" t="s">
        <v>327</v>
      </c>
      <c r="D126" s="6" t="str">
        <f t="shared" si="1"/>
        <v>PROT:AUD40295.1</v>
      </c>
      <c r="E126" t="s">
        <v>316</v>
      </c>
      <c r="F126" t="s">
        <v>43</v>
      </c>
      <c r="G126">
        <f>IF(ISERROR(MATCH(AllProtiens!F126,Genomes!$C:$C,0)),0,1)</f>
        <v>1</v>
      </c>
      <c r="H126">
        <f>IF(ISERROR(MATCH(AllProtiens!A126,CoreProteinGroups!B:B,0)),0,1)</f>
        <v>1</v>
      </c>
      <c r="J126" s="6" t="s">
        <v>44</v>
      </c>
    </row>
    <row r="127" spans="1:10" x14ac:dyDescent="0.2">
      <c r="A127" s="1" t="s">
        <v>313</v>
      </c>
      <c r="B127" t="s">
        <v>314</v>
      </c>
      <c r="C127" t="s">
        <v>328</v>
      </c>
      <c r="D127" s="6" t="str">
        <f t="shared" si="1"/>
        <v>PROT:AID46926.1</v>
      </c>
      <c r="E127" t="s">
        <v>329</v>
      </c>
      <c r="F127" t="s">
        <v>46</v>
      </c>
      <c r="G127">
        <f>IF(ISERROR(MATCH(AllProtiens!F127,Genomes!$C:$C,0)),0,1)</f>
        <v>1</v>
      </c>
      <c r="H127">
        <f>IF(ISERROR(MATCH(AllProtiens!A127,CoreProteinGroups!B:B,0)),0,1)</f>
        <v>1</v>
      </c>
      <c r="J127" s="6" t="s">
        <v>47</v>
      </c>
    </row>
    <row r="128" spans="1:10" x14ac:dyDescent="0.2">
      <c r="A128" s="1" t="s">
        <v>313</v>
      </c>
      <c r="B128" t="s">
        <v>314</v>
      </c>
      <c r="C128" t="s">
        <v>330</v>
      </c>
      <c r="D128" s="6" t="str">
        <f t="shared" si="1"/>
        <v>PROT:AID46694.1</v>
      </c>
      <c r="E128" t="s">
        <v>331</v>
      </c>
      <c r="F128" t="s">
        <v>49</v>
      </c>
      <c r="G128">
        <f>IF(ISERROR(MATCH(AllProtiens!F128,Genomes!$C:$C,0)),0,1)</f>
        <v>1</v>
      </c>
      <c r="H128">
        <f>IF(ISERROR(MATCH(AllProtiens!A128,CoreProteinGroups!B:B,0)),0,1)</f>
        <v>1</v>
      </c>
      <c r="J128" s="6" t="s">
        <v>50</v>
      </c>
    </row>
    <row r="129" spans="1:10" x14ac:dyDescent="0.2">
      <c r="A129" s="1" t="s">
        <v>313</v>
      </c>
      <c r="B129" t="s">
        <v>314</v>
      </c>
      <c r="C129" t="s">
        <v>332</v>
      </c>
      <c r="D129" s="6" t="str">
        <f t="shared" si="1"/>
        <v>PROT:ALA62511.1</v>
      </c>
      <c r="E129" t="s">
        <v>333</v>
      </c>
      <c r="F129" t="s">
        <v>53</v>
      </c>
      <c r="G129">
        <f>IF(ISERROR(MATCH(AllProtiens!F129,Genomes!$C:$C,0)),0,1)</f>
        <v>1</v>
      </c>
      <c r="H129">
        <f>IF(ISERROR(MATCH(AllProtiens!A129,CoreProteinGroups!B:B,0)),0,1)</f>
        <v>1</v>
      </c>
      <c r="J129" s="6" t="s">
        <v>54</v>
      </c>
    </row>
    <row r="130" spans="1:10" x14ac:dyDescent="0.2">
      <c r="A130" s="1" t="s">
        <v>313</v>
      </c>
      <c r="B130" t="s">
        <v>314</v>
      </c>
      <c r="C130" t="s">
        <v>334</v>
      </c>
      <c r="D130" s="6" t="str">
        <f t="shared" ref="D130:D193" si="2">HYPERLINK(_xlfn.CONCAT("https://www.ncbi.nlm.nih.gov/protein/",C130),_xlfn.CONCAT("PROT:",C130))</f>
        <v>PROT:AAR83607.1</v>
      </c>
      <c r="E130" t="s">
        <v>335</v>
      </c>
      <c r="F130" t="s">
        <v>57</v>
      </c>
      <c r="G130">
        <f>IF(ISERROR(MATCH(AllProtiens!F130,Genomes!$C:$C,0)),0,1)</f>
        <v>1</v>
      </c>
      <c r="H130">
        <f>IF(ISERROR(MATCH(AllProtiens!A130,CoreProteinGroups!B:B,0)),0,1)</f>
        <v>1</v>
      </c>
      <c r="J130" s="6" t="s">
        <v>58</v>
      </c>
    </row>
    <row r="131" spans="1:10" x14ac:dyDescent="0.2">
      <c r="A131" s="1" t="s">
        <v>313</v>
      </c>
      <c r="B131" t="s">
        <v>314</v>
      </c>
      <c r="C131" t="s">
        <v>336</v>
      </c>
      <c r="D131" s="6" t="str">
        <f t="shared" si="2"/>
        <v>PROT:AAF44531.1</v>
      </c>
      <c r="E131" t="s">
        <v>337</v>
      </c>
      <c r="F131" t="s">
        <v>61</v>
      </c>
      <c r="G131">
        <f>IF(ISERROR(MATCH(AllProtiens!F131,Genomes!$C:$C,0)),0,1)</f>
        <v>1</v>
      </c>
      <c r="H131">
        <f>IF(ISERROR(MATCH(AllProtiens!A131,CoreProteinGroups!B:B,0)),0,1)</f>
        <v>1</v>
      </c>
      <c r="J131" s="6" t="s">
        <v>62</v>
      </c>
    </row>
    <row r="132" spans="1:10" x14ac:dyDescent="0.2">
      <c r="A132" s="1" t="s">
        <v>313</v>
      </c>
      <c r="B132" t="s">
        <v>314</v>
      </c>
      <c r="C132" t="s">
        <v>338</v>
      </c>
      <c r="D132" s="6" t="str">
        <f t="shared" si="2"/>
        <v>PROT:AAK85075.1</v>
      </c>
      <c r="E132" t="s">
        <v>339</v>
      </c>
      <c r="F132" t="s">
        <v>65</v>
      </c>
      <c r="G132">
        <f>IF(ISERROR(MATCH(AllProtiens!F132,Genomes!$C:$C,0)),0,1)</f>
        <v>1</v>
      </c>
      <c r="H132">
        <f>IF(ISERROR(MATCH(AllProtiens!A132,CoreProteinGroups!B:B,0)),0,1)</f>
        <v>1</v>
      </c>
      <c r="J132" s="6" t="s">
        <v>66</v>
      </c>
    </row>
    <row r="133" spans="1:10" x14ac:dyDescent="0.2">
      <c r="A133" s="1" t="s">
        <v>313</v>
      </c>
      <c r="B133" t="s">
        <v>314</v>
      </c>
      <c r="C133" t="s">
        <v>340</v>
      </c>
      <c r="D133" s="6" t="str">
        <f t="shared" si="2"/>
        <v>PROT:AST09333.1</v>
      </c>
      <c r="E133" t="s">
        <v>314</v>
      </c>
      <c r="F133" t="s">
        <v>68</v>
      </c>
      <c r="G133">
        <f>IF(ISERROR(MATCH(AllProtiens!F133,Genomes!$C:$C,0)),0,1)</f>
        <v>1</v>
      </c>
      <c r="H133">
        <f>IF(ISERROR(MATCH(AllProtiens!A133,CoreProteinGroups!B:B,0)),0,1)</f>
        <v>1</v>
      </c>
      <c r="J133" s="6" t="s">
        <v>69</v>
      </c>
    </row>
    <row r="134" spans="1:10" x14ac:dyDescent="0.2">
      <c r="A134" s="1" t="s">
        <v>313</v>
      </c>
      <c r="B134" t="s">
        <v>314</v>
      </c>
      <c r="C134" t="s">
        <v>341</v>
      </c>
      <c r="D134" s="6" t="str">
        <f t="shared" si="2"/>
        <v>PROT:AEN03715.1</v>
      </c>
      <c r="E134" t="s">
        <v>314</v>
      </c>
      <c r="F134" t="s">
        <v>71</v>
      </c>
      <c r="G134">
        <f>IF(ISERROR(MATCH(AllProtiens!F134,Genomes!$C:$C,0)),0,1)</f>
        <v>1</v>
      </c>
      <c r="H134">
        <f>IF(ISERROR(MATCH(AllProtiens!A134,CoreProteinGroups!B:B,0)),0,1)</f>
        <v>1</v>
      </c>
      <c r="J134" s="6" t="s">
        <v>72</v>
      </c>
    </row>
    <row r="135" spans="1:10" x14ac:dyDescent="0.2">
      <c r="A135" s="1" t="s">
        <v>313</v>
      </c>
      <c r="B135" t="s">
        <v>314</v>
      </c>
      <c r="C135" t="s">
        <v>342</v>
      </c>
      <c r="D135" s="6" t="str">
        <f t="shared" si="2"/>
        <v>PROT:ABI99278.1</v>
      </c>
      <c r="E135" t="s">
        <v>314</v>
      </c>
      <c r="F135" t="s">
        <v>74</v>
      </c>
      <c r="G135">
        <f>IF(ISERROR(MATCH(AllProtiens!F135,Genomes!$C:$C,0)),0,1)</f>
        <v>1</v>
      </c>
      <c r="H135">
        <f>IF(ISERROR(MATCH(AllProtiens!A135,CoreProteinGroups!B:B,0)),0,1)</f>
        <v>1</v>
      </c>
      <c r="J135" s="6" t="s">
        <v>75</v>
      </c>
    </row>
    <row r="136" spans="1:10" x14ac:dyDescent="0.2">
      <c r="A136" s="1" t="s">
        <v>313</v>
      </c>
      <c r="B136" t="s">
        <v>314</v>
      </c>
      <c r="C136" t="s">
        <v>343</v>
      </c>
      <c r="D136" s="6" t="str">
        <f t="shared" si="2"/>
        <v>PROT:ABJ09036.1</v>
      </c>
      <c r="E136" t="s">
        <v>314</v>
      </c>
      <c r="F136" t="s">
        <v>77</v>
      </c>
      <c r="G136">
        <f>IF(ISERROR(MATCH(AllProtiens!F136,Genomes!$C:$C,0)),0,1)</f>
        <v>1</v>
      </c>
      <c r="H136">
        <f>IF(ISERROR(MATCH(AllProtiens!A136,CoreProteinGroups!B:B,0)),0,1)</f>
        <v>1</v>
      </c>
      <c r="J136" s="6" t="s">
        <v>78</v>
      </c>
    </row>
    <row r="137" spans="1:10" x14ac:dyDescent="0.2">
      <c r="A137" s="1" t="s">
        <v>313</v>
      </c>
      <c r="B137" t="s">
        <v>314</v>
      </c>
      <c r="C137" t="s">
        <v>344</v>
      </c>
      <c r="D137" s="6" t="str">
        <f t="shared" si="2"/>
        <v>PROT:AAF15000.1</v>
      </c>
      <c r="E137" t="s">
        <v>345</v>
      </c>
      <c r="F137" t="s">
        <v>81</v>
      </c>
      <c r="G137">
        <f>IF(ISERROR(MATCH(AllProtiens!F137,Genomes!$C:$C,0)),0,1)</f>
        <v>0</v>
      </c>
      <c r="H137">
        <f>IF(ISERROR(MATCH(AllProtiens!A137,CoreProteinGroups!B:B,0)),0,1)</f>
        <v>1</v>
      </c>
      <c r="J137" s="6" t="s">
        <v>82</v>
      </c>
    </row>
    <row r="138" spans="1:10" x14ac:dyDescent="0.2">
      <c r="A138" s="1" t="s">
        <v>313</v>
      </c>
      <c r="B138" t="s">
        <v>314</v>
      </c>
      <c r="C138" t="s">
        <v>346</v>
      </c>
      <c r="D138" s="6" t="str">
        <f t="shared" si="2"/>
        <v>PROT:AFU77376.1</v>
      </c>
      <c r="E138" t="s">
        <v>345</v>
      </c>
      <c r="F138" t="s">
        <v>81</v>
      </c>
      <c r="G138">
        <f>IF(ISERROR(MATCH(AllProtiens!F138,Genomes!$C:$C,0)),0,1)</f>
        <v>0</v>
      </c>
      <c r="H138">
        <f>IF(ISERROR(MATCH(AllProtiens!A138,CoreProteinGroups!B:B,0)),0,1)</f>
        <v>1</v>
      </c>
      <c r="J138" s="6" t="s">
        <v>82</v>
      </c>
    </row>
    <row r="139" spans="1:10" x14ac:dyDescent="0.2">
      <c r="A139" s="1" t="s">
        <v>313</v>
      </c>
      <c r="B139" t="s">
        <v>314</v>
      </c>
      <c r="C139" t="s">
        <v>347</v>
      </c>
      <c r="D139" s="6" t="str">
        <f t="shared" si="2"/>
        <v>PROT:AAF17995.1</v>
      </c>
      <c r="E139" t="s">
        <v>348</v>
      </c>
      <c r="F139" t="s">
        <v>86</v>
      </c>
      <c r="G139">
        <f>IF(ISERROR(MATCH(AllProtiens!F139,Genomes!$C:$C,0)),0,1)</f>
        <v>1</v>
      </c>
      <c r="H139">
        <f>IF(ISERROR(MATCH(AllProtiens!A139,CoreProteinGroups!B:B,0)),0,1)</f>
        <v>1</v>
      </c>
      <c r="J139" s="6" t="s">
        <v>87</v>
      </c>
    </row>
    <row r="140" spans="1:10" x14ac:dyDescent="0.2">
      <c r="A140" s="1" t="s">
        <v>313</v>
      </c>
      <c r="B140" t="s">
        <v>314</v>
      </c>
      <c r="C140" t="s">
        <v>349</v>
      </c>
      <c r="D140" s="6" t="str">
        <f t="shared" si="2"/>
        <v>PROT:AAC55255.1</v>
      </c>
      <c r="E140" t="s">
        <v>350</v>
      </c>
      <c r="F140" t="s">
        <v>90</v>
      </c>
      <c r="G140">
        <f>IF(ISERROR(MATCH(AllProtiens!F140,Genomes!$C:$C,0)),0,1)</f>
        <v>1</v>
      </c>
      <c r="H140">
        <f>IF(ISERROR(MATCH(AllProtiens!A140,CoreProteinGroups!B:B,0)),0,1)</f>
        <v>1</v>
      </c>
      <c r="J140" s="6" t="s">
        <v>91</v>
      </c>
    </row>
    <row r="141" spans="1:10" x14ac:dyDescent="0.2">
      <c r="A141" s="1" t="s">
        <v>313</v>
      </c>
      <c r="B141" t="s">
        <v>314</v>
      </c>
      <c r="C141" t="s">
        <v>351</v>
      </c>
      <c r="D141" s="6" t="str">
        <f t="shared" si="2"/>
        <v>PROT:AYN64707.1</v>
      </c>
      <c r="E141" t="s">
        <v>352</v>
      </c>
      <c r="F141" t="s">
        <v>94</v>
      </c>
      <c r="G141">
        <f>IF(ISERROR(MATCH(AllProtiens!F141,Genomes!$C:$C,0)),0,1)</f>
        <v>1</v>
      </c>
      <c r="H141">
        <f>IF(ISERROR(MATCH(AllProtiens!A141,CoreProteinGroups!B:B,0)),0,1)</f>
        <v>1</v>
      </c>
      <c r="J141" s="6" t="s">
        <v>95</v>
      </c>
    </row>
    <row r="142" spans="1:10" x14ac:dyDescent="0.2">
      <c r="A142" s="1" t="s">
        <v>313</v>
      </c>
      <c r="B142" t="s">
        <v>314</v>
      </c>
      <c r="C142" t="s">
        <v>353</v>
      </c>
      <c r="D142" s="6" t="str">
        <f t="shared" si="2"/>
        <v>PROT:AXN74938.1</v>
      </c>
      <c r="E142" t="s">
        <v>354</v>
      </c>
      <c r="F142" t="s">
        <v>97</v>
      </c>
      <c r="G142">
        <f>IF(ISERROR(MATCH(AllProtiens!F142,Genomes!$C:$C,0)),0,1)</f>
        <v>1</v>
      </c>
      <c r="H142">
        <f>IF(ISERROR(MATCH(AllProtiens!A142,CoreProteinGroups!B:B,0)),0,1)</f>
        <v>1</v>
      </c>
      <c r="J142" s="6" t="s">
        <v>98</v>
      </c>
    </row>
    <row r="143" spans="1:10" x14ac:dyDescent="0.2">
      <c r="A143" s="1" t="s">
        <v>313</v>
      </c>
      <c r="B143" t="s">
        <v>314</v>
      </c>
      <c r="C143" t="s">
        <v>355</v>
      </c>
      <c r="D143" s="6" t="str">
        <f t="shared" si="2"/>
        <v>PROT:ABH08249.1</v>
      </c>
      <c r="E143" t="s">
        <v>356</v>
      </c>
      <c r="F143" t="s">
        <v>101</v>
      </c>
      <c r="G143">
        <f>IF(ISERROR(MATCH(AllProtiens!F143,Genomes!$C:$C,0)),0,1)</f>
        <v>1</v>
      </c>
      <c r="H143">
        <f>IF(ISERROR(MATCH(AllProtiens!A143,CoreProteinGroups!B:B,0)),0,1)</f>
        <v>1</v>
      </c>
      <c r="J143" s="6" t="s">
        <v>102</v>
      </c>
    </row>
    <row r="144" spans="1:10" x14ac:dyDescent="0.2">
      <c r="A144" s="1" t="s">
        <v>313</v>
      </c>
      <c r="B144" t="s">
        <v>314</v>
      </c>
      <c r="C144" t="s">
        <v>357</v>
      </c>
      <c r="D144" s="6" t="str">
        <f t="shared" si="2"/>
        <v>PROT:AAG37631.1</v>
      </c>
      <c r="E144" t="s">
        <v>358</v>
      </c>
      <c r="F144" t="s">
        <v>105</v>
      </c>
      <c r="G144">
        <f>IF(ISERROR(MATCH(AllProtiens!F144,Genomes!$C:$C,0)),0,1)</f>
        <v>1</v>
      </c>
      <c r="H144">
        <f>IF(ISERROR(MATCH(AllProtiens!A144,CoreProteinGroups!B:B,0)),0,1)</f>
        <v>1</v>
      </c>
      <c r="J144" s="6" t="s">
        <v>106</v>
      </c>
    </row>
    <row r="145" spans="1:10" x14ac:dyDescent="0.2">
      <c r="A145" s="1" t="s">
        <v>313</v>
      </c>
      <c r="B145" t="s">
        <v>314</v>
      </c>
      <c r="C145" t="s">
        <v>359</v>
      </c>
      <c r="D145" s="6" t="str">
        <f t="shared" si="2"/>
        <v>PROT:AAL73847.1</v>
      </c>
      <c r="E145" t="s">
        <v>360</v>
      </c>
      <c r="F145" t="s">
        <v>109</v>
      </c>
      <c r="G145">
        <f>IF(ISERROR(MATCH(AllProtiens!F145,Genomes!$C:$C,0)),0,1)</f>
        <v>1</v>
      </c>
      <c r="H145">
        <f>IF(ISERROR(MATCH(AllProtiens!A145,CoreProteinGroups!B:B,0)),0,1)</f>
        <v>1</v>
      </c>
      <c r="J145" s="6" t="s">
        <v>110</v>
      </c>
    </row>
    <row r="146" spans="1:10" x14ac:dyDescent="0.2">
      <c r="A146" s="1" t="s">
        <v>313</v>
      </c>
      <c r="B146" t="s">
        <v>314</v>
      </c>
      <c r="C146" t="s">
        <v>361</v>
      </c>
      <c r="D146" s="6" t="str">
        <f t="shared" si="2"/>
        <v>PROT:AAM13597.1</v>
      </c>
      <c r="E146" t="s">
        <v>362</v>
      </c>
      <c r="F146" t="s">
        <v>113</v>
      </c>
      <c r="G146">
        <f>IF(ISERROR(MATCH(AllProtiens!F146,Genomes!$C:$C,0)),0,1)</f>
        <v>1</v>
      </c>
      <c r="H146">
        <f>IF(ISERROR(MATCH(AllProtiens!A146,CoreProteinGroups!B:B,0)),0,1)</f>
        <v>1</v>
      </c>
      <c r="J146" s="6" t="s">
        <v>114</v>
      </c>
    </row>
    <row r="147" spans="1:10" x14ac:dyDescent="0.2">
      <c r="A147" s="1" t="s">
        <v>313</v>
      </c>
      <c r="B147" t="s">
        <v>314</v>
      </c>
      <c r="C147" t="s">
        <v>363</v>
      </c>
      <c r="D147" s="6" t="str">
        <f t="shared" si="2"/>
        <v>PROT:AAM92430.1</v>
      </c>
      <c r="E147" t="s">
        <v>364</v>
      </c>
      <c r="F147" t="s">
        <v>117</v>
      </c>
      <c r="G147">
        <f>IF(ISERROR(MATCH(AllProtiens!F147,Genomes!$C:$C,0)),0,1)</f>
        <v>1</v>
      </c>
      <c r="H147">
        <f>IF(ISERROR(MATCH(AllProtiens!A147,CoreProteinGroups!B:B,0)),0,1)</f>
        <v>1</v>
      </c>
      <c r="J147" s="6" t="s">
        <v>118</v>
      </c>
    </row>
    <row r="148" spans="1:10" x14ac:dyDescent="0.2">
      <c r="A148" s="1" t="s">
        <v>313</v>
      </c>
      <c r="B148" t="s">
        <v>314</v>
      </c>
      <c r="C148" t="s">
        <v>365</v>
      </c>
      <c r="D148" s="6" t="str">
        <f t="shared" si="2"/>
        <v>PROT:AFH54689.1</v>
      </c>
      <c r="E148" t="s">
        <v>314</v>
      </c>
      <c r="F148" t="s">
        <v>120</v>
      </c>
      <c r="G148">
        <f>IF(ISERROR(MATCH(AllProtiens!F148,Genomes!$C:$C,0)),0,1)</f>
        <v>1</v>
      </c>
      <c r="H148">
        <f>IF(ISERROR(MATCH(AllProtiens!A148,CoreProteinGroups!B:B,0)),0,1)</f>
        <v>1</v>
      </c>
      <c r="J148" s="6" t="s">
        <v>121</v>
      </c>
    </row>
    <row r="149" spans="1:10" x14ac:dyDescent="0.2">
      <c r="A149" s="1" t="s">
        <v>313</v>
      </c>
      <c r="B149" t="s">
        <v>314</v>
      </c>
      <c r="C149" t="s">
        <v>366</v>
      </c>
      <c r="D149" s="6" t="str">
        <f t="shared" si="2"/>
        <v>PROT:AAL40591.1</v>
      </c>
      <c r="E149" t="s">
        <v>367</v>
      </c>
      <c r="F149" t="s">
        <v>124</v>
      </c>
      <c r="G149">
        <f>IF(ISERROR(MATCH(AllProtiens!F149,Genomes!$C:$C,0)),0,1)</f>
        <v>1</v>
      </c>
      <c r="H149">
        <f>IF(ISERROR(MATCH(AllProtiens!A149,CoreProteinGroups!B:B,0)),0,1)</f>
        <v>1</v>
      </c>
      <c r="J149" s="6" t="s">
        <v>125</v>
      </c>
    </row>
    <row r="150" spans="1:10" x14ac:dyDescent="0.2">
      <c r="A150" s="1" t="s">
        <v>313</v>
      </c>
      <c r="B150" t="s">
        <v>314</v>
      </c>
      <c r="C150" t="s">
        <v>368</v>
      </c>
      <c r="D150" s="6" t="str">
        <f t="shared" si="2"/>
        <v>PROT:AAX09229.1</v>
      </c>
      <c r="E150" t="s">
        <v>369</v>
      </c>
      <c r="F150" t="s">
        <v>128</v>
      </c>
      <c r="G150">
        <f>IF(ISERROR(MATCH(AllProtiens!F150,Genomes!$C:$C,0)),0,1)</f>
        <v>1</v>
      </c>
      <c r="H150">
        <f>IF(ISERROR(MATCH(AllProtiens!A150,CoreProteinGroups!B:B,0)),0,1)</f>
        <v>1</v>
      </c>
      <c r="J150" s="6" t="s">
        <v>129</v>
      </c>
    </row>
    <row r="151" spans="1:10" x14ac:dyDescent="0.2">
      <c r="A151" s="1" t="s">
        <v>313</v>
      </c>
      <c r="B151" t="s">
        <v>314</v>
      </c>
      <c r="C151" t="s">
        <v>370</v>
      </c>
      <c r="D151" s="6" t="str">
        <f t="shared" si="2"/>
        <v>PROT:AKJ93771.1</v>
      </c>
      <c r="E151" t="s">
        <v>371</v>
      </c>
      <c r="F151" t="s">
        <v>131</v>
      </c>
      <c r="G151">
        <f>IF(ISERROR(MATCH(AllProtiens!F151,Genomes!$C:$C,0)),0,1)</f>
        <v>1</v>
      </c>
      <c r="H151">
        <f>IF(ISERROR(MATCH(AllProtiens!A151,CoreProteinGroups!B:B,0)),0,1)</f>
        <v>1</v>
      </c>
      <c r="J151" s="6" t="s">
        <v>132</v>
      </c>
    </row>
    <row r="152" spans="1:10" x14ac:dyDescent="0.2">
      <c r="A152" s="1" t="s">
        <v>313</v>
      </c>
      <c r="B152" t="s">
        <v>314</v>
      </c>
      <c r="C152" t="s">
        <v>372</v>
      </c>
      <c r="D152" s="6" t="str">
        <f t="shared" si="2"/>
        <v>PROT:AOP31620.1</v>
      </c>
      <c r="E152" t="s">
        <v>314</v>
      </c>
      <c r="F152" t="s">
        <v>134</v>
      </c>
      <c r="G152">
        <f>IF(ISERROR(MATCH(AllProtiens!F152,Genomes!$C:$C,0)),0,1)</f>
        <v>1</v>
      </c>
      <c r="H152">
        <f>IF(ISERROR(MATCH(AllProtiens!A152,CoreProteinGroups!B:B,0)),0,1)</f>
        <v>1</v>
      </c>
      <c r="J152" s="6" t="s">
        <v>135</v>
      </c>
    </row>
    <row r="153" spans="1:10" x14ac:dyDescent="0.2">
      <c r="A153" s="1" t="s">
        <v>313</v>
      </c>
      <c r="B153" t="s">
        <v>314</v>
      </c>
      <c r="C153" t="s">
        <v>373</v>
      </c>
      <c r="D153" s="6" t="str">
        <f t="shared" si="2"/>
        <v>PROT:ABD97710.1</v>
      </c>
      <c r="E153" t="s">
        <v>374</v>
      </c>
      <c r="F153" t="s">
        <v>137</v>
      </c>
      <c r="G153">
        <f>IF(ISERROR(MATCH(AllProtiens!F153,Genomes!$C:$C,0)),0,1)</f>
        <v>1</v>
      </c>
      <c r="H153">
        <f>IF(ISERROR(MATCH(AllProtiens!A153,CoreProteinGroups!B:B,0)),0,1)</f>
        <v>1</v>
      </c>
      <c r="J153" s="6" t="s">
        <v>138</v>
      </c>
    </row>
    <row r="154" spans="1:10" x14ac:dyDescent="0.2">
      <c r="A154" s="1" t="s">
        <v>313</v>
      </c>
      <c r="B154" t="s">
        <v>314</v>
      </c>
      <c r="C154" t="s">
        <v>375</v>
      </c>
      <c r="D154" s="6" t="str">
        <f t="shared" si="2"/>
        <v>PROT:AAO89421.1</v>
      </c>
      <c r="E154" t="s">
        <v>376</v>
      </c>
      <c r="F154" t="s">
        <v>140</v>
      </c>
      <c r="G154">
        <f>IF(ISERROR(MATCH(AllProtiens!F154,Genomes!$C:$C,0)),0,1)</f>
        <v>1</v>
      </c>
      <c r="H154">
        <f>IF(ISERROR(MATCH(AllProtiens!A154,CoreProteinGroups!B:B,0)),0,1)</f>
        <v>1</v>
      </c>
      <c r="J154" s="6" t="s">
        <v>141</v>
      </c>
    </row>
    <row r="155" spans="1:10" x14ac:dyDescent="0.2">
      <c r="A155" s="1" t="s">
        <v>313</v>
      </c>
      <c r="B155" t="s">
        <v>314</v>
      </c>
      <c r="C155" t="s">
        <v>377</v>
      </c>
      <c r="D155" s="6" t="str">
        <f t="shared" si="2"/>
        <v>PROT:CAA49067.1</v>
      </c>
      <c r="E155" t="s">
        <v>378</v>
      </c>
      <c r="F155" t="s">
        <v>144</v>
      </c>
      <c r="G155">
        <f>IF(ISERROR(MATCH(AllProtiens!F155,Genomes!$C:$C,0)),0,1)</f>
        <v>1</v>
      </c>
      <c r="H155">
        <f>IF(ISERROR(MATCH(AllProtiens!A155,CoreProteinGroups!B:B,0)),0,1)</f>
        <v>1</v>
      </c>
      <c r="J155" s="6" t="s">
        <v>145</v>
      </c>
    </row>
    <row r="156" spans="1:10" x14ac:dyDescent="0.2">
      <c r="A156" s="1" t="s">
        <v>313</v>
      </c>
      <c r="B156" t="s">
        <v>314</v>
      </c>
      <c r="C156" t="s">
        <v>379</v>
      </c>
      <c r="D156" s="6" t="str">
        <f t="shared" si="2"/>
        <v>PROT:CAB54726.1</v>
      </c>
      <c r="E156" t="s">
        <v>380</v>
      </c>
      <c r="F156" t="s">
        <v>148</v>
      </c>
      <c r="G156">
        <f>IF(ISERROR(MATCH(AllProtiens!F156,Genomes!$C:$C,0)),0,1)</f>
        <v>1</v>
      </c>
      <c r="H156">
        <f>IF(ISERROR(MATCH(AllProtiens!A156,CoreProteinGroups!B:B,0)),0,1)</f>
        <v>1</v>
      </c>
      <c r="J156" s="6" t="s">
        <v>149</v>
      </c>
    </row>
    <row r="157" spans="1:10" x14ac:dyDescent="0.2">
      <c r="A157" s="1" t="s">
        <v>313</v>
      </c>
      <c r="B157" t="s">
        <v>314</v>
      </c>
      <c r="C157" t="s">
        <v>381</v>
      </c>
      <c r="D157" s="6" t="str">
        <f t="shared" si="2"/>
        <v>PROT:AOP31831.1</v>
      </c>
      <c r="E157" t="s">
        <v>314</v>
      </c>
      <c r="F157" t="s">
        <v>151</v>
      </c>
      <c r="G157">
        <f>IF(ISERROR(MATCH(AllProtiens!F157,Genomes!$C:$C,0)),0,1)</f>
        <v>1</v>
      </c>
      <c r="H157">
        <f>IF(ISERROR(MATCH(AllProtiens!A157,CoreProteinGroups!B:B,0)),0,1)</f>
        <v>1</v>
      </c>
      <c r="J157" s="6" t="s">
        <v>152</v>
      </c>
    </row>
    <row r="158" spans="1:10" x14ac:dyDescent="0.2">
      <c r="A158" s="1" t="s">
        <v>313</v>
      </c>
      <c r="B158" t="s">
        <v>314</v>
      </c>
      <c r="C158" t="s">
        <v>382</v>
      </c>
      <c r="D158" s="6" t="str">
        <f t="shared" si="2"/>
        <v>PROT:ASC55548.1</v>
      </c>
      <c r="E158" t="s">
        <v>383</v>
      </c>
      <c r="F158" t="s">
        <v>155</v>
      </c>
      <c r="G158">
        <f>IF(ISERROR(MATCH(AllProtiens!F158,Genomes!$C:$C,0)),0,1)</f>
        <v>1</v>
      </c>
      <c r="H158">
        <f>IF(ISERROR(MATCH(AllProtiens!A158,CoreProteinGroups!B:B,0)),0,1)</f>
        <v>1</v>
      </c>
      <c r="J158" s="6" t="s">
        <v>156</v>
      </c>
    </row>
    <row r="159" spans="1:10" x14ac:dyDescent="0.2">
      <c r="A159" s="1" t="s">
        <v>313</v>
      </c>
      <c r="B159" t="s">
        <v>314</v>
      </c>
      <c r="C159" t="s">
        <v>384</v>
      </c>
      <c r="D159" s="6" t="str">
        <f t="shared" si="2"/>
        <v>PROT:AAR98456.1</v>
      </c>
      <c r="E159" t="s">
        <v>385</v>
      </c>
      <c r="F159" t="s">
        <v>159</v>
      </c>
      <c r="G159">
        <f>IF(ISERROR(MATCH(AllProtiens!F159,Genomes!$C:$C,0)),0,1)</f>
        <v>1</v>
      </c>
      <c r="H159">
        <f>IF(ISERROR(MATCH(AllProtiens!A159,CoreProteinGroups!B:B,0)),0,1)</f>
        <v>1</v>
      </c>
      <c r="J159" s="6" t="s">
        <v>160</v>
      </c>
    </row>
    <row r="160" spans="1:10" x14ac:dyDescent="0.2">
      <c r="A160" s="1" t="s">
        <v>313</v>
      </c>
      <c r="B160" t="s">
        <v>314</v>
      </c>
      <c r="C160" t="s">
        <v>386</v>
      </c>
      <c r="D160" s="6" t="str">
        <f t="shared" si="2"/>
        <v>PROT:AAR98324.1</v>
      </c>
      <c r="E160" t="s">
        <v>385</v>
      </c>
      <c r="F160" t="s">
        <v>162</v>
      </c>
      <c r="G160">
        <f>IF(ISERROR(MATCH(AllProtiens!F160,Genomes!$C:$C,0)),0,1)</f>
        <v>1</v>
      </c>
      <c r="H160">
        <f>IF(ISERROR(MATCH(AllProtiens!A160,CoreProteinGroups!B:B,0)),0,1)</f>
        <v>1</v>
      </c>
      <c r="J160" s="6" t="s">
        <v>163</v>
      </c>
    </row>
    <row r="161" spans="1:10" x14ac:dyDescent="0.2">
      <c r="A161" s="1" t="s">
        <v>313</v>
      </c>
      <c r="B161" t="s">
        <v>314</v>
      </c>
      <c r="C161" t="s">
        <v>387</v>
      </c>
      <c r="D161" s="6" t="str">
        <f t="shared" si="2"/>
        <v>PROT:ABA00616.1</v>
      </c>
      <c r="E161" t="s">
        <v>388</v>
      </c>
      <c r="F161" t="s">
        <v>162</v>
      </c>
      <c r="G161">
        <f>IF(ISERROR(MATCH(AllProtiens!F161,Genomes!$C:$C,0)),0,1)</f>
        <v>1</v>
      </c>
      <c r="H161">
        <f>IF(ISERROR(MATCH(AllProtiens!A161,CoreProteinGroups!B:B,0)),0,1)</f>
        <v>1</v>
      </c>
      <c r="J161" s="6" t="s">
        <v>163</v>
      </c>
    </row>
    <row r="162" spans="1:10" x14ac:dyDescent="0.2">
      <c r="A162" s="1" t="s">
        <v>313</v>
      </c>
      <c r="B162" t="s">
        <v>314</v>
      </c>
      <c r="C162" t="s">
        <v>389</v>
      </c>
      <c r="D162" s="6" t="str">
        <f t="shared" si="2"/>
        <v>PROT:AIZ77350.1</v>
      </c>
      <c r="E162" t="s">
        <v>390</v>
      </c>
      <c r="F162" t="s">
        <v>167</v>
      </c>
      <c r="G162">
        <f>IF(ISERROR(MATCH(AllProtiens!F162,Genomes!$C:$C,0)),0,1)</f>
        <v>1</v>
      </c>
      <c r="H162">
        <f>IF(ISERROR(MATCH(AllProtiens!A162,CoreProteinGroups!B:B,0)),0,1)</f>
        <v>1</v>
      </c>
      <c r="J162" s="6" t="s">
        <v>168</v>
      </c>
    </row>
    <row r="163" spans="1:10" x14ac:dyDescent="0.2">
      <c r="A163" s="1" t="s">
        <v>313</v>
      </c>
      <c r="B163" t="s">
        <v>314</v>
      </c>
      <c r="C163" t="s">
        <v>391</v>
      </c>
      <c r="D163" s="6" t="str">
        <f t="shared" si="2"/>
        <v>PROT:ADC54001.1</v>
      </c>
      <c r="E163" t="s">
        <v>388</v>
      </c>
      <c r="F163" t="s">
        <v>170</v>
      </c>
      <c r="G163">
        <f>IF(ISERROR(MATCH(AllProtiens!F163,Genomes!$C:$C,0)),0,1)</f>
        <v>1</v>
      </c>
      <c r="H163">
        <f>IF(ISERROR(MATCH(AllProtiens!A163,CoreProteinGroups!B:B,0)),0,1)</f>
        <v>1</v>
      </c>
      <c r="J163" s="6" t="s">
        <v>171</v>
      </c>
    </row>
    <row r="164" spans="1:10" x14ac:dyDescent="0.2">
      <c r="A164" s="1" t="s">
        <v>313</v>
      </c>
      <c r="B164" t="s">
        <v>314</v>
      </c>
      <c r="C164" t="s">
        <v>392</v>
      </c>
      <c r="D164" s="6" t="str">
        <f t="shared" si="2"/>
        <v>PROT:AAL69850.1</v>
      </c>
      <c r="E164" t="s">
        <v>393</v>
      </c>
      <c r="F164" t="s">
        <v>174</v>
      </c>
      <c r="G164">
        <f>IF(ISERROR(MATCH(AllProtiens!F164,Genomes!$C:$C,0)),0,1)</f>
        <v>1</v>
      </c>
      <c r="H164">
        <f>IF(ISERROR(MATCH(AllProtiens!A164,CoreProteinGroups!B:B,0)),0,1)</f>
        <v>1</v>
      </c>
      <c r="J164" s="6" t="s">
        <v>175</v>
      </c>
    </row>
    <row r="165" spans="1:10" x14ac:dyDescent="0.2">
      <c r="A165" s="1" t="s">
        <v>313</v>
      </c>
      <c r="B165" t="s">
        <v>314</v>
      </c>
      <c r="C165" t="s">
        <v>394</v>
      </c>
      <c r="D165" s="6" t="str">
        <f t="shared" si="2"/>
        <v>PROT:CAC21352.1</v>
      </c>
      <c r="E165" t="s">
        <v>395</v>
      </c>
      <c r="F165" t="s">
        <v>178</v>
      </c>
      <c r="G165">
        <f>IF(ISERROR(MATCH(AllProtiens!F165,Genomes!$C:$C,0)),0,1)</f>
        <v>1</v>
      </c>
      <c r="H165">
        <f>IF(ISERROR(MATCH(AllProtiens!A165,CoreProteinGroups!B:B,0)),0,1)</f>
        <v>1</v>
      </c>
      <c r="J165" s="6" t="s">
        <v>179</v>
      </c>
    </row>
    <row r="166" spans="1:10" x14ac:dyDescent="0.2">
      <c r="A166" s="1" t="s">
        <v>313</v>
      </c>
      <c r="B166" t="s">
        <v>314</v>
      </c>
      <c r="C166" t="s">
        <v>396</v>
      </c>
      <c r="D166" s="6" t="str">
        <f t="shared" si="2"/>
        <v>PROT:AAR07470.1</v>
      </c>
      <c r="E166" t="s">
        <v>397</v>
      </c>
      <c r="F166" t="s">
        <v>182</v>
      </c>
      <c r="G166">
        <f>IF(ISERROR(MATCH(AllProtiens!F166,Genomes!$C:$C,0)),0,1)</f>
        <v>1</v>
      </c>
      <c r="H166">
        <f>IF(ISERROR(MATCH(AllProtiens!A166,CoreProteinGroups!B:B,0)),0,1)</f>
        <v>1</v>
      </c>
      <c r="J166" s="6" t="s">
        <v>183</v>
      </c>
    </row>
    <row r="167" spans="1:10" x14ac:dyDescent="0.2">
      <c r="A167" s="1" t="s">
        <v>313</v>
      </c>
      <c r="B167" t="s">
        <v>314</v>
      </c>
      <c r="C167" t="s">
        <v>398</v>
      </c>
      <c r="D167" s="6" t="str">
        <f t="shared" si="2"/>
        <v>PROT:AAC97652.1</v>
      </c>
      <c r="E167" t="s">
        <v>399</v>
      </c>
      <c r="F167" t="s">
        <v>186</v>
      </c>
      <c r="G167">
        <f>IF(ISERROR(MATCH(AllProtiens!F167,Genomes!$C:$C,0)),0,1)</f>
        <v>1</v>
      </c>
      <c r="H167">
        <f>IF(ISERROR(MATCH(AllProtiens!A167,CoreProteinGroups!B:B,0)),0,1)</f>
        <v>1</v>
      </c>
      <c r="J167" s="6" t="s">
        <v>187</v>
      </c>
    </row>
    <row r="168" spans="1:10" x14ac:dyDescent="0.2">
      <c r="A168" s="1" t="s">
        <v>313</v>
      </c>
      <c r="B168" t="s">
        <v>314</v>
      </c>
      <c r="C168" t="s">
        <v>400</v>
      </c>
      <c r="D168" s="6" t="str">
        <f t="shared" si="2"/>
        <v>PROT:BAO49463.1</v>
      </c>
      <c r="E168" t="s">
        <v>314</v>
      </c>
      <c r="F168" t="s">
        <v>190</v>
      </c>
      <c r="G168">
        <f>IF(ISERROR(MATCH(AllProtiens!F168,Genomes!$C:$C,0)),0,1)</f>
        <v>1</v>
      </c>
      <c r="H168">
        <f>IF(ISERROR(MATCH(AllProtiens!A168,CoreProteinGroups!B:B,0)),0,1)</f>
        <v>1</v>
      </c>
      <c r="J168" s="6" t="s">
        <v>191</v>
      </c>
    </row>
    <row r="169" spans="1:10" x14ac:dyDescent="0.2">
      <c r="A169" s="1" t="s">
        <v>313</v>
      </c>
      <c r="B169" t="s">
        <v>314</v>
      </c>
      <c r="C169" t="s">
        <v>401</v>
      </c>
      <c r="D169" s="6" t="str">
        <f t="shared" si="2"/>
        <v>PROT:CCU55493.1</v>
      </c>
      <c r="E169" t="s">
        <v>314</v>
      </c>
      <c r="F169" t="s">
        <v>193</v>
      </c>
      <c r="G169">
        <f>IF(ISERROR(MATCH(AllProtiens!F169,Genomes!$C:$C,0)),0,1)</f>
        <v>1</v>
      </c>
      <c r="H169">
        <f>IF(ISERROR(MATCH(AllProtiens!A169,CoreProteinGroups!B:B,0)),0,1)</f>
        <v>1</v>
      </c>
      <c r="J169" s="6" t="s">
        <v>194</v>
      </c>
    </row>
    <row r="170" spans="1:10" x14ac:dyDescent="0.2">
      <c r="A170" s="1" t="s">
        <v>313</v>
      </c>
      <c r="B170" t="s">
        <v>314</v>
      </c>
      <c r="C170" t="s">
        <v>402</v>
      </c>
      <c r="D170" s="6" t="str">
        <f t="shared" si="2"/>
        <v>PROT:AAG02868.1</v>
      </c>
      <c r="E170" t="s">
        <v>403</v>
      </c>
      <c r="F170" t="s">
        <v>197</v>
      </c>
      <c r="G170">
        <f>IF(ISERROR(MATCH(AllProtiens!F170,Genomes!$C:$C,0)),0,1)</f>
        <v>1</v>
      </c>
      <c r="H170">
        <f>IF(ISERROR(MATCH(AllProtiens!A170,CoreProteinGroups!B:B,0)),0,1)</f>
        <v>1</v>
      </c>
      <c r="J170" s="6" t="s">
        <v>198</v>
      </c>
    </row>
    <row r="171" spans="1:10" x14ac:dyDescent="0.2">
      <c r="A171" s="1" t="s">
        <v>313</v>
      </c>
      <c r="B171" t="s">
        <v>314</v>
      </c>
      <c r="C171" t="s">
        <v>404</v>
      </c>
      <c r="D171" s="6" t="str">
        <f t="shared" si="2"/>
        <v>PROT:CCU55772.1</v>
      </c>
      <c r="E171" t="s">
        <v>314</v>
      </c>
      <c r="F171" t="s">
        <v>200</v>
      </c>
      <c r="G171">
        <f>IF(ISERROR(MATCH(AllProtiens!F171,Genomes!$C:$C,0)),0,1)</f>
        <v>1</v>
      </c>
      <c r="H171">
        <f>IF(ISERROR(MATCH(AllProtiens!A171,CoreProteinGroups!B:B,0)),0,1)</f>
        <v>1</v>
      </c>
      <c r="J171" s="6" t="s">
        <v>201</v>
      </c>
    </row>
    <row r="172" spans="1:10" x14ac:dyDescent="0.2">
      <c r="A172" s="1" t="s">
        <v>313</v>
      </c>
      <c r="B172" t="s">
        <v>314</v>
      </c>
      <c r="C172" t="s">
        <v>405</v>
      </c>
      <c r="D172" s="6" t="str">
        <f t="shared" si="2"/>
        <v>PROT:CCU56074.1</v>
      </c>
      <c r="E172" t="s">
        <v>314</v>
      </c>
      <c r="F172" t="s">
        <v>203</v>
      </c>
      <c r="G172">
        <f>IF(ISERROR(MATCH(AllProtiens!F172,Genomes!$C:$C,0)),0,1)</f>
        <v>1</v>
      </c>
      <c r="H172">
        <f>IF(ISERROR(MATCH(AllProtiens!A172,CoreProteinGroups!B:B,0)),0,1)</f>
        <v>1</v>
      </c>
      <c r="J172" s="6" t="s">
        <v>204</v>
      </c>
    </row>
    <row r="173" spans="1:10" x14ac:dyDescent="0.2">
      <c r="A173" s="1" t="s">
        <v>313</v>
      </c>
      <c r="B173" t="s">
        <v>314</v>
      </c>
      <c r="C173" t="s">
        <v>406</v>
      </c>
      <c r="D173" s="6" t="str">
        <f t="shared" si="2"/>
        <v>PROT:CCU56396.1</v>
      </c>
      <c r="E173" t="s">
        <v>314</v>
      </c>
      <c r="F173" t="s">
        <v>206</v>
      </c>
      <c r="G173">
        <f>IF(ISERROR(MATCH(AllProtiens!F173,Genomes!$C:$C,0)),0,1)</f>
        <v>1</v>
      </c>
      <c r="H173">
        <f>IF(ISERROR(MATCH(AllProtiens!A173,CoreProteinGroups!B:B,0)),0,1)</f>
        <v>1</v>
      </c>
      <c r="J173" s="6" t="s">
        <v>207</v>
      </c>
    </row>
    <row r="174" spans="1:10" x14ac:dyDescent="0.2">
      <c r="A174" s="1" t="s">
        <v>313</v>
      </c>
      <c r="B174" t="s">
        <v>314</v>
      </c>
      <c r="C174" t="s">
        <v>407</v>
      </c>
      <c r="D174" s="6" t="str">
        <f t="shared" si="2"/>
        <v>PROT:NP_659686.1</v>
      </c>
      <c r="E174" t="s">
        <v>408</v>
      </c>
      <c r="F174" t="s">
        <v>210</v>
      </c>
      <c r="G174">
        <f>IF(ISERROR(MATCH(AllProtiens!F174,Genomes!$C:$C,0)),0,1)</f>
        <v>1</v>
      </c>
      <c r="H174">
        <f>IF(ISERROR(MATCH(AllProtiens!A174,CoreProteinGroups!B:B,0)),0,1)</f>
        <v>1</v>
      </c>
      <c r="J174" s="6" t="s">
        <v>211</v>
      </c>
    </row>
    <row r="175" spans="1:10" x14ac:dyDescent="0.2">
      <c r="A175" s="1" t="s">
        <v>313</v>
      </c>
      <c r="B175" t="s">
        <v>314</v>
      </c>
      <c r="C175" t="s">
        <v>409</v>
      </c>
      <c r="D175" s="6" t="str">
        <f t="shared" si="2"/>
        <v>PROT:YP_001293305.1</v>
      </c>
      <c r="E175" t="s">
        <v>410</v>
      </c>
      <c r="F175" t="s">
        <v>214</v>
      </c>
      <c r="G175">
        <f>IF(ISERROR(MATCH(AllProtiens!F175,Genomes!$C:$C,0)),0,1)</f>
        <v>1</v>
      </c>
      <c r="H175">
        <f>IF(ISERROR(MATCH(AllProtiens!A175,CoreProteinGroups!B:B,0)),0,1)</f>
        <v>1</v>
      </c>
      <c r="J175" s="6" t="s">
        <v>215</v>
      </c>
    </row>
    <row r="176" spans="1:10" x14ac:dyDescent="0.2">
      <c r="A176" s="1" t="s">
        <v>411</v>
      </c>
      <c r="B176" t="s">
        <v>412</v>
      </c>
      <c r="C176" t="s">
        <v>413</v>
      </c>
      <c r="D176" s="6" t="str">
        <f t="shared" si="2"/>
        <v>PROT:ATI21225.1</v>
      </c>
      <c r="E176" t="s">
        <v>414</v>
      </c>
      <c r="F176" t="s">
        <v>14</v>
      </c>
      <c r="G176">
        <f>IF(ISERROR(MATCH(AllProtiens!F176,Genomes!$C:$C,0)),0,1)</f>
        <v>1</v>
      </c>
      <c r="H176">
        <f>IF(ISERROR(MATCH(AllProtiens!A176,CoreProteinGroups!B:B,0)),0,1)</f>
        <v>1</v>
      </c>
      <c r="J176" s="6" t="s">
        <v>15</v>
      </c>
    </row>
    <row r="177" spans="1:10" x14ac:dyDescent="0.2">
      <c r="A177" s="1" t="s">
        <v>411</v>
      </c>
      <c r="B177" t="s">
        <v>412</v>
      </c>
      <c r="C177" t="s">
        <v>415</v>
      </c>
      <c r="D177" s="6" t="str">
        <f t="shared" si="2"/>
        <v>PROT:AWU47158.1</v>
      </c>
      <c r="E177" t="s">
        <v>412</v>
      </c>
      <c r="F177" t="s">
        <v>17</v>
      </c>
      <c r="G177">
        <f>IF(ISERROR(MATCH(AllProtiens!F177,Genomes!$C:$C,0)),0,1)</f>
        <v>1</v>
      </c>
      <c r="H177">
        <f>IF(ISERROR(MATCH(AllProtiens!A177,CoreProteinGroups!B:B,0)),0,1)</f>
        <v>1</v>
      </c>
      <c r="J177" s="6" t="s">
        <v>18</v>
      </c>
    </row>
    <row r="178" spans="1:10" x14ac:dyDescent="0.2">
      <c r="A178" s="1" t="s">
        <v>411</v>
      </c>
      <c r="B178" t="s">
        <v>412</v>
      </c>
      <c r="C178" t="s">
        <v>416</v>
      </c>
      <c r="D178" s="6" t="str">
        <f t="shared" si="2"/>
        <v>PROT:APG58333.1</v>
      </c>
      <c r="E178" t="s">
        <v>417</v>
      </c>
      <c r="F178" t="s">
        <v>21</v>
      </c>
      <c r="G178">
        <f>IF(ISERROR(MATCH(AllProtiens!F178,Genomes!$C:$C,0)),0,1)</f>
        <v>1</v>
      </c>
      <c r="H178">
        <f>IF(ISERROR(MATCH(AllProtiens!A178,CoreProteinGroups!B:B,0)),0,1)</f>
        <v>1</v>
      </c>
      <c r="J178" s="6" t="s">
        <v>22</v>
      </c>
    </row>
    <row r="179" spans="1:10" x14ac:dyDescent="0.2">
      <c r="A179" s="1" t="s">
        <v>411</v>
      </c>
      <c r="B179" t="s">
        <v>412</v>
      </c>
      <c r="C179" t="s">
        <v>418</v>
      </c>
      <c r="D179" s="6" t="str">
        <f t="shared" si="2"/>
        <v>PROT:ADT91142.1</v>
      </c>
      <c r="E179" t="s">
        <v>419</v>
      </c>
      <c r="F179" t="s">
        <v>25</v>
      </c>
      <c r="G179">
        <f>IF(ISERROR(MATCH(AllProtiens!F179,Genomes!$C:$C,0)),0,1)</f>
        <v>1</v>
      </c>
      <c r="H179">
        <f>IF(ISERROR(MATCH(AllProtiens!A179,CoreProteinGroups!B:B,0)),0,1)</f>
        <v>1</v>
      </c>
      <c r="J179" s="6" t="s">
        <v>26</v>
      </c>
    </row>
    <row r="180" spans="1:10" x14ac:dyDescent="0.2">
      <c r="A180" s="1" t="s">
        <v>411</v>
      </c>
      <c r="B180" t="s">
        <v>412</v>
      </c>
      <c r="C180" t="s">
        <v>420</v>
      </c>
      <c r="D180" s="6" t="str">
        <f t="shared" si="2"/>
        <v>PROT:ANS71202.1</v>
      </c>
      <c r="E180" t="s">
        <v>421</v>
      </c>
      <c r="F180" t="s">
        <v>28</v>
      </c>
      <c r="G180">
        <f>IF(ISERROR(MATCH(AllProtiens!F180,Genomes!$C:$C,0)),0,1)</f>
        <v>1</v>
      </c>
      <c r="H180">
        <f>IF(ISERROR(MATCH(AllProtiens!A180,CoreProteinGroups!B:B,0)),0,1)</f>
        <v>1</v>
      </c>
      <c r="J180" s="6" t="s">
        <v>29</v>
      </c>
    </row>
    <row r="181" spans="1:10" x14ac:dyDescent="0.2">
      <c r="A181" s="1" t="s">
        <v>411</v>
      </c>
      <c r="B181" t="s">
        <v>412</v>
      </c>
      <c r="C181" t="s">
        <v>422</v>
      </c>
      <c r="D181" s="6" t="str">
        <f t="shared" si="2"/>
        <v>PROT:AKR04249.1</v>
      </c>
      <c r="E181" t="s">
        <v>423</v>
      </c>
      <c r="F181" t="s">
        <v>32</v>
      </c>
      <c r="G181">
        <f>IF(ISERROR(MATCH(AllProtiens!F181,Genomes!$C:$C,0)),0,1)</f>
        <v>1</v>
      </c>
      <c r="H181">
        <f>IF(ISERROR(MATCH(AllProtiens!A181,CoreProteinGroups!B:B,0)),0,1)</f>
        <v>1</v>
      </c>
      <c r="J181" s="6" t="s">
        <v>33</v>
      </c>
    </row>
    <row r="182" spans="1:10" x14ac:dyDescent="0.2">
      <c r="A182" s="1" t="s">
        <v>411</v>
      </c>
      <c r="B182" t="s">
        <v>412</v>
      </c>
      <c r="C182" t="s">
        <v>424</v>
      </c>
      <c r="D182" s="6" t="str">
        <f t="shared" si="2"/>
        <v>PROT:CCD83295.1</v>
      </c>
      <c r="E182" t="s">
        <v>425</v>
      </c>
      <c r="F182" t="s">
        <v>36</v>
      </c>
      <c r="G182">
        <f>IF(ISERROR(MATCH(AllProtiens!F182,Genomes!$C:$C,0)),0,1)</f>
        <v>1</v>
      </c>
      <c r="H182">
        <f>IF(ISERROR(MATCH(AllProtiens!A182,CoreProteinGroups!B:B,0)),0,1)</f>
        <v>1</v>
      </c>
      <c r="J182" s="6" t="s">
        <v>37</v>
      </c>
    </row>
    <row r="183" spans="1:10" x14ac:dyDescent="0.2">
      <c r="A183" s="1" t="s">
        <v>411</v>
      </c>
      <c r="B183" t="s">
        <v>412</v>
      </c>
      <c r="C183" t="s">
        <v>426</v>
      </c>
      <c r="D183" s="6" t="str">
        <f t="shared" si="2"/>
        <v>PROT:ASK51321.1</v>
      </c>
      <c r="E183" t="s">
        <v>427</v>
      </c>
      <c r="F183" t="s">
        <v>40</v>
      </c>
      <c r="G183">
        <f>IF(ISERROR(MATCH(AllProtiens!F183,Genomes!$C:$C,0)),0,1)</f>
        <v>1</v>
      </c>
      <c r="H183">
        <f>IF(ISERROR(MATCH(AllProtiens!A183,CoreProteinGroups!B:B,0)),0,1)</f>
        <v>1</v>
      </c>
      <c r="J183" s="6" t="s">
        <v>41</v>
      </c>
    </row>
    <row r="184" spans="1:10" x14ac:dyDescent="0.2">
      <c r="A184" s="1" t="s">
        <v>411</v>
      </c>
      <c r="B184" t="s">
        <v>412</v>
      </c>
      <c r="C184" t="s">
        <v>428</v>
      </c>
      <c r="D184" s="6" t="str">
        <f t="shared" si="2"/>
        <v>PROT:AUD40296.1</v>
      </c>
      <c r="E184" t="s">
        <v>429</v>
      </c>
      <c r="F184" t="s">
        <v>43</v>
      </c>
      <c r="G184">
        <f>IF(ISERROR(MATCH(AllProtiens!F184,Genomes!$C:$C,0)),0,1)</f>
        <v>1</v>
      </c>
      <c r="H184">
        <f>IF(ISERROR(MATCH(AllProtiens!A184,CoreProteinGroups!B:B,0)),0,1)</f>
        <v>1</v>
      </c>
      <c r="J184" s="6" t="s">
        <v>44</v>
      </c>
    </row>
    <row r="185" spans="1:10" x14ac:dyDescent="0.2">
      <c r="A185" s="1" t="s">
        <v>411</v>
      </c>
      <c r="B185" t="s">
        <v>412</v>
      </c>
      <c r="C185" t="s">
        <v>430</v>
      </c>
      <c r="D185" s="6" t="str">
        <f t="shared" si="2"/>
        <v>PROT:AID46927.1</v>
      </c>
      <c r="E185" t="s">
        <v>431</v>
      </c>
      <c r="F185" t="s">
        <v>46</v>
      </c>
      <c r="G185">
        <f>IF(ISERROR(MATCH(AllProtiens!F185,Genomes!$C:$C,0)),0,1)</f>
        <v>1</v>
      </c>
      <c r="H185">
        <f>IF(ISERROR(MATCH(AllProtiens!A185,CoreProteinGroups!B:B,0)),0,1)</f>
        <v>1</v>
      </c>
      <c r="J185" s="6" t="s">
        <v>47</v>
      </c>
    </row>
    <row r="186" spans="1:10" x14ac:dyDescent="0.2">
      <c r="A186" s="1" t="s">
        <v>411</v>
      </c>
      <c r="B186" t="s">
        <v>412</v>
      </c>
      <c r="C186" t="s">
        <v>432</v>
      </c>
      <c r="D186" s="6" t="str">
        <f t="shared" si="2"/>
        <v>PROT:AID46695.1</v>
      </c>
      <c r="E186" t="s">
        <v>431</v>
      </c>
      <c r="F186" t="s">
        <v>49</v>
      </c>
      <c r="G186">
        <f>IF(ISERROR(MATCH(AllProtiens!F186,Genomes!$C:$C,0)),0,1)</f>
        <v>1</v>
      </c>
      <c r="H186">
        <f>IF(ISERROR(MATCH(AllProtiens!A186,CoreProteinGroups!B:B,0)),0,1)</f>
        <v>1</v>
      </c>
      <c r="J186" s="6" t="s">
        <v>50</v>
      </c>
    </row>
    <row r="187" spans="1:10" x14ac:dyDescent="0.2">
      <c r="A187" s="1" t="s">
        <v>411</v>
      </c>
      <c r="B187" t="s">
        <v>412</v>
      </c>
      <c r="C187" t="s">
        <v>433</v>
      </c>
      <c r="D187" s="6" t="str">
        <f t="shared" si="2"/>
        <v>PROT:ALA62512.1</v>
      </c>
      <c r="E187" t="s">
        <v>431</v>
      </c>
      <c r="F187" t="s">
        <v>53</v>
      </c>
      <c r="G187">
        <f>IF(ISERROR(MATCH(AllProtiens!F187,Genomes!$C:$C,0)),0,1)</f>
        <v>1</v>
      </c>
      <c r="H187">
        <f>IF(ISERROR(MATCH(AllProtiens!A187,CoreProteinGroups!B:B,0)),0,1)</f>
        <v>1</v>
      </c>
      <c r="J187" s="6" t="s">
        <v>54</v>
      </c>
    </row>
    <row r="188" spans="1:10" x14ac:dyDescent="0.2">
      <c r="A188" s="1" t="s">
        <v>411</v>
      </c>
      <c r="B188" t="s">
        <v>412</v>
      </c>
      <c r="C188" t="s">
        <v>434</v>
      </c>
      <c r="D188" s="6" t="str">
        <f t="shared" si="2"/>
        <v>PROT:AAR83608.1</v>
      </c>
      <c r="E188" t="s">
        <v>435</v>
      </c>
      <c r="F188" t="s">
        <v>57</v>
      </c>
      <c r="G188">
        <f>IF(ISERROR(MATCH(AllProtiens!F188,Genomes!$C:$C,0)),0,1)</f>
        <v>1</v>
      </c>
      <c r="H188">
        <f>IF(ISERROR(MATCH(AllProtiens!A188,CoreProteinGroups!B:B,0)),0,1)</f>
        <v>1</v>
      </c>
      <c r="J188" s="6" t="s">
        <v>58</v>
      </c>
    </row>
    <row r="189" spans="1:10" x14ac:dyDescent="0.2">
      <c r="A189" s="1" t="s">
        <v>411</v>
      </c>
      <c r="B189" t="s">
        <v>412</v>
      </c>
      <c r="C189" t="s">
        <v>436</v>
      </c>
      <c r="D189" s="6" t="str">
        <f t="shared" si="2"/>
        <v>PROT:AAF44532.1</v>
      </c>
      <c r="E189" t="s">
        <v>437</v>
      </c>
      <c r="F189" t="s">
        <v>61</v>
      </c>
      <c r="G189">
        <f>IF(ISERROR(MATCH(AllProtiens!F189,Genomes!$C:$C,0)),0,1)</f>
        <v>1</v>
      </c>
      <c r="H189">
        <f>IF(ISERROR(MATCH(AllProtiens!A189,CoreProteinGroups!B:B,0)),0,1)</f>
        <v>1</v>
      </c>
      <c r="J189" s="6" t="s">
        <v>62</v>
      </c>
    </row>
    <row r="190" spans="1:10" x14ac:dyDescent="0.2">
      <c r="A190" s="1" t="s">
        <v>411</v>
      </c>
      <c r="B190" t="s">
        <v>412</v>
      </c>
      <c r="C190" t="s">
        <v>438</v>
      </c>
      <c r="D190" s="6" t="str">
        <f t="shared" si="2"/>
        <v>PROT:YP_001293306.1</v>
      </c>
      <c r="E190" t="s">
        <v>439</v>
      </c>
      <c r="F190" t="s">
        <v>214</v>
      </c>
      <c r="G190">
        <f>IF(ISERROR(MATCH(AllProtiens!F190,Genomes!$C:$C,0)),0,1)</f>
        <v>1</v>
      </c>
      <c r="H190">
        <f>IF(ISERROR(MATCH(AllProtiens!A190,CoreProteinGroups!B:B,0)),0,1)</f>
        <v>1</v>
      </c>
      <c r="J190" s="6" t="s">
        <v>215</v>
      </c>
    </row>
    <row r="191" spans="1:10" x14ac:dyDescent="0.2">
      <c r="A191" s="1" t="s">
        <v>411</v>
      </c>
      <c r="B191" t="s">
        <v>412</v>
      </c>
      <c r="C191" t="s">
        <v>440</v>
      </c>
      <c r="D191" s="6" t="str">
        <f t="shared" si="2"/>
        <v>PROT:AAK85076.1</v>
      </c>
      <c r="E191" t="s">
        <v>441</v>
      </c>
      <c r="F191" t="s">
        <v>65</v>
      </c>
      <c r="G191">
        <f>IF(ISERROR(MATCH(AllProtiens!F191,Genomes!$C:$C,0)),0,1)</f>
        <v>1</v>
      </c>
      <c r="H191">
        <f>IF(ISERROR(MATCH(AllProtiens!A191,CoreProteinGroups!B:B,0)),0,1)</f>
        <v>1</v>
      </c>
      <c r="J191" s="6" t="s">
        <v>66</v>
      </c>
    </row>
    <row r="192" spans="1:10" x14ac:dyDescent="0.2">
      <c r="A192" s="1" t="s">
        <v>411</v>
      </c>
      <c r="B192" t="s">
        <v>412</v>
      </c>
      <c r="C192" t="s">
        <v>442</v>
      </c>
      <c r="D192" s="6" t="str">
        <f t="shared" si="2"/>
        <v>PROT:NP_659687.1</v>
      </c>
      <c r="E192" t="s">
        <v>443</v>
      </c>
      <c r="F192" t="s">
        <v>210</v>
      </c>
      <c r="G192">
        <f>IF(ISERROR(MATCH(AllProtiens!F192,Genomes!$C:$C,0)),0,1)</f>
        <v>1</v>
      </c>
      <c r="H192">
        <f>IF(ISERROR(MATCH(AllProtiens!A192,CoreProteinGroups!B:B,0)),0,1)</f>
        <v>1</v>
      </c>
      <c r="J192" s="6" t="s">
        <v>211</v>
      </c>
    </row>
    <row r="193" spans="1:10" x14ac:dyDescent="0.2">
      <c r="A193" s="1" t="s">
        <v>411</v>
      </c>
      <c r="B193" t="s">
        <v>412</v>
      </c>
      <c r="C193" t="s">
        <v>444</v>
      </c>
      <c r="D193" s="6" t="str">
        <f t="shared" si="2"/>
        <v>PROT:AST09334.1</v>
      </c>
      <c r="E193" t="s">
        <v>423</v>
      </c>
      <c r="F193" t="s">
        <v>68</v>
      </c>
      <c r="G193">
        <f>IF(ISERROR(MATCH(AllProtiens!F193,Genomes!$C:$C,0)),0,1)</f>
        <v>1</v>
      </c>
      <c r="H193">
        <f>IF(ISERROR(MATCH(AllProtiens!A193,CoreProteinGroups!B:B,0)),0,1)</f>
        <v>1</v>
      </c>
      <c r="J193" s="6" t="s">
        <v>69</v>
      </c>
    </row>
    <row r="194" spans="1:10" x14ac:dyDescent="0.2">
      <c r="A194" s="1" t="s">
        <v>411</v>
      </c>
      <c r="B194" t="s">
        <v>412</v>
      </c>
      <c r="C194" t="s">
        <v>445</v>
      </c>
      <c r="D194" s="6" t="str">
        <f t="shared" ref="D194:D257" si="3">HYPERLINK(_xlfn.CONCAT("https://www.ncbi.nlm.nih.gov/protein/",C194),_xlfn.CONCAT("PROT:",C194))</f>
        <v>PROT:AEN03716.1</v>
      </c>
      <c r="E194" t="s">
        <v>446</v>
      </c>
      <c r="F194" t="s">
        <v>71</v>
      </c>
      <c r="G194">
        <f>IF(ISERROR(MATCH(AllProtiens!F194,Genomes!$C:$C,0)),0,1)</f>
        <v>1</v>
      </c>
      <c r="H194">
        <f>IF(ISERROR(MATCH(AllProtiens!A194,CoreProteinGroups!B:B,0)),0,1)</f>
        <v>1</v>
      </c>
      <c r="J194" s="6" t="s">
        <v>72</v>
      </c>
    </row>
    <row r="195" spans="1:10" x14ac:dyDescent="0.2">
      <c r="A195" s="1" t="s">
        <v>411</v>
      </c>
      <c r="B195" t="s">
        <v>412</v>
      </c>
      <c r="C195" t="s">
        <v>447</v>
      </c>
      <c r="D195" s="6" t="str">
        <f t="shared" si="3"/>
        <v>PROT:ABI99279.1</v>
      </c>
      <c r="E195" t="s">
        <v>431</v>
      </c>
      <c r="F195" t="s">
        <v>74</v>
      </c>
      <c r="G195">
        <f>IF(ISERROR(MATCH(AllProtiens!F195,Genomes!$C:$C,0)),0,1)</f>
        <v>1</v>
      </c>
      <c r="H195">
        <f>IF(ISERROR(MATCH(AllProtiens!A195,CoreProteinGroups!B:B,0)),0,1)</f>
        <v>1</v>
      </c>
      <c r="J195" s="6" t="s">
        <v>75</v>
      </c>
    </row>
    <row r="196" spans="1:10" x14ac:dyDescent="0.2">
      <c r="A196" s="1" t="s">
        <v>411</v>
      </c>
      <c r="B196" t="s">
        <v>412</v>
      </c>
      <c r="C196" t="s">
        <v>448</v>
      </c>
      <c r="D196" s="6" t="str">
        <f t="shared" si="3"/>
        <v>PROT:ABJ09037.1</v>
      </c>
      <c r="E196" t="s">
        <v>431</v>
      </c>
      <c r="F196" t="s">
        <v>77</v>
      </c>
      <c r="G196">
        <f>IF(ISERROR(MATCH(AllProtiens!F196,Genomes!$C:$C,0)),0,1)</f>
        <v>1</v>
      </c>
      <c r="H196">
        <f>IF(ISERROR(MATCH(AllProtiens!A196,CoreProteinGroups!B:B,0)),0,1)</f>
        <v>1</v>
      </c>
      <c r="J196" s="6" t="s">
        <v>78</v>
      </c>
    </row>
    <row r="197" spans="1:10" x14ac:dyDescent="0.2">
      <c r="A197" s="1" t="s">
        <v>411</v>
      </c>
      <c r="B197" t="s">
        <v>412</v>
      </c>
      <c r="C197" t="s">
        <v>449</v>
      </c>
      <c r="D197" s="6" t="str">
        <f t="shared" si="3"/>
        <v>PROT:AAF15001.1</v>
      </c>
      <c r="E197" t="s">
        <v>450</v>
      </c>
      <c r="F197" t="s">
        <v>81</v>
      </c>
      <c r="G197">
        <f>IF(ISERROR(MATCH(AllProtiens!F197,Genomes!$C:$C,0)),0,1)</f>
        <v>0</v>
      </c>
      <c r="H197">
        <f>IF(ISERROR(MATCH(AllProtiens!A197,CoreProteinGroups!B:B,0)),0,1)</f>
        <v>1</v>
      </c>
      <c r="J197" s="6" t="s">
        <v>82</v>
      </c>
    </row>
    <row r="198" spans="1:10" x14ac:dyDescent="0.2">
      <c r="A198" s="1" t="s">
        <v>411</v>
      </c>
      <c r="B198" t="s">
        <v>412</v>
      </c>
      <c r="C198" t="s">
        <v>451</v>
      </c>
      <c r="D198" s="6" t="str">
        <f t="shared" si="3"/>
        <v>PROT:AFU77377.1</v>
      </c>
      <c r="E198" t="s">
        <v>450</v>
      </c>
      <c r="F198" t="s">
        <v>81</v>
      </c>
      <c r="G198">
        <f>IF(ISERROR(MATCH(AllProtiens!F198,Genomes!$C:$C,0)),0,1)</f>
        <v>0</v>
      </c>
      <c r="H198">
        <f>IF(ISERROR(MATCH(AllProtiens!A198,CoreProteinGroups!B:B,0)),0,1)</f>
        <v>1</v>
      </c>
      <c r="J198" s="6" t="s">
        <v>82</v>
      </c>
    </row>
    <row r="199" spans="1:10" x14ac:dyDescent="0.2">
      <c r="A199" s="1" t="s">
        <v>411</v>
      </c>
      <c r="B199" t="s">
        <v>412</v>
      </c>
      <c r="C199" t="s">
        <v>452</v>
      </c>
      <c r="D199" s="6" t="str">
        <f t="shared" si="3"/>
        <v>PROT:AAF17996.1</v>
      </c>
      <c r="E199" t="s">
        <v>453</v>
      </c>
      <c r="F199" t="s">
        <v>86</v>
      </c>
      <c r="G199">
        <f>IF(ISERROR(MATCH(AllProtiens!F199,Genomes!$C:$C,0)),0,1)</f>
        <v>1</v>
      </c>
      <c r="H199">
        <f>IF(ISERROR(MATCH(AllProtiens!A199,CoreProteinGroups!B:B,0)),0,1)</f>
        <v>1</v>
      </c>
      <c r="J199" s="6" t="s">
        <v>87</v>
      </c>
    </row>
    <row r="200" spans="1:10" x14ac:dyDescent="0.2">
      <c r="A200" s="1" t="s">
        <v>411</v>
      </c>
      <c r="B200" t="s">
        <v>412</v>
      </c>
      <c r="C200" t="s">
        <v>454</v>
      </c>
      <c r="D200" s="6" t="str">
        <f t="shared" si="3"/>
        <v>PROT:AAC55256.1</v>
      </c>
      <c r="E200" t="s">
        <v>455</v>
      </c>
      <c r="F200" t="s">
        <v>90</v>
      </c>
      <c r="G200">
        <f>IF(ISERROR(MATCH(AllProtiens!F200,Genomes!$C:$C,0)),0,1)</f>
        <v>1</v>
      </c>
      <c r="H200">
        <f>IF(ISERROR(MATCH(AllProtiens!A200,CoreProteinGroups!B:B,0)),0,1)</f>
        <v>1</v>
      </c>
      <c r="J200" s="6" t="s">
        <v>91</v>
      </c>
    </row>
    <row r="201" spans="1:10" x14ac:dyDescent="0.2">
      <c r="A201" s="1" t="s">
        <v>411</v>
      </c>
      <c r="B201" t="s">
        <v>412</v>
      </c>
      <c r="C201" t="s">
        <v>456</v>
      </c>
      <c r="D201" s="6" t="str">
        <f t="shared" si="3"/>
        <v>PROT:AYN64708.1</v>
      </c>
      <c r="E201" t="s">
        <v>457</v>
      </c>
      <c r="F201" t="s">
        <v>94</v>
      </c>
      <c r="G201">
        <f>IF(ISERROR(MATCH(AllProtiens!F201,Genomes!$C:$C,0)),0,1)</f>
        <v>1</v>
      </c>
      <c r="H201">
        <f>IF(ISERROR(MATCH(AllProtiens!A201,CoreProteinGroups!B:B,0)),0,1)</f>
        <v>1</v>
      </c>
      <c r="J201" s="6" t="s">
        <v>95</v>
      </c>
    </row>
    <row r="202" spans="1:10" x14ac:dyDescent="0.2">
      <c r="A202" s="1" t="s">
        <v>411</v>
      </c>
      <c r="B202" t="s">
        <v>412</v>
      </c>
      <c r="C202" t="s">
        <v>458</v>
      </c>
      <c r="D202" s="6" t="str">
        <f t="shared" si="3"/>
        <v>PROT:AXN74939.1</v>
      </c>
      <c r="E202" t="s">
        <v>459</v>
      </c>
      <c r="F202" t="s">
        <v>97</v>
      </c>
      <c r="G202">
        <f>IF(ISERROR(MATCH(AllProtiens!F202,Genomes!$C:$C,0)),0,1)</f>
        <v>1</v>
      </c>
      <c r="H202">
        <f>IF(ISERROR(MATCH(AllProtiens!A202,CoreProteinGroups!B:B,0)),0,1)</f>
        <v>1</v>
      </c>
      <c r="J202" s="6" t="s">
        <v>98</v>
      </c>
    </row>
    <row r="203" spans="1:10" x14ac:dyDescent="0.2">
      <c r="A203" s="1" t="s">
        <v>411</v>
      </c>
      <c r="B203" t="s">
        <v>412</v>
      </c>
      <c r="C203" t="s">
        <v>460</v>
      </c>
      <c r="D203" s="6" t="str">
        <f t="shared" si="3"/>
        <v>PROT:ABH08250.1</v>
      </c>
      <c r="E203" t="s">
        <v>461</v>
      </c>
      <c r="F203" t="s">
        <v>101</v>
      </c>
      <c r="G203">
        <f>IF(ISERROR(MATCH(AllProtiens!F203,Genomes!$C:$C,0)),0,1)</f>
        <v>1</v>
      </c>
      <c r="H203">
        <f>IF(ISERROR(MATCH(AllProtiens!A203,CoreProteinGroups!B:B,0)),0,1)</f>
        <v>1</v>
      </c>
      <c r="J203" s="6" t="s">
        <v>102</v>
      </c>
    </row>
    <row r="204" spans="1:10" x14ac:dyDescent="0.2">
      <c r="A204" s="1" t="s">
        <v>411</v>
      </c>
      <c r="B204" t="s">
        <v>412</v>
      </c>
      <c r="C204" t="s">
        <v>462</v>
      </c>
      <c r="D204" s="6" t="str">
        <f t="shared" si="3"/>
        <v>PROT:AAG37632.1</v>
      </c>
      <c r="E204" t="s">
        <v>463</v>
      </c>
      <c r="F204" t="s">
        <v>105</v>
      </c>
      <c r="G204">
        <f>IF(ISERROR(MATCH(AllProtiens!F204,Genomes!$C:$C,0)),0,1)</f>
        <v>1</v>
      </c>
      <c r="H204">
        <f>IF(ISERROR(MATCH(AllProtiens!A204,CoreProteinGroups!B:B,0)),0,1)</f>
        <v>1</v>
      </c>
      <c r="J204" s="6" t="s">
        <v>106</v>
      </c>
    </row>
    <row r="205" spans="1:10" x14ac:dyDescent="0.2">
      <c r="A205" s="1" t="s">
        <v>411</v>
      </c>
      <c r="B205" t="s">
        <v>412</v>
      </c>
      <c r="C205" t="s">
        <v>464</v>
      </c>
      <c r="D205" s="6" t="str">
        <f t="shared" si="3"/>
        <v>PROT:AAL73848.1</v>
      </c>
      <c r="E205" t="s">
        <v>465</v>
      </c>
      <c r="F205" t="s">
        <v>109</v>
      </c>
      <c r="G205">
        <f>IF(ISERROR(MATCH(AllProtiens!F205,Genomes!$C:$C,0)),0,1)</f>
        <v>1</v>
      </c>
      <c r="H205">
        <f>IF(ISERROR(MATCH(AllProtiens!A205,CoreProteinGroups!B:B,0)),0,1)</f>
        <v>1</v>
      </c>
      <c r="J205" s="6" t="s">
        <v>110</v>
      </c>
    </row>
    <row r="206" spans="1:10" x14ac:dyDescent="0.2">
      <c r="A206" s="1" t="s">
        <v>411</v>
      </c>
      <c r="B206" t="s">
        <v>412</v>
      </c>
      <c r="C206" t="s">
        <v>466</v>
      </c>
      <c r="D206" s="6" t="str">
        <f t="shared" si="3"/>
        <v>PROT:AAM13598.1</v>
      </c>
      <c r="E206" t="s">
        <v>467</v>
      </c>
      <c r="F206" t="s">
        <v>113</v>
      </c>
      <c r="G206">
        <f>IF(ISERROR(MATCH(AllProtiens!F206,Genomes!$C:$C,0)),0,1)</f>
        <v>1</v>
      </c>
      <c r="H206">
        <f>IF(ISERROR(MATCH(AllProtiens!A206,CoreProteinGroups!B:B,0)),0,1)</f>
        <v>1</v>
      </c>
      <c r="J206" s="6" t="s">
        <v>114</v>
      </c>
    </row>
    <row r="207" spans="1:10" x14ac:dyDescent="0.2">
      <c r="A207" s="1" t="s">
        <v>411</v>
      </c>
      <c r="B207" t="s">
        <v>412</v>
      </c>
      <c r="C207" t="s">
        <v>468</v>
      </c>
      <c r="D207" s="6" t="str">
        <f t="shared" si="3"/>
        <v>PROT:AAM92431.1</v>
      </c>
      <c r="E207" t="s">
        <v>469</v>
      </c>
      <c r="F207" t="s">
        <v>117</v>
      </c>
      <c r="G207">
        <f>IF(ISERROR(MATCH(AllProtiens!F207,Genomes!$C:$C,0)),0,1)</f>
        <v>1</v>
      </c>
      <c r="H207">
        <f>IF(ISERROR(MATCH(AllProtiens!A207,CoreProteinGroups!B:B,0)),0,1)</f>
        <v>1</v>
      </c>
      <c r="J207" s="6" t="s">
        <v>118</v>
      </c>
    </row>
    <row r="208" spans="1:10" x14ac:dyDescent="0.2">
      <c r="A208" s="1" t="s">
        <v>411</v>
      </c>
      <c r="B208" t="s">
        <v>412</v>
      </c>
      <c r="C208" t="s">
        <v>470</v>
      </c>
      <c r="D208" s="6" t="str">
        <f t="shared" si="3"/>
        <v>PROT:AFH54690.1</v>
      </c>
      <c r="E208" t="s">
        <v>471</v>
      </c>
      <c r="F208" t="s">
        <v>120</v>
      </c>
      <c r="G208">
        <f>IF(ISERROR(MATCH(AllProtiens!F208,Genomes!$C:$C,0)),0,1)</f>
        <v>1</v>
      </c>
      <c r="H208">
        <f>IF(ISERROR(MATCH(AllProtiens!A208,CoreProteinGroups!B:B,0)),0,1)</f>
        <v>1</v>
      </c>
      <c r="J208" s="6" t="s">
        <v>121</v>
      </c>
    </row>
    <row r="209" spans="1:10" x14ac:dyDescent="0.2">
      <c r="A209" s="1" t="s">
        <v>411</v>
      </c>
      <c r="B209" t="s">
        <v>412</v>
      </c>
      <c r="C209" t="s">
        <v>472</v>
      </c>
      <c r="D209" s="6" t="str">
        <f t="shared" si="3"/>
        <v>PROT:AAL40592.1</v>
      </c>
      <c r="E209" t="s">
        <v>473</v>
      </c>
      <c r="F209" t="s">
        <v>124</v>
      </c>
      <c r="G209">
        <f>IF(ISERROR(MATCH(AllProtiens!F209,Genomes!$C:$C,0)),0,1)</f>
        <v>1</v>
      </c>
      <c r="H209">
        <f>IF(ISERROR(MATCH(AllProtiens!A209,CoreProteinGroups!B:B,0)),0,1)</f>
        <v>1</v>
      </c>
      <c r="J209" s="6" t="s">
        <v>125</v>
      </c>
    </row>
    <row r="210" spans="1:10" x14ac:dyDescent="0.2">
      <c r="A210" s="1" t="s">
        <v>411</v>
      </c>
      <c r="B210" t="s">
        <v>412</v>
      </c>
      <c r="C210" t="s">
        <v>474</v>
      </c>
      <c r="D210" s="6" t="str">
        <f t="shared" si="3"/>
        <v>PROT:AAX09230.1</v>
      </c>
      <c r="E210" t="s">
        <v>475</v>
      </c>
      <c r="F210" t="s">
        <v>128</v>
      </c>
      <c r="G210">
        <f>IF(ISERROR(MATCH(AllProtiens!F210,Genomes!$C:$C,0)),0,1)</f>
        <v>1</v>
      </c>
      <c r="H210">
        <f>IF(ISERROR(MATCH(AllProtiens!A210,CoreProteinGroups!B:B,0)),0,1)</f>
        <v>1</v>
      </c>
      <c r="J210" s="6" t="s">
        <v>129</v>
      </c>
    </row>
    <row r="211" spans="1:10" x14ac:dyDescent="0.2">
      <c r="A211" s="1" t="s">
        <v>411</v>
      </c>
      <c r="B211" t="s">
        <v>412</v>
      </c>
      <c r="C211" t="s">
        <v>476</v>
      </c>
      <c r="D211" s="6" t="str">
        <f t="shared" si="3"/>
        <v>PROT:AKJ93772.1</v>
      </c>
      <c r="E211" t="s">
        <v>477</v>
      </c>
      <c r="F211" t="s">
        <v>131</v>
      </c>
      <c r="G211">
        <f>IF(ISERROR(MATCH(AllProtiens!F211,Genomes!$C:$C,0)),0,1)</f>
        <v>1</v>
      </c>
      <c r="H211">
        <f>IF(ISERROR(MATCH(AllProtiens!A211,CoreProteinGroups!B:B,0)),0,1)</f>
        <v>1</v>
      </c>
      <c r="J211" s="6" t="s">
        <v>132</v>
      </c>
    </row>
    <row r="212" spans="1:10" x14ac:dyDescent="0.2">
      <c r="A212" s="1" t="s">
        <v>411</v>
      </c>
      <c r="B212" t="s">
        <v>412</v>
      </c>
      <c r="C212" t="s">
        <v>478</v>
      </c>
      <c r="D212" s="6" t="str">
        <f t="shared" si="3"/>
        <v>PROT:AOP31621.1</v>
      </c>
      <c r="E212" t="s">
        <v>479</v>
      </c>
      <c r="F212" t="s">
        <v>134</v>
      </c>
      <c r="G212">
        <f>IF(ISERROR(MATCH(AllProtiens!F212,Genomes!$C:$C,0)),0,1)</f>
        <v>1</v>
      </c>
      <c r="H212">
        <f>IF(ISERROR(MATCH(AllProtiens!A212,CoreProteinGroups!B:B,0)),0,1)</f>
        <v>1</v>
      </c>
      <c r="J212" s="6" t="s">
        <v>135</v>
      </c>
    </row>
    <row r="213" spans="1:10" x14ac:dyDescent="0.2">
      <c r="A213" s="1" t="s">
        <v>411</v>
      </c>
      <c r="B213" t="s">
        <v>412</v>
      </c>
      <c r="C213" t="s">
        <v>480</v>
      </c>
      <c r="D213" s="6" t="str">
        <f t="shared" si="3"/>
        <v>PROT:ABD97711.1</v>
      </c>
      <c r="E213" t="s">
        <v>446</v>
      </c>
      <c r="F213" t="s">
        <v>137</v>
      </c>
      <c r="G213">
        <f>IF(ISERROR(MATCH(AllProtiens!F213,Genomes!$C:$C,0)),0,1)</f>
        <v>1</v>
      </c>
      <c r="H213">
        <f>IF(ISERROR(MATCH(AllProtiens!A213,CoreProteinGroups!B:B,0)),0,1)</f>
        <v>1</v>
      </c>
      <c r="J213" s="6" t="s">
        <v>138</v>
      </c>
    </row>
    <row r="214" spans="1:10" x14ac:dyDescent="0.2">
      <c r="A214" s="1" t="s">
        <v>411</v>
      </c>
      <c r="B214" t="s">
        <v>412</v>
      </c>
      <c r="C214" t="s">
        <v>481</v>
      </c>
      <c r="D214" s="6" t="str">
        <f t="shared" si="3"/>
        <v>PROT:AAO89422.1</v>
      </c>
      <c r="E214" t="s">
        <v>446</v>
      </c>
      <c r="F214" t="s">
        <v>140</v>
      </c>
      <c r="G214">
        <f>IF(ISERROR(MATCH(AllProtiens!F214,Genomes!$C:$C,0)),0,1)</f>
        <v>1</v>
      </c>
      <c r="H214">
        <f>IF(ISERROR(MATCH(AllProtiens!A214,CoreProteinGroups!B:B,0)),0,1)</f>
        <v>1</v>
      </c>
      <c r="J214" s="6" t="s">
        <v>141</v>
      </c>
    </row>
    <row r="215" spans="1:10" x14ac:dyDescent="0.2">
      <c r="A215" s="1" t="s">
        <v>411</v>
      </c>
      <c r="B215" t="s">
        <v>412</v>
      </c>
      <c r="C215" t="s">
        <v>482</v>
      </c>
      <c r="D215" s="6" t="str">
        <f t="shared" si="3"/>
        <v>PROT:CAA49068.1</v>
      </c>
      <c r="E215" t="s">
        <v>367</v>
      </c>
      <c r="F215" t="s">
        <v>144</v>
      </c>
      <c r="G215">
        <f>IF(ISERROR(MATCH(AllProtiens!F215,Genomes!$C:$C,0)),0,1)</f>
        <v>1</v>
      </c>
      <c r="H215">
        <f>IF(ISERROR(MATCH(AllProtiens!A215,CoreProteinGroups!B:B,0)),0,1)</f>
        <v>1</v>
      </c>
      <c r="J215" s="6" t="s">
        <v>145</v>
      </c>
    </row>
    <row r="216" spans="1:10" x14ac:dyDescent="0.2">
      <c r="A216" s="1" t="s">
        <v>411</v>
      </c>
      <c r="B216" t="s">
        <v>412</v>
      </c>
      <c r="C216" t="s">
        <v>483</v>
      </c>
      <c r="D216" s="6" t="str">
        <f t="shared" si="3"/>
        <v>PROT:CAB54727.1</v>
      </c>
      <c r="E216" t="s">
        <v>484</v>
      </c>
      <c r="F216" t="s">
        <v>148</v>
      </c>
      <c r="G216">
        <f>IF(ISERROR(MATCH(AllProtiens!F216,Genomes!$C:$C,0)),0,1)</f>
        <v>1</v>
      </c>
      <c r="H216">
        <f>IF(ISERROR(MATCH(AllProtiens!A216,CoreProteinGroups!B:B,0)),0,1)</f>
        <v>1</v>
      </c>
      <c r="J216" s="6" t="s">
        <v>149</v>
      </c>
    </row>
    <row r="217" spans="1:10" x14ac:dyDescent="0.2">
      <c r="A217" s="1" t="s">
        <v>411</v>
      </c>
      <c r="B217" t="s">
        <v>412</v>
      </c>
      <c r="C217" t="s">
        <v>485</v>
      </c>
      <c r="D217" s="6" t="str">
        <f t="shared" si="3"/>
        <v>PROT:AOP31832.1</v>
      </c>
      <c r="E217" t="s">
        <v>479</v>
      </c>
      <c r="F217" t="s">
        <v>151</v>
      </c>
      <c r="G217">
        <f>IF(ISERROR(MATCH(AllProtiens!F217,Genomes!$C:$C,0)),0,1)</f>
        <v>1</v>
      </c>
      <c r="H217">
        <f>IF(ISERROR(MATCH(AllProtiens!A217,CoreProteinGroups!B:B,0)),0,1)</f>
        <v>1</v>
      </c>
      <c r="J217" s="6" t="s">
        <v>152</v>
      </c>
    </row>
    <row r="218" spans="1:10" x14ac:dyDescent="0.2">
      <c r="A218" s="1" t="s">
        <v>411</v>
      </c>
      <c r="B218" t="s">
        <v>412</v>
      </c>
      <c r="C218" t="s">
        <v>486</v>
      </c>
      <c r="D218" s="6" t="str">
        <f t="shared" si="3"/>
        <v>PROT:ASC55547.1</v>
      </c>
      <c r="E218" t="s">
        <v>487</v>
      </c>
      <c r="F218" t="s">
        <v>155</v>
      </c>
      <c r="G218">
        <f>IF(ISERROR(MATCH(AllProtiens!F218,Genomes!$C:$C,0)),0,1)</f>
        <v>1</v>
      </c>
      <c r="H218">
        <f>IF(ISERROR(MATCH(AllProtiens!A218,CoreProteinGroups!B:B,0)),0,1)</f>
        <v>1</v>
      </c>
      <c r="J218" s="6" t="s">
        <v>156</v>
      </c>
    </row>
    <row r="219" spans="1:10" x14ac:dyDescent="0.2">
      <c r="A219" s="1" t="s">
        <v>411</v>
      </c>
      <c r="B219" t="s">
        <v>412</v>
      </c>
      <c r="C219" t="s">
        <v>488</v>
      </c>
      <c r="D219" s="6" t="str">
        <f t="shared" si="3"/>
        <v>PROT:AAR98457.1</v>
      </c>
      <c r="E219" t="s">
        <v>489</v>
      </c>
      <c r="F219" t="s">
        <v>159</v>
      </c>
      <c r="G219">
        <f>IF(ISERROR(MATCH(AllProtiens!F219,Genomes!$C:$C,0)),0,1)</f>
        <v>1</v>
      </c>
      <c r="H219">
        <f>IF(ISERROR(MATCH(AllProtiens!A219,CoreProteinGroups!B:B,0)),0,1)</f>
        <v>1</v>
      </c>
      <c r="J219" s="6" t="s">
        <v>160</v>
      </c>
    </row>
    <row r="220" spans="1:10" x14ac:dyDescent="0.2">
      <c r="A220" s="1" t="s">
        <v>411</v>
      </c>
      <c r="B220" t="s">
        <v>412</v>
      </c>
      <c r="C220" t="s">
        <v>490</v>
      </c>
      <c r="D220" s="6" t="str">
        <f t="shared" si="3"/>
        <v>PROT:AAR98325.1</v>
      </c>
      <c r="E220" t="s">
        <v>489</v>
      </c>
      <c r="F220" t="s">
        <v>162</v>
      </c>
      <c r="G220">
        <f>IF(ISERROR(MATCH(AllProtiens!F220,Genomes!$C:$C,0)),0,1)</f>
        <v>1</v>
      </c>
      <c r="H220">
        <f>IF(ISERROR(MATCH(AllProtiens!A220,CoreProteinGroups!B:B,0)),0,1)</f>
        <v>1</v>
      </c>
      <c r="J220" s="6" t="s">
        <v>163</v>
      </c>
    </row>
    <row r="221" spans="1:10" x14ac:dyDescent="0.2">
      <c r="A221" s="1" t="s">
        <v>411</v>
      </c>
      <c r="B221" t="s">
        <v>412</v>
      </c>
      <c r="C221" t="s">
        <v>491</v>
      </c>
      <c r="D221" s="6" t="str">
        <f t="shared" si="3"/>
        <v>PROT:ABA00617.1</v>
      </c>
      <c r="E221" t="s">
        <v>492</v>
      </c>
      <c r="F221" t="s">
        <v>162</v>
      </c>
      <c r="G221">
        <f>IF(ISERROR(MATCH(AllProtiens!F221,Genomes!$C:$C,0)),0,1)</f>
        <v>1</v>
      </c>
      <c r="H221">
        <f>IF(ISERROR(MATCH(AllProtiens!A221,CoreProteinGroups!B:B,0)),0,1)</f>
        <v>1</v>
      </c>
      <c r="J221" s="6" t="s">
        <v>163</v>
      </c>
    </row>
    <row r="222" spans="1:10" x14ac:dyDescent="0.2">
      <c r="A222" s="1" t="s">
        <v>411</v>
      </c>
      <c r="B222" t="s">
        <v>412</v>
      </c>
      <c r="C222" t="s">
        <v>493</v>
      </c>
      <c r="D222" s="6" t="str">
        <f t="shared" si="3"/>
        <v>PROT:AIZ77351.1</v>
      </c>
      <c r="E222" t="s">
        <v>494</v>
      </c>
      <c r="F222" t="s">
        <v>167</v>
      </c>
      <c r="G222">
        <f>IF(ISERROR(MATCH(AllProtiens!F222,Genomes!$C:$C,0)),0,1)</f>
        <v>1</v>
      </c>
      <c r="H222">
        <f>IF(ISERROR(MATCH(AllProtiens!A222,CoreProteinGroups!B:B,0)),0,1)</f>
        <v>1</v>
      </c>
      <c r="J222" s="6" t="s">
        <v>168</v>
      </c>
    </row>
    <row r="223" spans="1:10" x14ac:dyDescent="0.2">
      <c r="A223" s="1" t="s">
        <v>411</v>
      </c>
      <c r="B223" t="s">
        <v>412</v>
      </c>
      <c r="C223" t="s">
        <v>495</v>
      </c>
      <c r="D223" s="6" t="str">
        <f t="shared" si="3"/>
        <v>PROT:ADC54002.1</v>
      </c>
      <c r="E223" t="s">
        <v>492</v>
      </c>
      <c r="F223" t="s">
        <v>170</v>
      </c>
      <c r="G223">
        <f>IF(ISERROR(MATCH(AllProtiens!F223,Genomes!$C:$C,0)),0,1)</f>
        <v>1</v>
      </c>
      <c r="H223">
        <f>IF(ISERROR(MATCH(AllProtiens!A223,CoreProteinGroups!B:B,0)),0,1)</f>
        <v>1</v>
      </c>
      <c r="J223" s="6" t="s">
        <v>171</v>
      </c>
    </row>
    <row r="224" spans="1:10" x14ac:dyDescent="0.2">
      <c r="A224" s="1" t="s">
        <v>411</v>
      </c>
      <c r="B224" t="s">
        <v>412</v>
      </c>
      <c r="C224" t="s">
        <v>496</v>
      </c>
      <c r="D224" s="6" t="str">
        <f t="shared" si="3"/>
        <v>PROT:AAL69851.1</v>
      </c>
      <c r="E224" t="s">
        <v>497</v>
      </c>
      <c r="F224" t="s">
        <v>174</v>
      </c>
      <c r="G224">
        <f>IF(ISERROR(MATCH(AllProtiens!F224,Genomes!$C:$C,0)),0,1)</f>
        <v>1</v>
      </c>
      <c r="H224">
        <f>IF(ISERROR(MATCH(AllProtiens!A224,CoreProteinGroups!B:B,0)),0,1)</f>
        <v>1</v>
      </c>
      <c r="J224" s="6" t="s">
        <v>175</v>
      </c>
    </row>
    <row r="225" spans="1:10" x14ac:dyDescent="0.2">
      <c r="A225" s="1" t="s">
        <v>411</v>
      </c>
      <c r="B225" t="s">
        <v>412</v>
      </c>
      <c r="C225" t="s">
        <v>498</v>
      </c>
      <c r="D225" s="6" t="str">
        <f t="shared" si="3"/>
        <v>PROT:CAC21353.1</v>
      </c>
      <c r="E225" t="s">
        <v>499</v>
      </c>
      <c r="F225" t="s">
        <v>178</v>
      </c>
      <c r="G225">
        <f>IF(ISERROR(MATCH(AllProtiens!F225,Genomes!$C:$C,0)),0,1)</f>
        <v>1</v>
      </c>
      <c r="H225">
        <f>IF(ISERROR(MATCH(AllProtiens!A225,CoreProteinGroups!B:B,0)),0,1)</f>
        <v>1</v>
      </c>
      <c r="J225" s="6" t="s">
        <v>179</v>
      </c>
    </row>
    <row r="226" spans="1:10" x14ac:dyDescent="0.2">
      <c r="A226" s="1" t="s">
        <v>411</v>
      </c>
      <c r="B226" t="s">
        <v>412</v>
      </c>
      <c r="C226" t="s">
        <v>500</v>
      </c>
      <c r="D226" s="6" t="str">
        <f t="shared" si="3"/>
        <v>PROT:AAR07471.1</v>
      </c>
      <c r="E226" t="s">
        <v>501</v>
      </c>
      <c r="F226" t="s">
        <v>182</v>
      </c>
      <c r="G226">
        <f>IF(ISERROR(MATCH(AllProtiens!F226,Genomes!$C:$C,0)),0,1)</f>
        <v>1</v>
      </c>
      <c r="H226">
        <f>IF(ISERROR(MATCH(AllProtiens!A226,CoreProteinGroups!B:B,0)),0,1)</f>
        <v>1</v>
      </c>
      <c r="J226" s="6" t="s">
        <v>183</v>
      </c>
    </row>
    <row r="227" spans="1:10" x14ac:dyDescent="0.2">
      <c r="A227" s="1" t="s">
        <v>411</v>
      </c>
      <c r="B227" t="s">
        <v>412</v>
      </c>
      <c r="C227" t="s">
        <v>502</v>
      </c>
      <c r="D227" s="6" t="str">
        <f t="shared" si="3"/>
        <v>PROT:AAC97825.1</v>
      </c>
      <c r="E227" t="s">
        <v>503</v>
      </c>
      <c r="F227" t="s">
        <v>186</v>
      </c>
      <c r="G227">
        <f>IF(ISERROR(MATCH(AllProtiens!F227,Genomes!$C:$C,0)),0,1)</f>
        <v>1</v>
      </c>
      <c r="H227">
        <f>IF(ISERROR(MATCH(AllProtiens!A227,CoreProteinGroups!B:B,0)),0,1)</f>
        <v>1</v>
      </c>
      <c r="J227" s="6" t="s">
        <v>187</v>
      </c>
    </row>
    <row r="228" spans="1:10" x14ac:dyDescent="0.2">
      <c r="A228" s="1" t="s">
        <v>411</v>
      </c>
      <c r="B228" t="s">
        <v>412</v>
      </c>
      <c r="C228" t="s">
        <v>504</v>
      </c>
      <c r="D228" s="6" t="str">
        <f t="shared" si="3"/>
        <v>PROT:BAO49550.1</v>
      </c>
      <c r="E228" t="s">
        <v>505</v>
      </c>
      <c r="F228" t="s">
        <v>190</v>
      </c>
      <c r="G228">
        <f>IF(ISERROR(MATCH(AllProtiens!F228,Genomes!$C:$C,0)),0,1)</f>
        <v>1</v>
      </c>
      <c r="H228">
        <f>IF(ISERROR(MATCH(AllProtiens!A228,CoreProteinGroups!B:B,0)),0,1)</f>
        <v>1</v>
      </c>
      <c r="J228" s="6" t="s">
        <v>191</v>
      </c>
    </row>
    <row r="229" spans="1:10" x14ac:dyDescent="0.2">
      <c r="A229" s="1" t="s">
        <v>411</v>
      </c>
      <c r="B229" t="s">
        <v>412</v>
      </c>
      <c r="C229" t="s">
        <v>506</v>
      </c>
      <c r="D229" s="6" t="str">
        <f t="shared" si="3"/>
        <v>PROT:CCU55410.1</v>
      </c>
      <c r="E229" t="s">
        <v>507</v>
      </c>
      <c r="F229" t="s">
        <v>193</v>
      </c>
      <c r="G229">
        <f>IF(ISERROR(MATCH(AllProtiens!F229,Genomes!$C:$C,0)),0,1)</f>
        <v>1</v>
      </c>
      <c r="H229">
        <f>IF(ISERROR(MATCH(AllProtiens!A229,CoreProteinGroups!B:B,0)),0,1)</f>
        <v>1</v>
      </c>
      <c r="J229" s="6" t="s">
        <v>194</v>
      </c>
    </row>
    <row r="230" spans="1:10" x14ac:dyDescent="0.2">
      <c r="A230" s="1" t="s">
        <v>411</v>
      </c>
      <c r="B230" t="s">
        <v>412</v>
      </c>
      <c r="C230" t="s">
        <v>508</v>
      </c>
      <c r="D230" s="6" t="str">
        <f t="shared" si="3"/>
        <v>PROT:AAG02797.1</v>
      </c>
      <c r="E230" t="s">
        <v>509</v>
      </c>
      <c r="F230" t="s">
        <v>197</v>
      </c>
      <c r="G230">
        <f>IF(ISERROR(MATCH(AllProtiens!F230,Genomes!$C:$C,0)),0,1)</f>
        <v>1</v>
      </c>
      <c r="H230">
        <f>IF(ISERROR(MATCH(AllProtiens!A230,CoreProteinGroups!B:B,0)),0,1)</f>
        <v>1</v>
      </c>
      <c r="J230" s="6" t="s">
        <v>198</v>
      </c>
    </row>
    <row r="231" spans="1:10" x14ac:dyDescent="0.2">
      <c r="A231" s="1" t="s">
        <v>411</v>
      </c>
      <c r="B231" t="s">
        <v>412</v>
      </c>
      <c r="C231" t="s">
        <v>510</v>
      </c>
      <c r="D231" s="6" t="str">
        <f t="shared" si="3"/>
        <v>PROT:CCU55716.1</v>
      </c>
      <c r="E231" t="s">
        <v>507</v>
      </c>
      <c r="F231" t="s">
        <v>200</v>
      </c>
      <c r="G231">
        <f>IF(ISERROR(MATCH(AllProtiens!F231,Genomes!$C:$C,0)),0,1)</f>
        <v>1</v>
      </c>
      <c r="H231">
        <f>IF(ISERROR(MATCH(AllProtiens!A231,CoreProteinGroups!B:B,0)),0,1)</f>
        <v>1</v>
      </c>
      <c r="J231" s="6" t="s">
        <v>201</v>
      </c>
    </row>
    <row r="232" spans="1:10" x14ac:dyDescent="0.2">
      <c r="A232" s="1" t="s">
        <v>411</v>
      </c>
      <c r="B232" t="s">
        <v>412</v>
      </c>
      <c r="C232" t="s">
        <v>511</v>
      </c>
      <c r="D232" s="6" t="str">
        <f t="shared" si="3"/>
        <v>PROT:CCU56018.1</v>
      </c>
      <c r="E232" t="s">
        <v>507</v>
      </c>
      <c r="F232" t="s">
        <v>203</v>
      </c>
      <c r="G232">
        <f>IF(ISERROR(MATCH(AllProtiens!F232,Genomes!$C:$C,0)),0,1)</f>
        <v>1</v>
      </c>
      <c r="H232">
        <f>IF(ISERROR(MATCH(AllProtiens!A232,CoreProteinGroups!B:B,0)),0,1)</f>
        <v>1</v>
      </c>
      <c r="J232" s="6" t="s">
        <v>204</v>
      </c>
    </row>
    <row r="233" spans="1:10" x14ac:dyDescent="0.2">
      <c r="A233" s="1" t="s">
        <v>411</v>
      </c>
      <c r="B233" t="s">
        <v>412</v>
      </c>
      <c r="C233" t="s">
        <v>512</v>
      </c>
      <c r="D233" s="6" t="str">
        <f t="shared" si="3"/>
        <v>PROT:CCU56312.1</v>
      </c>
      <c r="E233" t="s">
        <v>507</v>
      </c>
      <c r="F233" t="s">
        <v>206</v>
      </c>
      <c r="G233">
        <f>IF(ISERROR(MATCH(AllProtiens!F233,Genomes!$C:$C,0)),0,1)</f>
        <v>1</v>
      </c>
      <c r="H233">
        <f>IF(ISERROR(MATCH(AllProtiens!A233,CoreProteinGroups!B:B,0)),0,1)</f>
        <v>1</v>
      </c>
      <c r="J233" s="6" t="s">
        <v>207</v>
      </c>
    </row>
    <row r="234" spans="1:10" x14ac:dyDescent="0.2">
      <c r="A234" s="1" t="s">
        <v>513</v>
      </c>
      <c r="B234" t="s">
        <v>514</v>
      </c>
      <c r="C234" t="s">
        <v>515</v>
      </c>
      <c r="D234" s="6" t="str">
        <f t="shared" si="3"/>
        <v>PROT:ATI21226.1</v>
      </c>
      <c r="E234" t="s">
        <v>516</v>
      </c>
      <c r="F234" t="s">
        <v>14</v>
      </c>
      <c r="G234">
        <f>IF(ISERROR(MATCH(AllProtiens!F234,Genomes!$C:$C,0)),0,1)</f>
        <v>1</v>
      </c>
      <c r="H234">
        <f>IF(ISERROR(MATCH(AllProtiens!A234,CoreProteinGroups!B:B,0)),0,1)</f>
        <v>1</v>
      </c>
      <c r="J234" s="6" t="s">
        <v>15</v>
      </c>
    </row>
    <row r="235" spans="1:10" x14ac:dyDescent="0.2">
      <c r="A235" s="1" t="s">
        <v>513</v>
      </c>
      <c r="B235" t="s">
        <v>514</v>
      </c>
      <c r="C235" t="s">
        <v>517</v>
      </c>
      <c r="D235" s="6" t="str">
        <f t="shared" si="3"/>
        <v>PROT:AWU47159.1</v>
      </c>
      <c r="E235" t="s">
        <v>516</v>
      </c>
      <c r="F235" t="s">
        <v>17</v>
      </c>
      <c r="G235">
        <f>IF(ISERROR(MATCH(AllProtiens!F235,Genomes!$C:$C,0)),0,1)</f>
        <v>1</v>
      </c>
      <c r="H235">
        <f>IF(ISERROR(MATCH(AllProtiens!A235,CoreProteinGroups!B:B,0)),0,1)</f>
        <v>1</v>
      </c>
      <c r="J235" s="6" t="s">
        <v>18</v>
      </c>
    </row>
    <row r="236" spans="1:10" x14ac:dyDescent="0.2">
      <c r="A236" s="1" t="s">
        <v>513</v>
      </c>
      <c r="B236" t="s">
        <v>514</v>
      </c>
      <c r="C236" t="s">
        <v>518</v>
      </c>
      <c r="D236" s="6" t="str">
        <f t="shared" si="3"/>
        <v>PROT:APG58334.1</v>
      </c>
      <c r="E236" t="s">
        <v>519</v>
      </c>
      <c r="F236" t="s">
        <v>21</v>
      </c>
      <c r="G236">
        <f>IF(ISERROR(MATCH(AllProtiens!F236,Genomes!$C:$C,0)),0,1)</f>
        <v>1</v>
      </c>
      <c r="H236">
        <f>IF(ISERROR(MATCH(AllProtiens!A236,CoreProteinGroups!B:B,0)),0,1)</f>
        <v>1</v>
      </c>
      <c r="J236" s="6" t="s">
        <v>22</v>
      </c>
    </row>
    <row r="237" spans="1:10" x14ac:dyDescent="0.2">
      <c r="A237" s="1" t="s">
        <v>513</v>
      </c>
      <c r="B237" t="s">
        <v>514</v>
      </c>
      <c r="C237" t="s">
        <v>520</v>
      </c>
      <c r="D237" s="6" t="str">
        <f t="shared" si="3"/>
        <v>PROT:ADT91143.1</v>
      </c>
      <c r="E237" t="s">
        <v>521</v>
      </c>
      <c r="F237" t="s">
        <v>25</v>
      </c>
      <c r="G237">
        <f>IF(ISERROR(MATCH(AllProtiens!F237,Genomes!$C:$C,0)),0,1)</f>
        <v>1</v>
      </c>
      <c r="H237">
        <f>IF(ISERROR(MATCH(AllProtiens!A237,CoreProteinGroups!B:B,0)),0,1)</f>
        <v>1</v>
      </c>
      <c r="J237" s="6" t="s">
        <v>26</v>
      </c>
    </row>
    <row r="238" spans="1:10" x14ac:dyDescent="0.2">
      <c r="A238" s="1" t="s">
        <v>513</v>
      </c>
      <c r="B238" t="s">
        <v>514</v>
      </c>
      <c r="C238" t="s">
        <v>522</v>
      </c>
      <c r="D238" s="6" t="str">
        <f t="shared" si="3"/>
        <v>PROT:ANS71203.1</v>
      </c>
      <c r="E238" t="s">
        <v>516</v>
      </c>
      <c r="F238" t="s">
        <v>28</v>
      </c>
      <c r="G238">
        <f>IF(ISERROR(MATCH(AllProtiens!F238,Genomes!$C:$C,0)),0,1)</f>
        <v>1</v>
      </c>
      <c r="H238">
        <f>IF(ISERROR(MATCH(AllProtiens!A238,CoreProteinGroups!B:B,0)),0,1)</f>
        <v>1</v>
      </c>
      <c r="J238" s="6" t="s">
        <v>29</v>
      </c>
    </row>
    <row r="239" spans="1:10" x14ac:dyDescent="0.2">
      <c r="A239" s="1" t="s">
        <v>513</v>
      </c>
      <c r="B239" t="s">
        <v>514</v>
      </c>
      <c r="C239" t="s">
        <v>523</v>
      </c>
      <c r="D239" s="6" t="str">
        <f t="shared" si="3"/>
        <v>PROT:AKR04250.1</v>
      </c>
      <c r="E239" t="s">
        <v>524</v>
      </c>
      <c r="F239" t="s">
        <v>32</v>
      </c>
      <c r="G239">
        <f>IF(ISERROR(MATCH(AllProtiens!F239,Genomes!$C:$C,0)),0,1)</f>
        <v>1</v>
      </c>
      <c r="H239">
        <f>IF(ISERROR(MATCH(AllProtiens!A239,CoreProteinGroups!B:B,0)),0,1)</f>
        <v>1</v>
      </c>
      <c r="J239" s="6" t="s">
        <v>33</v>
      </c>
    </row>
    <row r="240" spans="1:10" x14ac:dyDescent="0.2">
      <c r="A240" s="1" t="s">
        <v>513</v>
      </c>
      <c r="B240" t="s">
        <v>514</v>
      </c>
      <c r="C240" t="s">
        <v>525</v>
      </c>
      <c r="D240" s="6" t="str">
        <f t="shared" si="3"/>
        <v>PROT:CCD83296.1</v>
      </c>
      <c r="E240" t="s">
        <v>526</v>
      </c>
      <c r="F240" t="s">
        <v>36</v>
      </c>
      <c r="G240">
        <f>IF(ISERROR(MATCH(AllProtiens!F240,Genomes!$C:$C,0)),0,1)</f>
        <v>1</v>
      </c>
      <c r="H240">
        <f>IF(ISERROR(MATCH(AllProtiens!A240,CoreProteinGroups!B:B,0)),0,1)</f>
        <v>1</v>
      </c>
      <c r="J240" s="6" t="s">
        <v>37</v>
      </c>
    </row>
    <row r="241" spans="1:10" x14ac:dyDescent="0.2">
      <c r="A241" s="1" t="s">
        <v>513</v>
      </c>
      <c r="B241" t="s">
        <v>514</v>
      </c>
      <c r="C241" t="s">
        <v>527</v>
      </c>
      <c r="D241" s="6" t="str">
        <f t="shared" si="3"/>
        <v>PROT:ASK51322.1</v>
      </c>
      <c r="E241" t="s">
        <v>528</v>
      </c>
      <c r="F241" t="s">
        <v>40</v>
      </c>
      <c r="G241">
        <f>IF(ISERROR(MATCH(AllProtiens!F241,Genomes!$C:$C,0)),0,1)</f>
        <v>1</v>
      </c>
      <c r="H241">
        <f>IF(ISERROR(MATCH(AllProtiens!A241,CoreProteinGroups!B:B,0)),0,1)</f>
        <v>1</v>
      </c>
      <c r="J241" s="6" t="s">
        <v>41</v>
      </c>
    </row>
    <row r="242" spans="1:10" x14ac:dyDescent="0.2">
      <c r="A242" s="1" t="s">
        <v>513</v>
      </c>
      <c r="B242" t="s">
        <v>514</v>
      </c>
      <c r="C242" t="s">
        <v>529</v>
      </c>
      <c r="D242" s="6" t="str">
        <f t="shared" si="3"/>
        <v>PROT:AUD40297.1</v>
      </c>
      <c r="E242" t="s">
        <v>530</v>
      </c>
      <c r="F242" t="s">
        <v>43</v>
      </c>
      <c r="G242">
        <f>IF(ISERROR(MATCH(AllProtiens!F242,Genomes!$C:$C,0)),0,1)</f>
        <v>1</v>
      </c>
      <c r="H242">
        <f>IF(ISERROR(MATCH(AllProtiens!A242,CoreProteinGroups!B:B,0)),0,1)</f>
        <v>1</v>
      </c>
      <c r="J242" s="6" t="s">
        <v>44</v>
      </c>
    </row>
    <row r="243" spans="1:10" x14ac:dyDescent="0.2">
      <c r="A243" s="1" t="s">
        <v>513</v>
      </c>
      <c r="B243" t="s">
        <v>514</v>
      </c>
      <c r="C243" t="s">
        <v>531</v>
      </c>
      <c r="D243" s="6" t="str">
        <f t="shared" si="3"/>
        <v>PROT:AID46928.1</v>
      </c>
      <c r="E243" t="s">
        <v>532</v>
      </c>
      <c r="F243" t="s">
        <v>46</v>
      </c>
      <c r="G243">
        <f>IF(ISERROR(MATCH(AllProtiens!F243,Genomes!$C:$C,0)),0,1)</f>
        <v>1</v>
      </c>
      <c r="H243">
        <f>IF(ISERROR(MATCH(AllProtiens!A243,CoreProteinGroups!B:B,0)),0,1)</f>
        <v>1</v>
      </c>
      <c r="J243" s="6" t="s">
        <v>47</v>
      </c>
    </row>
    <row r="244" spans="1:10" x14ac:dyDescent="0.2">
      <c r="A244" s="1" t="s">
        <v>513</v>
      </c>
      <c r="B244" t="s">
        <v>514</v>
      </c>
      <c r="C244" t="s">
        <v>533</v>
      </c>
      <c r="D244" s="6" t="str">
        <f t="shared" si="3"/>
        <v>PROT:AID46696.1</v>
      </c>
      <c r="E244" t="s">
        <v>532</v>
      </c>
      <c r="F244" t="s">
        <v>49</v>
      </c>
      <c r="G244">
        <f>IF(ISERROR(MATCH(AllProtiens!F244,Genomes!$C:$C,0)),0,1)</f>
        <v>1</v>
      </c>
      <c r="H244">
        <f>IF(ISERROR(MATCH(AllProtiens!A244,CoreProteinGroups!B:B,0)),0,1)</f>
        <v>1</v>
      </c>
      <c r="J244" s="6" t="s">
        <v>50</v>
      </c>
    </row>
    <row r="245" spans="1:10" x14ac:dyDescent="0.2">
      <c r="A245" s="1" t="s">
        <v>513</v>
      </c>
      <c r="B245" t="s">
        <v>514</v>
      </c>
      <c r="C245" t="s">
        <v>534</v>
      </c>
      <c r="D245" s="6" t="str">
        <f t="shared" si="3"/>
        <v>PROT:ALA62513.1</v>
      </c>
      <c r="E245" t="s">
        <v>532</v>
      </c>
      <c r="F245" t="s">
        <v>53</v>
      </c>
      <c r="G245">
        <f>IF(ISERROR(MATCH(AllProtiens!F245,Genomes!$C:$C,0)),0,1)</f>
        <v>1</v>
      </c>
      <c r="H245">
        <f>IF(ISERROR(MATCH(AllProtiens!A245,CoreProteinGroups!B:B,0)),0,1)</f>
        <v>1</v>
      </c>
      <c r="J245" s="6" t="s">
        <v>54</v>
      </c>
    </row>
    <row r="246" spans="1:10" x14ac:dyDescent="0.2">
      <c r="A246" s="1" t="s">
        <v>513</v>
      </c>
      <c r="B246" t="s">
        <v>514</v>
      </c>
      <c r="C246" t="s">
        <v>535</v>
      </c>
      <c r="D246" s="6" t="str">
        <f t="shared" si="3"/>
        <v>PROT:AAR83609.1</v>
      </c>
      <c r="E246" t="s">
        <v>536</v>
      </c>
      <c r="F246" t="s">
        <v>57</v>
      </c>
      <c r="G246">
        <f>IF(ISERROR(MATCH(AllProtiens!F246,Genomes!$C:$C,0)),0,1)</f>
        <v>1</v>
      </c>
      <c r="H246">
        <f>IF(ISERROR(MATCH(AllProtiens!A246,CoreProteinGroups!B:B,0)),0,1)</f>
        <v>1</v>
      </c>
      <c r="J246" s="6" t="s">
        <v>58</v>
      </c>
    </row>
    <row r="247" spans="1:10" x14ac:dyDescent="0.2">
      <c r="A247" s="1" t="s">
        <v>513</v>
      </c>
      <c r="B247" t="s">
        <v>514</v>
      </c>
      <c r="C247" t="s">
        <v>537</v>
      </c>
      <c r="D247" s="6" t="str">
        <f t="shared" si="3"/>
        <v>PROT:AAF44533.1</v>
      </c>
      <c r="E247" t="s">
        <v>538</v>
      </c>
      <c r="F247" t="s">
        <v>61</v>
      </c>
      <c r="G247">
        <f>IF(ISERROR(MATCH(AllProtiens!F247,Genomes!$C:$C,0)),0,1)</f>
        <v>1</v>
      </c>
      <c r="H247">
        <f>IF(ISERROR(MATCH(AllProtiens!A247,CoreProteinGroups!B:B,0)),0,1)</f>
        <v>1</v>
      </c>
      <c r="J247" s="6" t="s">
        <v>62</v>
      </c>
    </row>
    <row r="248" spans="1:10" x14ac:dyDescent="0.2">
      <c r="A248" s="1" t="s">
        <v>513</v>
      </c>
      <c r="B248" t="s">
        <v>514</v>
      </c>
      <c r="C248" t="s">
        <v>539</v>
      </c>
      <c r="D248" s="6" t="str">
        <f t="shared" si="3"/>
        <v>PROT:AAK85077.1</v>
      </c>
      <c r="E248" t="s">
        <v>540</v>
      </c>
      <c r="F248" t="s">
        <v>65</v>
      </c>
      <c r="G248">
        <f>IF(ISERROR(MATCH(AllProtiens!F248,Genomes!$C:$C,0)),0,1)</f>
        <v>1</v>
      </c>
      <c r="H248">
        <f>IF(ISERROR(MATCH(AllProtiens!A248,CoreProteinGroups!B:B,0)),0,1)</f>
        <v>1</v>
      </c>
      <c r="J248" s="6" t="s">
        <v>66</v>
      </c>
    </row>
    <row r="249" spans="1:10" x14ac:dyDescent="0.2">
      <c r="A249" s="1" t="s">
        <v>513</v>
      </c>
      <c r="B249" t="s">
        <v>514</v>
      </c>
      <c r="C249" t="s">
        <v>541</v>
      </c>
      <c r="D249" s="6" t="str">
        <f t="shared" si="3"/>
        <v>PROT:AST09335.1</v>
      </c>
      <c r="E249" t="s">
        <v>526</v>
      </c>
      <c r="F249" t="s">
        <v>68</v>
      </c>
      <c r="G249">
        <f>IF(ISERROR(MATCH(AllProtiens!F249,Genomes!$C:$C,0)),0,1)</f>
        <v>1</v>
      </c>
      <c r="H249">
        <f>IF(ISERROR(MATCH(AllProtiens!A249,CoreProteinGroups!B:B,0)),0,1)</f>
        <v>1</v>
      </c>
      <c r="J249" s="6" t="s">
        <v>69</v>
      </c>
    </row>
    <row r="250" spans="1:10" x14ac:dyDescent="0.2">
      <c r="A250" s="1" t="s">
        <v>513</v>
      </c>
      <c r="B250" t="s">
        <v>514</v>
      </c>
      <c r="C250" t="s">
        <v>542</v>
      </c>
      <c r="D250" s="6" t="str">
        <f t="shared" si="3"/>
        <v>PROT:AEN03717.1</v>
      </c>
      <c r="E250" t="s">
        <v>526</v>
      </c>
      <c r="F250" t="s">
        <v>71</v>
      </c>
      <c r="G250">
        <f>IF(ISERROR(MATCH(AllProtiens!F250,Genomes!$C:$C,0)),0,1)</f>
        <v>1</v>
      </c>
      <c r="H250">
        <f>IF(ISERROR(MATCH(AllProtiens!A250,CoreProteinGroups!B:B,0)),0,1)</f>
        <v>1</v>
      </c>
      <c r="J250" s="6" t="s">
        <v>72</v>
      </c>
    </row>
    <row r="251" spans="1:10" x14ac:dyDescent="0.2">
      <c r="A251" s="1" t="s">
        <v>513</v>
      </c>
      <c r="B251" t="s">
        <v>514</v>
      </c>
      <c r="C251" t="s">
        <v>543</v>
      </c>
      <c r="D251" s="6" t="str">
        <f t="shared" si="3"/>
        <v>PROT:ABI99280.1</v>
      </c>
      <c r="E251" t="s">
        <v>532</v>
      </c>
      <c r="F251" t="s">
        <v>74</v>
      </c>
      <c r="G251">
        <f>IF(ISERROR(MATCH(AllProtiens!F251,Genomes!$C:$C,0)),0,1)</f>
        <v>1</v>
      </c>
      <c r="H251">
        <f>IF(ISERROR(MATCH(AllProtiens!A251,CoreProteinGroups!B:B,0)),0,1)</f>
        <v>1</v>
      </c>
      <c r="J251" s="6" t="s">
        <v>75</v>
      </c>
    </row>
    <row r="252" spans="1:10" x14ac:dyDescent="0.2">
      <c r="A252" s="1" t="s">
        <v>513</v>
      </c>
      <c r="B252" t="s">
        <v>514</v>
      </c>
      <c r="C252" t="s">
        <v>544</v>
      </c>
      <c r="D252" s="6" t="str">
        <f t="shared" si="3"/>
        <v>PROT:ABJ09038.1</v>
      </c>
      <c r="E252" t="s">
        <v>532</v>
      </c>
      <c r="F252" t="s">
        <v>77</v>
      </c>
      <c r="G252">
        <f>IF(ISERROR(MATCH(AllProtiens!F252,Genomes!$C:$C,0)),0,1)</f>
        <v>1</v>
      </c>
      <c r="H252">
        <f>IF(ISERROR(MATCH(AllProtiens!A252,CoreProteinGroups!B:B,0)),0,1)</f>
        <v>1</v>
      </c>
      <c r="J252" s="6" t="s">
        <v>78</v>
      </c>
    </row>
    <row r="253" spans="1:10" x14ac:dyDescent="0.2">
      <c r="A253" s="1" t="s">
        <v>513</v>
      </c>
      <c r="B253" t="s">
        <v>514</v>
      </c>
      <c r="C253" t="s">
        <v>545</v>
      </c>
      <c r="D253" s="6" t="str">
        <f t="shared" si="3"/>
        <v>PROT:AAF15002.1</v>
      </c>
      <c r="E253" t="s">
        <v>546</v>
      </c>
      <c r="F253" t="s">
        <v>81</v>
      </c>
      <c r="G253">
        <f>IF(ISERROR(MATCH(AllProtiens!F253,Genomes!$C:$C,0)),0,1)</f>
        <v>0</v>
      </c>
      <c r="H253">
        <f>IF(ISERROR(MATCH(AllProtiens!A253,CoreProteinGroups!B:B,0)),0,1)</f>
        <v>1</v>
      </c>
      <c r="J253" s="6" t="s">
        <v>82</v>
      </c>
    </row>
    <row r="254" spans="1:10" x14ac:dyDescent="0.2">
      <c r="A254" s="1" t="s">
        <v>513</v>
      </c>
      <c r="B254" t="s">
        <v>514</v>
      </c>
      <c r="C254" t="s">
        <v>547</v>
      </c>
      <c r="D254" s="6" t="str">
        <f t="shared" si="3"/>
        <v>PROT:AFU77378.1</v>
      </c>
      <c r="E254" t="s">
        <v>546</v>
      </c>
      <c r="F254" t="s">
        <v>81</v>
      </c>
      <c r="G254">
        <f>IF(ISERROR(MATCH(AllProtiens!F254,Genomes!$C:$C,0)),0,1)</f>
        <v>0</v>
      </c>
      <c r="H254">
        <f>IF(ISERROR(MATCH(AllProtiens!A254,CoreProteinGroups!B:B,0)),0,1)</f>
        <v>1</v>
      </c>
      <c r="J254" s="6" t="s">
        <v>82</v>
      </c>
    </row>
    <row r="255" spans="1:10" x14ac:dyDescent="0.2">
      <c r="A255" s="1" t="s">
        <v>513</v>
      </c>
      <c r="B255" t="s">
        <v>514</v>
      </c>
      <c r="C255" t="s">
        <v>548</v>
      </c>
      <c r="D255" s="6" t="str">
        <f t="shared" si="3"/>
        <v>PROT:AAF17997.1</v>
      </c>
      <c r="E255" t="s">
        <v>549</v>
      </c>
      <c r="F255" t="s">
        <v>86</v>
      </c>
      <c r="G255">
        <f>IF(ISERROR(MATCH(AllProtiens!F255,Genomes!$C:$C,0)),0,1)</f>
        <v>1</v>
      </c>
      <c r="H255">
        <f>IF(ISERROR(MATCH(AllProtiens!A255,CoreProteinGroups!B:B,0)),0,1)</f>
        <v>1</v>
      </c>
      <c r="J255" s="6" t="s">
        <v>87</v>
      </c>
    </row>
    <row r="256" spans="1:10" x14ac:dyDescent="0.2">
      <c r="A256" s="1" t="s">
        <v>513</v>
      </c>
      <c r="B256" t="s">
        <v>514</v>
      </c>
      <c r="C256" t="s">
        <v>550</v>
      </c>
      <c r="D256" s="6" t="str">
        <f t="shared" si="3"/>
        <v>PROT:AAC55257.1</v>
      </c>
      <c r="E256" t="s">
        <v>551</v>
      </c>
      <c r="F256" t="s">
        <v>90</v>
      </c>
      <c r="G256">
        <f>IF(ISERROR(MATCH(AllProtiens!F256,Genomes!$C:$C,0)),0,1)</f>
        <v>1</v>
      </c>
      <c r="H256">
        <f>IF(ISERROR(MATCH(AllProtiens!A256,CoreProteinGroups!B:B,0)),0,1)</f>
        <v>1</v>
      </c>
      <c r="J256" s="6" t="s">
        <v>91</v>
      </c>
    </row>
    <row r="257" spans="1:10" x14ac:dyDescent="0.2">
      <c r="A257" s="1" t="s">
        <v>513</v>
      </c>
      <c r="B257" t="s">
        <v>514</v>
      </c>
      <c r="C257" t="s">
        <v>552</v>
      </c>
      <c r="D257" s="6" t="str">
        <f t="shared" si="3"/>
        <v>PROT:AYN64709.1</v>
      </c>
      <c r="E257" t="s">
        <v>553</v>
      </c>
      <c r="F257" t="s">
        <v>94</v>
      </c>
      <c r="G257">
        <f>IF(ISERROR(MATCH(AllProtiens!F257,Genomes!$C:$C,0)),0,1)</f>
        <v>1</v>
      </c>
      <c r="H257">
        <f>IF(ISERROR(MATCH(AllProtiens!A257,CoreProteinGroups!B:B,0)),0,1)</f>
        <v>1</v>
      </c>
      <c r="J257" s="6" t="s">
        <v>95</v>
      </c>
    </row>
    <row r="258" spans="1:10" x14ac:dyDescent="0.2">
      <c r="A258" s="1" t="s">
        <v>513</v>
      </c>
      <c r="B258" t="s">
        <v>514</v>
      </c>
      <c r="C258" t="s">
        <v>554</v>
      </c>
      <c r="D258" s="6" t="str">
        <f t="shared" ref="D258:D321" si="4">HYPERLINK(_xlfn.CONCAT("https://www.ncbi.nlm.nih.gov/protein/",C258),_xlfn.CONCAT("PROT:",C258))</f>
        <v>PROT:AXN74940.1</v>
      </c>
      <c r="E258" t="s">
        <v>555</v>
      </c>
      <c r="F258" t="s">
        <v>97</v>
      </c>
      <c r="G258">
        <f>IF(ISERROR(MATCH(AllProtiens!F258,Genomes!$C:$C,0)),0,1)</f>
        <v>1</v>
      </c>
      <c r="H258">
        <f>IF(ISERROR(MATCH(AllProtiens!A258,CoreProteinGroups!B:B,0)),0,1)</f>
        <v>1</v>
      </c>
      <c r="J258" s="6" t="s">
        <v>98</v>
      </c>
    </row>
    <row r="259" spans="1:10" x14ac:dyDescent="0.2">
      <c r="A259" s="1" t="s">
        <v>513</v>
      </c>
      <c r="B259" t="s">
        <v>514</v>
      </c>
      <c r="C259" t="s">
        <v>556</v>
      </c>
      <c r="D259" s="6" t="str">
        <f t="shared" si="4"/>
        <v>PROT:ABH08251.1</v>
      </c>
      <c r="E259" t="s">
        <v>557</v>
      </c>
      <c r="F259" t="s">
        <v>101</v>
      </c>
      <c r="G259">
        <f>IF(ISERROR(MATCH(AllProtiens!F259,Genomes!$C:$C,0)),0,1)</f>
        <v>1</v>
      </c>
      <c r="H259">
        <f>IF(ISERROR(MATCH(AllProtiens!A259,CoreProteinGroups!B:B,0)),0,1)</f>
        <v>1</v>
      </c>
      <c r="J259" s="6" t="s">
        <v>102</v>
      </c>
    </row>
    <row r="260" spans="1:10" x14ac:dyDescent="0.2">
      <c r="A260" s="1" t="s">
        <v>513</v>
      </c>
      <c r="B260" t="s">
        <v>514</v>
      </c>
      <c r="C260" t="s">
        <v>558</v>
      </c>
      <c r="D260" s="6" t="str">
        <f t="shared" si="4"/>
        <v>PROT:AAG37633.1</v>
      </c>
      <c r="E260" t="s">
        <v>559</v>
      </c>
      <c r="F260" t="s">
        <v>105</v>
      </c>
      <c r="G260">
        <f>IF(ISERROR(MATCH(AllProtiens!F260,Genomes!$C:$C,0)),0,1)</f>
        <v>1</v>
      </c>
      <c r="H260">
        <f>IF(ISERROR(MATCH(AllProtiens!A260,CoreProteinGroups!B:B,0)),0,1)</f>
        <v>1</v>
      </c>
      <c r="J260" s="6" t="s">
        <v>106</v>
      </c>
    </row>
    <row r="261" spans="1:10" x14ac:dyDescent="0.2">
      <c r="A261" s="1" t="s">
        <v>513</v>
      </c>
      <c r="B261" t="s">
        <v>514</v>
      </c>
      <c r="C261" t="s">
        <v>560</v>
      </c>
      <c r="D261" s="6" t="str">
        <f t="shared" si="4"/>
        <v>PROT:AAL73849.1</v>
      </c>
      <c r="E261" t="s">
        <v>532</v>
      </c>
      <c r="F261" t="s">
        <v>109</v>
      </c>
      <c r="G261">
        <f>IF(ISERROR(MATCH(AllProtiens!F261,Genomes!$C:$C,0)),0,1)</f>
        <v>1</v>
      </c>
      <c r="H261">
        <f>IF(ISERROR(MATCH(AllProtiens!A261,CoreProteinGroups!B:B,0)),0,1)</f>
        <v>1</v>
      </c>
      <c r="J261" s="6" t="s">
        <v>110</v>
      </c>
    </row>
    <row r="262" spans="1:10" x14ac:dyDescent="0.2">
      <c r="A262" s="1" t="s">
        <v>513</v>
      </c>
      <c r="B262" t="s">
        <v>514</v>
      </c>
      <c r="C262" t="s">
        <v>561</v>
      </c>
      <c r="D262" s="6" t="str">
        <f t="shared" si="4"/>
        <v>PROT:AAM13599.1</v>
      </c>
      <c r="E262" t="s">
        <v>562</v>
      </c>
      <c r="F262" t="s">
        <v>113</v>
      </c>
      <c r="G262">
        <f>IF(ISERROR(MATCH(AllProtiens!F262,Genomes!$C:$C,0)),0,1)</f>
        <v>1</v>
      </c>
      <c r="H262">
        <f>IF(ISERROR(MATCH(AllProtiens!A262,CoreProteinGroups!B:B,0)),0,1)</f>
        <v>1</v>
      </c>
      <c r="J262" s="6" t="s">
        <v>114</v>
      </c>
    </row>
    <row r="263" spans="1:10" x14ac:dyDescent="0.2">
      <c r="A263" s="1" t="s">
        <v>513</v>
      </c>
      <c r="B263" t="s">
        <v>514</v>
      </c>
      <c r="C263" t="s">
        <v>563</v>
      </c>
      <c r="D263" s="6" t="str">
        <f t="shared" si="4"/>
        <v>PROT:AAM92432.1</v>
      </c>
      <c r="E263" t="s">
        <v>564</v>
      </c>
      <c r="F263" t="s">
        <v>117</v>
      </c>
      <c r="G263">
        <f>IF(ISERROR(MATCH(AllProtiens!F263,Genomes!$C:$C,0)),0,1)</f>
        <v>1</v>
      </c>
      <c r="H263">
        <f>IF(ISERROR(MATCH(AllProtiens!A263,CoreProteinGroups!B:B,0)),0,1)</f>
        <v>1</v>
      </c>
      <c r="J263" s="6" t="s">
        <v>118</v>
      </c>
    </row>
    <row r="264" spans="1:10" x14ac:dyDescent="0.2">
      <c r="A264" s="1" t="s">
        <v>513</v>
      </c>
      <c r="B264" t="s">
        <v>514</v>
      </c>
      <c r="C264" t="s">
        <v>565</v>
      </c>
      <c r="D264" s="6" t="str">
        <f t="shared" si="4"/>
        <v>PROT:AFH54691.1</v>
      </c>
      <c r="E264" t="s">
        <v>566</v>
      </c>
      <c r="F264" t="s">
        <v>120</v>
      </c>
      <c r="G264">
        <f>IF(ISERROR(MATCH(AllProtiens!F264,Genomes!$C:$C,0)),0,1)</f>
        <v>1</v>
      </c>
      <c r="H264">
        <f>IF(ISERROR(MATCH(AllProtiens!A264,CoreProteinGroups!B:B,0)),0,1)</f>
        <v>1</v>
      </c>
      <c r="J264" s="6" t="s">
        <v>121</v>
      </c>
    </row>
    <row r="265" spans="1:10" x14ac:dyDescent="0.2">
      <c r="A265" s="1" t="s">
        <v>513</v>
      </c>
      <c r="B265" t="s">
        <v>514</v>
      </c>
      <c r="C265" t="s">
        <v>567</v>
      </c>
      <c r="D265" s="6" t="str">
        <f t="shared" si="4"/>
        <v>PROT:AAL40593.1</v>
      </c>
      <c r="E265" t="s">
        <v>568</v>
      </c>
      <c r="F265" t="s">
        <v>124</v>
      </c>
      <c r="G265">
        <f>IF(ISERROR(MATCH(AllProtiens!F265,Genomes!$C:$C,0)),0,1)</f>
        <v>1</v>
      </c>
      <c r="H265">
        <f>IF(ISERROR(MATCH(AllProtiens!A265,CoreProteinGroups!B:B,0)),0,1)</f>
        <v>1</v>
      </c>
      <c r="J265" s="6" t="s">
        <v>125</v>
      </c>
    </row>
    <row r="266" spans="1:10" x14ac:dyDescent="0.2">
      <c r="A266" s="1" t="s">
        <v>513</v>
      </c>
      <c r="B266" t="s">
        <v>514</v>
      </c>
      <c r="C266" t="s">
        <v>569</v>
      </c>
      <c r="D266" s="6" t="str">
        <f t="shared" si="4"/>
        <v>PROT:AAX09231.1</v>
      </c>
      <c r="E266" t="s">
        <v>570</v>
      </c>
      <c r="F266" t="s">
        <v>128</v>
      </c>
      <c r="G266">
        <f>IF(ISERROR(MATCH(AllProtiens!F266,Genomes!$C:$C,0)),0,1)</f>
        <v>1</v>
      </c>
      <c r="H266">
        <f>IF(ISERROR(MATCH(AllProtiens!A266,CoreProteinGroups!B:B,0)),0,1)</f>
        <v>1</v>
      </c>
      <c r="J266" s="6" t="s">
        <v>129</v>
      </c>
    </row>
    <row r="267" spans="1:10" x14ac:dyDescent="0.2">
      <c r="A267" s="1" t="s">
        <v>513</v>
      </c>
      <c r="B267" t="s">
        <v>514</v>
      </c>
      <c r="C267" t="s">
        <v>571</v>
      </c>
      <c r="D267" s="6" t="str">
        <f t="shared" si="4"/>
        <v>PROT:AKJ93773.1</v>
      </c>
      <c r="E267" t="s">
        <v>572</v>
      </c>
      <c r="F267" t="s">
        <v>131</v>
      </c>
      <c r="G267">
        <f>IF(ISERROR(MATCH(AllProtiens!F267,Genomes!$C:$C,0)),0,1)</f>
        <v>1</v>
      </c>
      <c r="H267">
        <f>IF(ISERROR(MATCH(AllProtiens!A267,CoreProteinGroups!B:B,0)),0,1)</f>
        <v>1</v>
      </c>
      <c r="J267" s="6" t="s">
        <v>132</v>
      </c>
    </row>
    <row r="268" spans="1:10" x14ac:dyDescent="0.2">
      <c r="A268" s="1" t="s">
        <v>513</v>
      </c>
      <c r="B268" t="s">
        <v>514</v>
      </c>
      <c r="C268" t="s">
        <v>573</v>
      </c>
      <c r="D268" s="6" t="str">
        <f t="shared" si="4"/>
        <v>PROT:AOP31622.1</v>
      </c>
      <c r="E268" t="s">
        <v>516</v>
      </c>
      <c r="F268" t="s">
        <v>134</v>
      </c>
      <c r="G268">
        <f>IF(ISERROR(MATCH(AllProtiens!F268,Genomes!$C:$C,0)),0,1)</f>
        <v>1</v>
      </c>
      <c r="H268">
        <f>IF(ISERROR(MATCH(AllProtiens!A268,CoreProteinGroups!B:B,0)),0,1)</f>
        <v>1</v>
      </c>
      <c r="J268" s="6" t="s">
        <v>135</v>
      </c>
    </row>
    <row r="269" spans="1:10" x14ac:dyDescent="0.2">
      <c r="A269" s="1" t="s">
        <v>513</v>
      </c>
      <c r="B269" t="s">
        <v>514</v>
      </c>
      <c r="C269" t="s">
        <v>574</v>
      </c>
      <c r="D269" s="6" t="str">
        <f t="shared" si="4"/>
        <v>PROT:ABD97712.1</v>
      </c>
      <c r="E269" t="s">
        <v>526</v>
      </c>
      <c r="F269" t="s">
        <v>137</v>
      </c>
      <c r="G269">
        <f>IF(ISERROR(MATCH(AllProtiens!F269,Genomes!$C:$C,0)),0,1)</f>
        <v>1</v>
      </c>
      <c r="H269">
        <f>IF(ISERROR(MATCH(AllProtiens!A269,CoreProteinGroups!B:B,0)),0,1)</f>
        <v>1</v>
      </c>
      <c r="J269" s="6" t="s">
        <v>138</v>
      </c>
    </row>
    <row r="270" spans="1:10" x14ac:dyDescent="0.2">
      <c r="A270" s="1" t="s">
        <v>513</v>
      </c>
      <c r="B270" t="s">
        <v>514</v>
      </c>
      <c r="C270" t="s">
        <v>575</v>
      </c>
      <c r="D270" s="6" t="str">
        <f t="shared" si="4"/>
        <v>PROT:AAO89423.1</v>
      </c>
      <c r="E270" t="s">
        <v>526</v>
      </c>
      <c r="F270" t="s">
        <v>140</v>
      </c>
      <c r="G270">
        <f>IF(ISERROR(MATCH(AllProtiens!F270,Genomes!$C:$C,0)),0,1)</f>
        <v>1</v>
      </c>
      <c r="H270">
        <f>IF(ISERROR(MATCH(AllProtiens!A270,CoreProteinGroups!B:B,0)),0,1)</f>
        <v>1</v>
      </c>
      <c r="J270" s="6" t="s">
        <v>141</v>
      </c>
    </row>
    <row r="271" spans="1:10" x14ac:dyDescent="0.2">
      <c r="A271" s="1" t="s">
        <v>513</v>
      </c>
      <c r="B271" t="s">
        <v>514</v>
      </c>
      <c r="C271" t="s">
        <v>576</v>
      </c>
      <c r="D271" s="6" t="str">
        <f t="shared" si="4"/>
        <v>PROT:CAA49069.1</v>
      </c>
      <c r="E271" t="s">
        <v>473</v>
      </c>
      <c r="F271" t="s">
        <v>144</v>
      </c>
      <c r="G271">
        <f>IF(ISERROR(MATCH(AllProtiens!F271,Genomes!$C:$C,0)),0,1)</f>
        <v>1</v>
      </c>
      <c r="H271">
        <f>IF(ISERROR(MATCH(AllProtiens!A271,CoreProteinGroups!B:B,0)),0,1)</f>
        <v>1</v>
      </c>
      <c r="J271" s="6" t="s">
        <v>145</v>
      </c>
    </row>
    <row r="272" spans="1:10" x14ac:dyDescent="0.2">
      <c r="A272" s="1" t="s">
        <v>513</v>
      </c>
      <c r="B272" t="s">
        <v>514</v>
      </c>
      <c r="C272" t="s">
        <v>577</v>
      </c>
      <c r="D272" s="6" t="str">
        <f t="shared" si="4"/>
        <v>PROT:CAB54728.1</v>
      </c>
      <c r="E272" t="s">
        <v>578</v>
      </c>
      <c r="F272" t="s">
        <v>148</v>
      </c>
      <c r="G272">
        <f>IF(ISERROR(MATCH(AllProtiens!F272,Genomes!$C:$C,0)),0,1)</f>
        <v>1</v>
      </c>
      <c r="H272">
        <f>IF(ISERROR(MATCH(AllProtiens!A272,CoreProteinGroups!B:B,0)),0,1)</f>
        <v>1</v>
      </c>
      <c r="J272" s="6" t="s">
        <v>149</v>
      </c>
    </row>
    <row r="273" spans="1:10" x14ac:dyDescent="0.2">
      <c r="A273" s="1" t="s">
        <v>513</v>
      </c>
      <c r="B273" t="s">
        <v>514</v>
      </c>
      <c r="C273" t="s">
        <v>579</v>
      </c>
      <c r="D273" s="6" t="str">
        <f t="shared" si="4"/>
        <v>PROT:AOP31833.1</v>
      </c>
      <c r="E273" t="s">
        <v>516</v>
      </c>
      <c r="F273" t="s">
        <v>151</v>
      </c>
      <c r="G273">
        <f>IF(ISERROR(MATCH(AllProtiens!F273,Genomes!$C:$C,0)),0,1)</f>
        <v>1</v>
      </c>
      <c r="H273">
        <f>IF(ISERROR(MATCH(AllProtiens!A273,CoreProteinGroups!B:B,0)),0,1)</f>
        <v>1</v>
      </c>
      <c r="J273" s="6" t="s">
        <v>152</v>
      </c>
    </row>
    <row r="274" spans="1:10" x14ac:dyDescent="0.2">
      <c r="A274" s="1" t="s">
        <v>513</v>
      </c>
      <c r="B274" t="s">
        <v>514</v>
      </c>
      <c r="C274" t="s">
        <v>580</v>
      </c>
      <c r="D274" s="6" t="str">
        <f t="shared" si="4"/>
        <v>PROT:ASC55546.1</v>
      </c>
      <c r="E274" t="s">
        <v>581</v>
      </c>
      <c r="F274" t="s">
        <v>155</v>
      </c>
      <c r="G274">
        <f>IF(ISERROR(MATCH(AllProtiens!F274,Genomes!$C:$C,0)),0,1)</f>
        <v>1</v>
      </c>
      <c r="H274">
        <f>IF(ISERROR(MATCH(AllProtiens!A274,CoreProteinGroups!B:B,0)),0,1)</f>
        <v>1</v>
      </c>
      <c r="J274" s="6" t="s">
        <v>156</v>
      </c>
    </row>
    <row r="275" spans="1:10" x14ac:dyDescent="0.2">
      <c r="A275" s="1" t="s">
        <v>513</v>
      </c>
      <c r="B275" t="s">
        <v>514</v>
      </c>
      <c r="C275" t="s">
        <v>582</v>
      </c>
      <c r="D275" s="6" t="str">
        <f t="shared" si="4"/>
        <v>PROT:AAR98458.1</v>
      </c>
      <c r="E275" t="s">
        <v>583</v>
      </c>
      <c r="F275" t="s">
        <v>159</v>
      </c>
      <c r="G275">
        <f>IF(ISERROR(MATCH(AllProtiens!F275,Genomes!$C:$C,0)),0,1)</f>
        <v>1</v>
      </c>
      <c r="H275">
        <f>IF(ISERROR(MATCH(AllProtiens!A275,CoreProteinGroups!B:B,0)),0,1)</f>
        <v>1</v>
      </c>
      <c r="J275" s="6" t="s">
        <v>160</v>
      </c>
    </row>
    <row r="276" spans="1:10" x14ac:dyDescent="0.2">
      <c r="A276" s="1" t="s">
        <v>513</v>
      </c>
      <c r="B276" t="s">
        <v>514</v>
      </c>
      <c r="C276" t="s">
        <v>584</v>
      </c>
      <c r="D276" s="6" t="str">
        <f t="shared" si="4"/>
        <v>PROT:AAR98326.1</v>
      </c>
      <c r="E276" t="s">
        <v>583</v>
      </c>
      <c r="F276" t="s">
        <v>162</v>
      </c>
      <c r="G276">
        <f>IF(ISERROR(MATCH(AllProtiens!F276,Genomes!$C:$C,0)),0,1)</f>
        <v>1</v>
      </c>
      <c r="H276">
        <f>IF(ISERROR(MATCH(AllProtiens!A276,CoreProteinGroups!B:B,0)),0,1)</f>
        <v>1</v>
      </c>
      <c r="J276" s="6" t="s">
        <v>163</v>
      </c>
    </row>
    <row r="277" spans="1:10" x14ac:dyDescent="0.2">
      <c r="A277" s="1" t="s">
        <v>513</v>
      </c>
      <c r="B277" t="s">
        <v>514</v>
      </c>
      <c r="C277" t="s">
        <v>585</v>
      </c>
      <c r="D277" s="6" t="str">
        <f t="shared" si="4"/>
        <v>PROT:ABA00618.1</v>
      </c>
      <c r="E277" t="s">
        <v>586</v>
      </c>
      <c r="F277" t="s">
        <v>162</v>
      </c>
      <c r="G277">
        <f>IF(ISERROR(MATCH(AllProtiens!F277,Genomes!$C:$C,0)),0,1)</f>
        <v>1</v>
      </c>
      <c r="H277">
        <f>IF(ISERROR(MATCH(AllProtiens!A277,CoreProteinGroups!B:B,0)),0,1)</f>
        <v>1</v>
      </c>
      <c r="J277" s="6" t="s">
        <v>163</v>
      </c>
    </row>
    <row r="278" spans="1:10" x14ac:dyDescent="0.2">
      <c r="A278" s="1" t="s">
        <v>513</v>
      </c>
      <c r="B278" t="s">
        <v>514</v>
      </c>
      <c r="C278" t="s">
        <v>587</v>
      </c>
      <c r="D278" s="6" t="str">
        <f t="shared" si="4"/>
        <v>PROT:AIZ77352.1</v>
      </c>
      <c r="E278" t="s">
        <v>588</v>
      </c>
      <c r="F278" t="s">
        <v>167</v>
      </c>
      <c r="G278">
        <f>IF(ISERROR(MATCH(AllProtiens!F278,Genomes!$C:$C,0)),0,1)</f>
        <v>1</v>
      </c>
      <c r="H278">
        <f>IF(ISERROR(MATCH(AllProtiens!A278,CoreProteinGroups!B:B,0)),0,1)</f>
        <v>1</v>
      </c>
      <c r="J278" s="6" t="s">
        <v>168</v>
      </c>
    </row>
    <row r="279" spans="1:10" x14ac:dyDescent="0.2">
      <c r="A279" s="1" t="s">
        <v>513</v>
      </c>
      <c r="B279" t="s">
        <v>514</v>
      </c>
      <c r="C279" t="s">
        <v>589</v>
      </c>
      <c r="D279" s="6" t="str">
        <f t="shared" si="4"/>
        <v>PROT:ADC54003.1</v>
      </c>
      <c r="E279" t="s">
        <v>590</v>
      </c>
      <c r="F279" t="s">
        <v>170</v>
      </c>
      <c r="G279">
        <f>IF(ISERROR(MATCH(AllProtiens!F279,Genomes!$C:$C,0)),0,1)</f>
        <v>1</v>
      </c>
      <c r="H279">
        <f>IF(ISERROR(MATCH(AllProtiens!A279,CoreProteinGroups!B:B,0)),0,1)</f>
        <v>1</v>
      </c>
      <c r="J279" s="6" t="s">
        <v>171</v>
      </c>
    </row>
    <row r="280" spans="1:10" x14ac:dyDescent="0.2">
      <c r="A280" s="1" t="s">
        <v>513</v>
      </c>
      <c r="B280" t="s">
        <v>514</v>
      </c>
      <c r="C280" t="s">
        <v>591</v>
      </c>
      <c r="D280" s="6" t="str">
        <f t="shared" si="4"/>
        <v>PROT:AAL69852.1</v>
      </c>
      <c r="E280" t="s">
        <v>592</v>
      </c>
      <c r="F280" t="s">
        <v>174</v>
      </c>
      <c r="G280">
        <f>IF(ISERROR(MATCH(AllProtiens!F280,Genomes!$C:$C,0)),0,1)</f>
        <v>1</v>
      </c>
      <c r="H280">
        <f>IF(ISERROR(MATCH(AllProtiens!A280,CoreProteinGroups!B:B,0)),0,1)</f>
        <v>1</v>
      </c>
      <c r="J280" s="6" t="s">
        <v>175</v>
      </c>
    </row>
    <row r="281" spans="1:10" x14ac:dyDescent="0.2">
      <c r="A281" s="1" t="s">
        <v>513</v>
      </c>
      <c r="B281" t="s">
        <v>514</v>
      </c>
      <c r="C281" t="s">
        <v>593</v>
      </c>
      <c r="D281" s="6" t="str">
        <f t="shared" si="4"/>
        <v>PROT:CAC21354.1</v>
      </c>
      <c r="E281" t="s">
        <v>594</v>
      </c>
      <c r="F281" t="s">
        <v>178</v>
      </c>
      <c r="G281">
        <f>IF(ISERROR(MATCH(AllProtiens!F281,Genomes!$C:$C,0)),0,1)</f>
        <v>1</v>
      </c>
      <c r="H281">
        <f>IF(ISERROR(MATCH(AllProtiens!A281,CoreProteinGroups!B:B,0)),0,1)</f>
        <v>1</v>
      </c>
      <c r="J281" s="6" t="s">
        <v>179</v>
      </c>
    </row>
    <row r="282" spans="1:10" x14ac:dyDescent="0.2">
      <c r="A282" s="1" t="s">
        <v>513</v>
      </c>
      <c r="B282" t="s">
        <v>514</v>
      </c>
      <c r="C282" t="s">
        <v>595</v>
      </c>
      <c r="D282" s="6" t="str">
        <f t="shared" si="4"/>
        <v>PROT:AAR07472.1</v>
      </c>
      <c r="E282" t="s">
        <v>596</v>
      </c>
      <c r="F282" t="s">
        <v>182</v>
      </c>
      <c r="G282">
        <f>IF(ISERROR(MATCH(AllProtiens!F282,Genomes!$C:$C,0)),0,1)</f>
        <v>1</v>
      </c>
      <c r="H282">
        <f>IF(ISERROR(MATCH(AllProtiens!A282,CoreProteinGroups!B:B,0)),0,1)</f>
        <v>1</v>
      </c>
      <c r="J282" s="6" t="s">
        <v>183</v>
      </c>
    </row>
    <row r="283" spans="1:10" x14ac:dyDescent="0.2">
      <c r="A283" s="1" t="s">
        <v>513</v>
      </c>
      <c r="B283" t="s">
        <v>514</v>
      </c>
      <c r="C283" t="s">
        <v>597</v>
      </c>
      <c r="D283" s="6" t="str">
        <f t="shared" si="4"/>
        <v>PROT:AAC97782.1</v>
      </c>
      <c r="E283" t="s">
        <v>598</v>
      </c>
      <c r="F283" t="s">
        <v>186</v>
      </c>
      <c r="G283">
        <f>IF(ISERROR(MATCH(AllProtiens!F283,Genomes!$C:$C,0)),0,1)</f>
        <v>1</v>
      </c>
      <c r="H283">
        <f>IF(ISERROR(MATCH(AllProtiens!A283,CoreProteinGroups!B:B,0)),0,1)</f>
        <v>1</v>
      </c>
      <c r="J283" s="6" t="s">
        <v>187</v>
      </c>
    </row>
    <row r="284" spans="1:10" x14ac:dyDescent="0.2">
      <c r="A284" s="1" t="s">
        <v>513</v>
      </c>
      <c r="B284" t="s">
        <v>514</v>
      </c>
      <c r="C284" t="s">
        <v>599</v>
      </c>
      <c r="D284" s="6" t="str">
        <f t="shared" si="4"/>
        <v>PROT:BAO49445.1</v>
      </c>
      <c r="E284" t="s">
        <v>600</v>
      </c>
      <c r="F284" t="s">
        <v>190</v>
      </c>
      <c r="G284">
        <f>IF(ISERROR(MATCH(AllProtiens!F284,Genomes!$C:$C,0)),0,1)</f>
        <v>1</v>
      </c>
      <c r="H284">
        <f>IF(ISERROR(MATCH(AllProtiens!A284,CoreProteinGroups!B:B,0)),0,1)</f>
        <v>1</v>
      </c>
      <c r="J284" s="6" t="s">
        <v>191</v>
      </c>
    </row>
    <row r="285" spans="1:10" x14ac:dyDescent="0.2">
      <c r="A285" s="1" t="s">
        <v>513</v>
      </c>
      <c r="B285" t="s">
        <v>514</v>
      </c>
      <c r="C285" t="s">
        <v>601</v>
      </c>
      <c r="D285" s="6" t="str">
        <f t="shared" si="4"/>
        <v>PROT:CCU55389.1</v>
      </c>
      <c r="E285" t="s">
        <v>586</v>
      </c>
      <c r="F285" t="s">
        <v>193</v>
      </c>
      <c r="G285">
        <f>IF(ISERROR(MATCH(AllProtiens!F285,Genomes!$C:$C,0)),0,1)</f>
        <v>1</v>
      </c>
      <c r="H285">
        <f>IF(ISERROR(MATCH(AllProtiens!A285,CoreProteinGroups!B:B,0)),0,1)</f>
        <v>1</v>
      </c>
      <c r="J285" s="6" t="s">
        <v>194</v>
      </c>
    </row>
    <row r="286" spans="1:10" x14ac:dyDescent="0.2">
      <c r="A286" s="1" t="s">
        <v>513</v>
      </c>
      <c r="B286" t="s">
        <v>514</v>
      </c>
      <c r="C286" t="s">
        <v>602</v>
      </c>
      <c r="D286" s="6" t="str">
        <f t="shared" si="4"/>
        <v>PROT:AAG02772.1</v>
      </c>
      <c r="E286" t="s">
        <v>603</v>
      </c>
      <c r="F286" t="s">
        <v>197</v>
      </c>
      <c r="G286">
        <f>IF(ISERROR(MATCH(AllProtiens!F286,Genomes!$C:$C,0)),0,1)</f>
        <v>1</v>
      </c>
      <c r="H286">
        <f>IF(ISERROR(MATCH(AllProtiens!A286,CoreProteinGroups!B:B,0)),0,1)</f>
        <v>1</v>
      </c>
      <c r="J286" s="6" t="s">
        <v>198</v>
      </c>
    </row>
    <row r="287" spans="1:10" x14ac:dyDescent="0.2">
      <c r="A287" s="1" t="s">
        <v>513</v>
      </c>
      <c r="B287" t="s">
        <v>514</v>
      </c>
      <c r="C287" t="s">
        <v>604</v>
      </c>
      <c r="D287" s="6" t="str">
        <f t="shared" si="4"/>
        <v>PROT:CCU55697.1</v>
      </c>
      <c r="E287" t="s">
        <v>586</v>
      </c>
      <c r="F287" t="s">
        <v>200</v>
      </c>
      <c r="G287">
        <f>IF(ISERROR(MATCH(AllProtiens!F287,Genomes!$C:$C,0)),0,1)</f>
        <v>1</v>
      </c>
      <c r="H287">
        <f>IF(ISERROR(MATCH(AllProtiens!A287,CoreProteinGroups!B:B,0)),0,1)</f>
        <v>1</v>
      </c>
      <c r="J287" s="6" t="s">
        <v>201</v>
      </c>
    </row>
    <row r="288" spans="1:10" x14ac:dyDescent="0.2">
      <c r="A288" s="1" t="s">
        <v>513</v>
      </c>
      <c r="B288" t="s">
        <v>514</v>
      </c>
      <c r="C288" t="s">
        <v>605</v>
      </c>
      <c r="D288" s="6" t="str">
        <f t="shared" si="4"/>
        <v>PROT:CCU55999.1</v>
      </c>
      <c r="E288" t="s">
        <v>586</v>
      </c>
      <c r="F288" t="s">
        <v>203</v>
      </c>
      <c r="G288">
        <f>IF(ISERROR(MATCH(AllProtiens!F288,Genomes!$C:$C,0)),0,1)</f>
        <v>1</v>
      </c>
      <c r="H288">
        <f>IF(ISERROR(MATCH(AllProtiens!A288,CoreProteinGroups!B:B,0)),0,1)</f>
        <v>1</v>
      </c>
      <c r="J288" s="6" t="s">
        <v>204</v>
      </c>
    </row>
    <row r="289" spans="1:10" x14ac:dyDescent="0.2">
      <c r="A289" s="1" t="s">
        <v>513</v>
      </c>
      <c r="B289" t="s">
        <v>514</v>
      </c>
      <c r="C289" t="s">
        <v>606</v>
      </c>
      <c r="D289" s="6" t="str">
        <f t="shared" si="4"/>
        <v>PROT:CCU56292.1</v>
      </c>
      <c r="E289" t="s">
        <v>586</v>
      </c>
      <c r="F289" t="s">
        <v>206</v>
      </c>
      <c r="G289">
        <f>IF(ISERROR(MATCH(AllProtiens!F289,Genomes!$C:$C,0)),0,1)</f>
        <v>1</v>
      </c>
      <c r="H289">
        <f>IF(ISERROR(MATCH(AllProtiens!A289,CoreProteinGroups!B:B,0)),0,1)</f>
        <v>1</v>
      </c>
      <c r="J289" s="6" t="s">
        <v>207</v>
      </c>
    </row>
    <row r="290" spans="1:10" x14ac:dyDescent="0.2">
      <c r="A290" s="1" t="s">
        <v>513</v>
      </c>
      <c r="B290" t="s">
        <v>514</v>
      </c>
      <c r="C290" t="s">
        <v>607</v>
      </c>
      <c r="D290" s="6" t="str">
        <f t="shared" si="4"/>
        <v>PROT:NP_659688.1</v>
      </c>
      <c r="E290" t="s">
        <v>532</v>
      </c>
      <c r="F290" t="s">
        <v>210</v>
      </c>
      <c r="G290">
        <f>IF(ISERROR(MATCH(AllProtiens!F290,Genomes!$C:$C,0)),0,1)</f>
        <v>1</v>
      </c>
      <c r="H290">
        <f>IF(ISERROR(MATCH(AllProtiens!A290,CoreProteinGroups!B:B,0)),0,1)</f>
        <v>1</v>
      </c>
      <c r="J290" s="6" t="s">
        <v>211</v>
      </c>
    </row>
    <row r="291" spans="1:10" x14ac:dyDescent="0.2">
      <c r="A291" s="1" t="s">
        <v>513</v>
      </c>
      <c r="B291" t="s">
        <v>514</v>
      </c>
      <c r="C291" t="s">
        <v>608</v>
      </c>
      <c r="D291" s="6" t="str">
        <f t="shared" si="4"/>
        <v>PROT:YP_001293307.1</v>
      </c>
      <c r="E291" t="s">
        <v>609</v>
      </c>
      <c r="F291" t="s">
        <v>214</v>
      </c>
      <c r="G291">
        <f>IF(ISERROR(MATCH(AllProtiens!F291,Genomes!$C:$C,0)),0,1)</f>
        <v>1</v>
      </c>
      <c r="H291">
        <f>IF(ISERROR(MATCH(AllProtiens!A291,CoreProteinGroups!B:B,0)),0,1)</f>
        <v>1</v>
      </c>
      <c r="J291" s="6" t="s">
        <v>215</v>
      </c>
    </row>
    <row r="292" spans="1:10" x14ac:dyDescent="0.2">
      <c r="A292" s="1" t="s">
        <v>610</v>
      </c>
      <c r="B292" t="s">
        <v>611</v>
      </c>
      <c r="C292" t="s">
        <v>612</v>
      </c>
      <c r="D292" s="6" t="str">
        <f t="shared" si="4"/>
        <v>PROT:ATI21231.1</v>
      </c>
      <c r="E292" t="s">
        <v>613</v>
      </c>
      <c r="F292" t="s">
        <v>14</v>
      </c>
      <c r="G292">
        <f>IF(ISERROR(MATCH(AllProtiens!F292,Genomes!$C:$C,0)),0,1)</f>
        <v>1</v>
      </c>
      <c r="H292">
        <f>IF(ISERROR(MATCH(AllProtiens!A292,CoreProteinGroups!B:B,0)),0,1)</f>
        <v>1</v>
      </c>
      <c r="J292" s="6" t="s">
        <v>15</v>
      </c>
    </row>
    <row r="293" spans="1:10" x14ac:dyDescent="0.2">
      <c r="A293" s="1" t="s">
        <v>610</v>
      </c>
      <c r="B293" t="s">
        <v>611</v>
      </c>
      <c r="C293" t="s">
        <v>614</v>
      </c>
      <c r="D293" s="6" t="str">
        <f t="shared" si="4"/>
        <v>PROT:AWU47163.1</v>
      </c>
      <c r="E293" t="s">
        <v>613</v>
      </c>
      <c r="F293" t="s">
        <v>17</v>
      </c>
      <c r="G293">
        <f>IF(ISERROR(MATCH(AllProtiens!F293,Genomes!$C:$C,0)),0,1)</f>
        <v>1</v>
      </c>
      <c r="H293">
        <f>IF(ISERROR(MATCH(AllProtiens!A293,CoreProteinGroups!B:B,0)),0,1)</f>
        <v>1</v>
      </c>
      <c r="J293" s="6" t="s">
        <v>18</v>
      </c>
    </row>
    <row r="294" spans="1:10" x14ac:dyDescent="0.2">
      <c r="A294" s="1" t="s">
        <v>610</v>
      </c>
      <c r="B294" t="s">
        <v>611</v>
      </c>
      <c r="C294" t="s">
        <v>615</v>
      </c>
      <c r="D294" s="6" t="str">
        <f t="shared" si="4"/>
        <v>PROT:APG58336.1</v>
      </c>
      <c r="E294" t="s">
        <v>616</v>
      </c>
      <c r="F294" t="s">
        <v>21</v>
      </c>
      <c r="G294">
        <f>IF(ISERROR(MATCH(AllProtiens!F294,Genomes!$C:$C,0)),0,1)</f>
        <v>1</v>
      </c>
      <c r="H294">
        <f>IF(ISERROR(MATCH(AllProtiens!A294,CoreProteinGroups!B:B,0)),0,1)</f>
        <v>1</v>
      </c>
      <c r="J294" s="6" t="s">
        <v>22</v>
      </c>
    </row>
    <row r="295" spans="1:10" x14ac:dyDescent="0.2">
      <c r="A295" s="1" t="s">
        <v>610</v>
      </c>
      <c r="B295" t="s">
        <v>611</v>
      </c>
      <c r="C295" t="s">
        <v>617</v>
      </c>
      <c r="D295" s="6" t="str">
        <f t="shared" si="4"/>
        <v>PROT:ADT91145.1</v>
      </c>
      <c r="E295" t="s">
        <v>618</v>
      </c>
      <c r="F295" t="s">
        <v>25</v>
      </c>
      <c r="G295">
        <f>IF(ISERROR(MATCH(AllProtiens!F295,Genomes!$C:$C,0)),0,1)</f>
        <v>1</v>
      </c>
      <c r="H295">
        <f>IF(ISERROR(MATCH(AllProtiens!A295,CoreProteinGroups!B:B,0)),0,1)</f>
        <v>1</v>
      </c>
      <c r="J295" s="6" t="s">
        <v>26</v>
      </c>
    </row>
    <row r="296" spans="1:10" x14ac:dyDescent="0.2">
      <c r="A296" s="1" t="s">
        <v>610</v>
      </c>
      <c r="B296" t="s">
        <v>611</v>
      </c>
      <c r="C296" t="s">
        <v>619</v>
      </c>
      <c r="D296" s="6" t="str">
        <f t="shared" si="4"/>
        <v>PROT:ANS71207.1</v>
      </c>
      <c r="E296" t="s">
        <v>620</v>
      </c>
      <c r="F296" t="s">
        <v>28</v>
      </c>
      <c r="G296">
        <f>IF(ISERROR(MATCH(AllProtiens!F296,Genomes!$C:$C,0)),0,1)</f>
        <v>1</v>
      </c>
      <c r="H296">
        <f>IF(ISERROR(MATCH(AllProtiens!A296,CoreProteinGroups!B:B,0)),0,1)</f>
        <v>1</v>
      </c>
      <c r="J296" s="6" t="s">
        <v>29</v>
      </c>
    </row>
    <row r="297" spans="1:10" x14ac:dyDescent="0.2">
      <c r="A297" s="1" t="s">
        <v>610</v>
      </c>
      <c r="B297" t="s">
        <v>611</v>
      </c>
      <c r="C297" t="s">
        <v>621</v>
      </c>
      <c r="D297" s="6" t="str">
        <f t="shared" si="4"/>
        <v>PROT:AKR04251.1</v>
      </c>
      <c r="E297" t="s">
        <v>622</v>
      </c>
      <c r="F297" t="s">
        <v>32</v>
      </c>
      <c r="G297">
        <f>IF(ISERROR(MATCH(AllProtiens!F297,Genomes!$C:$C,0)),0,1)</f>
        <v>1</v>
      </c>
      <c r="H297">
        <f>IF(ISERROR(MATCH(AllProtiens!A297,CoreProteinGroups!B:B,0)),0,1)</f>
        <v>1</v>
      </c>
      <c r="J297" s="6" t="s">
        <v>33</v>
      </c>
    </row>
    <row r="298" spans="1:10" x14ac:dyDescent="0.2">
      <c r="A298" s="1" t="s">
        <v>610</v>
      </c>
      <c r="B298" t="s">
        <v>611</v>
      </c>
      <c r="C298" t="s">
        <v>623</v>
      </c>
      <c r="D298" s="6" t="str">
        <f t="shared" si="4"/>
        <v>PROT:CCD83300.1</v>
      </c>
      <c r="E298" t="s">
        <v>624</v>
      </c>
      <c r="F298" t="s">
        <v>36</v>
      </c>
      <c r="G298">
        <f>IF(ISERROR(MATCH(AllProtiens!F298,Genomes!$C:$C,0)),0,1)</f>
        <v>1</v>
      </c>
      <c r="H298">
        <f>IF(ISERROR(MATCH(AllProtiens!A298,CoreProteinGroups!B:B,0)),0,1)</f>
        <v>1</v>
      </c>
      <c r="J298" s="6" t="s">
        <v>37</v>
      </c>
    </row>
    <row r="299" spans="1:10" x14ac:dyDescent="0.2">
      <c r="A299" s="1" t="s">
        <v>610</v>
      </c>
      <c r="B299" t="s">
        <v>611</v>
      </c>
      <c r="C299" t="s">
        <v>625</v>
      </c>
      <c r="D299" s="6" t="str">
        <f t="shared" si="4"/>
        <v>PROT:ASK51326.1</v>
      </c>
      <c r="E299" t="s">
        <v>626</v>
      </c>
      <c r="F299" t="s">
        <v>40</v>
      </c>
      <c r="G299">
        <f>IF(ISERROR(MATCH(AllProtiens!F299,Genomes!$C:$C,0)),0,1)</f>
        <v>1</v>
      </c>
      <c r="H299">
        <f>IF(ISERROR(MATCH(AllProtiens!A299,CoreProteinGroups!B:B,0)),0,1)</f>
        <v>1</v>
      </c>
      <c r="J299" s="6" t="s">
        <v>41</v>
      </c>
    </row>
    <row r="300" spans="1:10" x14ac:dyDescent="0.2">
      <c r="A300" s="1" t="s">
        <v>610</v>
      </c>
      <c r="B300" t="s">
        <v>611</v>
      </c>
      <c r="C300" t="s">
        <v>627</v>
      </c>
      <c r="D300" s="6" t="str">
        <f t="shared" si="4"/>
        <v>PROT:AUD40300.1</v>
      </c>
      <c r="E300" t="s">
        <v>628</v>
      </c>
      <c r="F300" t="s">
        <v>43</v>
      </c>
      <c r="G300">
        <f>IF(ISERROR(MATCH(AllProtiens!F300,Genomes!$C:$C,0)),0,1)</f>
        <v>1</v>
      </c>
      <c r="H300">
        <f>IF(ISERROR(MATCH(AllProtiens!A300,CoreProteinGroups!B:B,0)),0,1)</f>
        <v>1</v>
      </c>
      <c r="J300" s="6" t="s">
        <v>44</v>
      </c>
    </row>
    <row r="301" spans="1:10" x14ac:dyDescent="0.2">
      <c r="A301" s="1" t="s">
        <v>610</v>
      </c>
      <c r="B301" t="s">
        <v>611</v>
      </c>
      <c r="C301" t="s">
        <v>629</v>
      </c>
      <c r="D301" s="6" t="str">
        <f t="shared" si="4"/>
        <v>PROT:AID46931.1</v>
      </c>
      <c r="E301" t="s">
        <v>630</v>
      </c>
      <c r="F301" t="s">
        <v>46</v>
      </c>
      <c r="G301">
        <f>IF(ISERROR(MATCH(AllProtiens!F301,Genomes!$C:$C,0)),0,1)</f>
        <v>1</v>
      </c>
      <c r="H301">
        <f>IF(ISERROR(MATCH(AllProtiens!A301,CoreProteinGroups!B:B,0)),0,1)</f>
        <v>1</v>
      </c>
      <c r="J301" s="6" t="s">
        <v>47</v>
      </c>
    </row>
    <row r="302" spans="1:10" x14ac:dyDescent="0.2">
      <c r="A302" s="1" t="s">
        <v>610</v>
      </c>
      <c r="B302" t="s">
        <v>611</v>
      </c>
      <c r="C302" t="s">
        <v>631</v>
      </c>
      <c r="D302" s="6" t="str">
        <f t="shared" si="4"/>
        <v>PROT:AID46699.1</v>
      </c>
      <c r="E302" t="s">
        <v>632</v>
      </c>
      <c r="F302" t="s">
        <v>49</v>
      </c>
      <c r="G302">
        <f>IF(ISERROR(MATCH(AllProtiens!F302,Genomes!$C:$C,0)),0,1)</f>
        <v>1</v>
      </c>
      <c r="H302">
        <f>IF(ISERROR(MATCH(AllProtiens!A302,CoreProteinGroups!B:B,0)),0,1)</f>
        <v>1</v>
      </c>
      <c r="J302" s="6" t="s">
        <v>50</v>
      </c>
    </row>
    <row r="303" spans="1:10" x14ac:dyDescent="0.2">
      <c r="A303" s="1" t="s">
        <v>610</v>
      </c>
      <c r="B303" t="s">
        <v>611</v>
      </c>
      <c r="C303" t="s">
        <v>633</v>
      </c>
      <c r="D303" s="6" t="str">
        <f t="shared" si="4"/>
        <v>PROT:ALA62516.1</v>
      </c>
      <c r="E303" t="s">
        <v>333</v>
      </c>
      <c r="F303" t="s">
        <v>53</v>
      </c>
      <c r="G303">
        <f>IF(ISERROR(MATCH(AllProtiens!F303,Genomes!$C:$C,0)),0,1)</f>
        <v>1</v>
      </c>
      <c r="H303">
        <f>IF(ISERROR(MATCH(AllProtiens!A303,CoreProteinGroups!B:B,0)),0,1)</f>
        <v>1</v>
      </c>
      <c r="J303" s="6" t="s">
        <v>54</v>
      </c>
    </row>
    <row r="304" spans="1:10" x14ac:dyDescent="0.2">
      <c r="A304" s="1" t="s">
        <v>610</v>
      </c>
      <c r="B304" t="s">
        <v>611</v>
      </c>
      <c r="C304" t="s">
        <v>634</v>
      </c>
      <c r="D304" s="6" t="str">
        <f t="shared" si="4"/>
        <v>PROT:AAR83612.1</v>
      </c>
      <c r="E304" t="s">
        <v>635</v>
      </c>
      <c r="F304" t="s">
        <v>57</v>
      </c>
      <c r="G304">
        <f>IF(ISERROR(MATCH(AllProtiens!F304,Genomes!$C:$C,0)),0,1)</f>
        <v>1</v>
      </c>
      <c r="H304">
        <f>IF(ISERROR(MATCH(AllProtiens!A304,CoreProteinGroups!B:B,0)),0,1)</f>
        <v>1</v>
      </c>
      <c r="J304" s="6" t="s">
        <v>58</v>
      </c>
    </row>
    <row r="305" spans="1:10" x14ac:dyDescent="0.2">
      <c r="A305" s="1" t="s">
        <v>610</v>
      </c>
      <c r="B305" t="s">
        <v>611</v>
      </c>
      <c r="C305" t="s">
        <v>636</v>
      </c>
      <c r="D305" s="6" t="str">
        <f t="shared" si="4"/>
        <v>PROT:AAF44536.1</v>
      </c>
      <c r="E305" t="s">
        <v>637</v>
      </c>
      <c r="F305" t="s">
        <v>61</v>
      </c>
      <c r="G305">
        <f>IF(ISERROR(MATCH(AllProtiens!F305,Genomes!$C:$C,0)),0,1)</f>
        <v>1</v>
      </c>
      <c r="H305">
        <f>IF(ISERROR(MATCH(AllProtiens!A305,CoreProteinGroups!B:B,0)),0,1)</f>
        <v>1</v>
      </c>
      <c r="J305" s="6" t="s">
        <v>62</v>
      </c>
    </row>
    <row r="306" spans="1:10" x14ac:dyDescent="0.2">
      <c r="A306" s="1" t="s">
        <v>610</v>
      </c>
      <c r="B306" t="s">
        <v>611</v>
      </c>
      <c r="C306" t="s">
        <v>638</v>
      </c>
      <c r="D306" s="6" t="str">
        <f t="shared" si="4"/>
        <v>PROT:AAK85079.1</v>
      </c>
      <c r="E306" t="s">
        <v>639</v>
      </c>
      <c r="F306" t="s">
        <v>65</v>
      </c>
      <c r="G306">
        <f>IF(ISERROR(MATCH(AllProtiens!F306,Genomes!$C:$C,0)),0,1)</f>
        <v>1</v>
      </c>
      <c r="H306">
        <f>IF(ISERROR(MATCH(AllProtiens!A306,CoreProteinGroups!B:B,0)),0,1)</f>
        <v>1</v>
      </c>
      <c r="J306" s="6" t="s">
        <v>66</v>
      </c>
    </row>
    <row r="307" spans="1:10" x14ac:dyDescent="0.2">
      <c r="A307" s="1" t="s">
        <v>610</v>
      </c>
      <c r="B307" t="s">
        <v>611</v>
      </c>
      <c r="C307" t="s">
        <v>640</v>
      </c>
      <c r="D307" s="6" t="str">
        <f t="shared" si="4"/>
        <v>PROT:AST09339.1</v>
      </c>
      <c r="E307" t="s">
        <v>641</v>
      </c>
      <c r="F307" t="s">
        <v>68</v>
      </c>
      <c r="G307">
        <f>IF(ISERROR(MATCH(AllProtiens!F307,Genomes!$C:$C,0)),0,1)</f>
        <v>1</v>
      </c>
      <c r="H307">
        <f>IF(ISERROR(MATCH(AllProtiens!A307,CoreProteinGroups!B:B,0)),0,1)</f>
        <v>1</v>
      </c>
      <c r="J307" s="6" t="s">
        <v>69</v>
      </c>
    </row>
    <row r="308" spans="1:10" x14ac:dyDescent="0.2">
      <c r="A308" s="1" t="s">
        <v>610</v>
      </c>
      <c r="B308" t="s">
        <v>611</v>
      </c>
      <c r="C308" t="s">
        <v>642</v>
      </c>
      <c r="D308" s="6" t="str">
        <f t="shared" si="4"/>
        <v>PROT:AEN03721.1</v>
      </c>
      <c r="E308" t="s">
        <v>641</v>
      </c>
      <c r="F308" t="s">
        <v>71</v>
      </c>
      <c r="G308">
        <f>IF(ISERROR(MATCH(AllProtiens!F308,Genomes!$C:$C,0)),0,1)</f>
        <v>1</v>
      </c>
      <c r="H308">
        <f>IF(ISERROR(MATCH(AllProtiens!A308,CoreProteinGroups!B:B,0)),0,1)</f>
        <v>1</v>
      </c>
      <c r="J308" s="6" t="s">
        <v>72</v>
      </c>
    </row>
    <row r="309" spans="1:10" x14ac:dyDescent="0.2">
      <c r="A309" s="1" t="s">
        <v>610</v>
      </c>
      <c r="B309" t="s">
        <v>611</v>
      </c>
      <c r="C309" t="s">
        <v>643</v>
      </c>
      <c r="D309" s="6" t="str">
        <f t="shared" si="4"/>
        <v>PROT:ABI99282.1</v>
      </c>
      <c r="E309" t="s">
        <v>644</v>
      </c>
      <c r="F309" t="s">
        <v>74</v>
      </c>
      <c r="G309">
        <f>IF(ISERROR(MATCH(AllProtiens!F309,Genomes!$C:$C,0)),0,1)</f>
        <v>1</v>
      </c>
      <c r="H309">
        <f>IF(ISERROR(MATCH(AllProtiens!A309,CoreProteinGroups!B:B,0)),0,1)</f>
        <v>1</v>
      </c>
      <c r="J309" s="6" t="s">
        <v>75</v>
      </c>
    </row>
    <row r="310" spans="1:10" x14ac:dyDescent="0.2">
      <c r="A310" s="1" t="s">
        <v>610</v>
      </c>
      <c r="B310" t="s">
        <v>611</v>
      </c>
      <c r="C310" t="s">
        <v>645</v>
      </c>
      <c r="D310" s="6" t="str">
        <f t="shared" si="4"/>
        <v>PROT:ABJ09040.1</v>
      </c>
      <c r="E310" t="s">
        <v>646</v>
      </c>
      <c r="F310" t="s">
        <v>77</v>
      </c>
      <c r="G310">
        <f>IF(ISERROR(MATCH(AllProtiens!F310,Genomes!$C:$C,0)),0,1)</f>
        <v>1</v>
      </c>
      <c r="H310">
        <f>IF(ISERROR(MATCH(AllProtiens!A310,CoreProteinGroups!B:B,0)),0,1)</f>
        <v>1</v>
      </c>
      <c r="J310" s="6" t="s">
        <v>78</v>
      </c>
    </row>
    <row r="311" spans="1:10" x14ac:dyDescent="0.2">
      <c r="A311" s="1" t="s">
        <v>610</v>
      </c>
      <c r="B311" t="s">
        <v>611</v>
      </c>
      <c r="C311" t="s">
        <v>647</v>
      </c>
      <c r="D311" s="6" t="str">
        <f t="shared" si="4"/>
        <v>PROT:AAF15004.1</v>
      </c>
      <c r="E311" t="s">
        <v>648</v>
      </c>
      <c r="F311" t="s">
        <v>81</v>
      </c>
      <c r="G311">
        <f>IF(ISERROR(MATCH(AllProtiens!F311,Genomes!$C:$C,0)),0,1)</f>
        <v>0</v>
      </c>
      <c r="H311">
        <f>IF(ISERROR(MATCH(AllProtiens!A311,CoreProteinGroups!B:B,0)),0,1)</f>
        <v>1</v>
      </c>
      <c r="J311" s="6" t="s">
        <v>82</v>
      </c>
    </row>
    <row r="312" spans="1:10" x14ac:dyDescent="0.2">
      <c r="A312" s="1" t="s">
        <v>610</v>
      </c>
      <c r="B312" t="s">
        <v>611</v>
      </c>
      <c r="C312" t="s">
        <v>649</v>
      </c>
      <c r="D312" s="6" t="str">
        <f t="shared" si="4"/>
        <v>PROT:AFU77380.1</v>
      </c>
      <c r="E312" t="s">
        <v>648</v>
      </c>
      <c r="F312" t="s">
        <v>81</v>
      </c>
      <c r="G312">
        <f>IF(ISERROR(MATCH(AllProtiens!F312,Genomes!$C:$C,0)),0,1)</f>
        <v>0</v>
      </c>
      <c r="H312">
        <f>IF(ISERROR(MATCH(AllProtiens!A312,CoreProteinGroups!B:B,0)),0,1)</f>
        <v>1</v>
      </c>
      <c r="J312" s="6" t="s">
        <v>82</v>
      </c>
    </row>
    <row r="313" spans="1:10" x14ac:dyDescent="0.2">
      <c r="A313" s="1" t="s">
        <v>610</v>
      </c>
      <c r="B313" t="s">
        <v>611</v>
      </c>
      <c r="C313" t="s">
        <v>650</v>
      </c>
      <c r="D313" s="6" t="str">
        <f t="shared" si="4"/>
        <v>PROT:AAF17999.1</v>
      </c>
      <c r="E313" t="s">
        <v>651</v>
      </c>
      <c r="F313" t="s">
        <v>86</v>
      </c>
      <c r="G313">
        <f>IF(ISERROR(MATCH(AllProtiens!F313,Genomes!$C:$C,0)),0,1)</f>
        <v>1</v>
      </c>
      <c r="H313">
        <f>IF(ISERROR(MATCH(AllProtiens!A313,CoreProteinGroups!B:B,0)),0,1)</f>
        <v>1</v>
      </c>
      <c r="J313" s="6" t="s">
        <v>87</v>
      </c>
    </row>
    <row r="314" spans="1:10" x14ac:dyDescent="0.2">
      <c r="A314" s="1" t="s">
        <v>610</v>
      </c>
      <c r="B314" t="s">
        <v>611</v>
      </c>
      <c r="C314" t="s">
        <v>652</v>
      </c>
      <c r="D314" s="6" t="str">
        <f t="shared" si="4"/>
        <v>PROT:AAC55262.1</v>
      </c>
      <c r="E314" t="s">
        <v>653</v>
      </c>
      <c r="F314" t="s">
        <v>90</v>
      </c>
      <c r="G314">
        <f>IF(ISERROR(MATCH(AllProtiens!F314,Genomes!$C:$C,0)),0,1)</f>
        <v>1</v>
      </c>
      <c r="H314">
        <f>IF(ISERROR(MATCH(AllProtiens!A314,CoreProteinGroups!B:B,0)),0,1)</f>
        <v>1</v>
      </c>
      <c r="J314" s="6" t="s">
        <v>91</v>
      </c>
    </row>
    <row r="315" spans="1:10" x14ac:dyDescent="0.2">
      <c r="A315" s="1" t="s">
        <v>610</v>
      </c>
      <c r="B315" t="s">
        <v>611</v>
      </c>
      <c r="C315" t="s">
        <v>654</v>
      </c>
      <c r="D315" s="6" t="str">
        <f t="shared" si="4"/>
        <v>PROT:AYN64714.1</v>
      </c>
      <c r="E315" t="s">
        <v>655</v>
      </c>
      <c r="F315" t="s">
        <v>94</v>
      </c>
      <c r="G315">
        <f>IF(ISERROR(MATCH(AllProtiens!F315,Genomes!$C:$C,0)),0,1)</f>
        <v>1</v>
      </c>
      <c r="H315">
        <f>IF(ISERROR(MATCH(AllProtiens!A315,CoreProteinGroups!B:B,0)),0,1)</f>
        <v>1</v>
      </c>
      <c r="J315" s="6" t="s">
        <v>95</v>
      </c>
    </row>
    <row r="316" spans="1:10" x14ac:dyDescent="0.2">
      <c r="A316" s="1" t="s">
        <v>610</v>
      </c>
      <c r="B316" t="s">
        <v>611</v>
      </c>
      <c r="C316" t="s">
        <v>656</v>
      </c>
      <c r="D316" s="6" t="str">
        <f t="shared" si="4"/>
        <v>PROT:AXN74944.1</v>
      </c>
      <c r="E316" t="s">
        <v>646</v>
      </c>
      <c r="F316" t="s">
        <v>97</v>
      </c>
      <c r="G316">
        <f>IF(ISERROR(MATCH(AllProtiens!F316,Genomes!$C:$C,0)),0,1)</f>
        <v>1</v>
      </c>
      <c r="H316">
        <f>IF(ISERROR(MATCH(AllProtiens!A316,CoreProteinGroups!B:B,0)),0,1)</f>
        <v>1</v>
      </c>
      <c r="J316" s="6" t="s">
        <v>98</v>
      </c>
    </row>
    <row r="317" spans="1:10" x14ac:dyDescent="0.2">
      <c r="A317" s="1" t="s">
        <v>610</v>
      </c>
      <c r="B317" t="s">
        <v>611</v>
      </c>
      <c r="C317" t="s">
        <v>657</v>
      </c>
      <c r="D317" s="6" t="str">
        <f t="shared" si="4"/>
        <v>PROT:ABH08258.1</v>
      </c>
      <c r="E317" t="s">
        <v>658</v>
      </c>
      <c r="F317" t="s">
        <v>101</v>
      </c>
      <c r="G317">
        <f>IF(ISERROR(MATCH(AllProtiens!F317,Genomes!$C:$C,0)),0,1)</f>
        <v>1</v>
      </c>
      <c r="H317">
        <f>IF(ISERROR(MATCH(AllProtiens!A317,CoreProteinGroups!B:B,0)),0,1)</f>
        <v>1</v>
      </c>
      <c r="J317" s="6" t="s">
        <v>102</v>
      </c>
    </row>
    <row r="318" spans="1:10" x14ac:dyDescent="0.2">
      <c r="A318" s="1" t="s">
        <v>610</v>
      </c>
      <c r="B318" t="s">
        <v>611</v>
      </c>
      <c r="C318" t="s">
        <v>659</v>
      </c>
      <c r="D318" s="6" t="str">
        <f t="shared" si="4"/>
        <v>PROT:AAG37639.1</v>
      </c>
      <c r="E318" t="s">
        <v>660</v>
      </c>
      <c r="F318" t="s">
        <v>105</v>
      </c>
      <c r="G318">
        <f>IF(ISERROR(MATCH(AllProtiens!F318,Genomes!$C:$C,0)),0,1)</f>
        <v>1</v>
      </c>
      <c r="H318">
        <f>IF(ISERROR(MATCH(AllProtiens!A318,CoreProteinGroups!B:B,0)),0,1)</f>
        <v>1</v>
      </c>
      <c r="J318" s="6" t="s">
        <v>106</v>
      </c>
    </row>
    <row r="319" spans="1:10" x14ac:dyDescent="0.2">
      <c r="A319" s="1" t="s">
        <v>610</v>
      </c>
      <c r="B319" t="s">
        <v>611</v>
      </c>
      <c r="C319" t="s">
        <v>661</v>
      </c>
      <c r="D319" s="6" t="str">
        <f t="shared" si="4"/>
        <v>PROT:AAL73854.1</v>
      </c>
      <c r="E319" t="s">
        <v>333</v>
      </c>
      <c r="F319" t="s">
        <v>109</v>
      </c>
      <c r="G319">
        <f>IF(ISERROR(MATCH(AllProtiens!F319,Genomes!$C:$C,0)),0,1)</f>
        <v>1</v>
      </c>
      <c r="H319">
        <f>IF(ISERROR(MATCH(AllProtiens!A319,CoreProteinGroups!B:B,0)),0,1)</f>
        <v>1</v>
      </c>
      <c r="J319" s="6" t="s">
        <v>110</v>
      </c>
    </row>
    <row r="320" spans="1:10" x14ac:dyDescent="0.2">
      <c r="A320" s="1" t="s">
        <v>610</v>
      </c>
      <c r="B320" t="s">
        <v>611</v>
      </c>
      <c r="C320" t="s">
        <v>662</v>
      </c>
      <c r="D320" s="6" t="str">
        <f t="shared" si="4"/>
        <v>PROT:AAM13605.1</v>
      </c>
      <c r="E320" t="s">
        <v>663</v>
      </c>
      <c r="F320" t="s">
        <v>113</v>
      </c>
      <c r="G320">
        <f>IF(ISERROR(MATCH(AllProtiens!F320,Genomes!$C:$C,0)),0,1)</f>
        <v>1</v>
      </c>
      <c r="H320">
        <f>IF(ISERROR(MATCH(AllProtiens!A320,CoreProteinGroups!B:B,0)),0,1)</f>
        <v>1</v>
      </c>
      <c r="J320" s="6" t="s">
        <v>114</v>
      </c>
    </row>
    <row r="321" spans="1:10" x14ac:dyDescent="0.2">
      <c r="A321" s="1" t="s">
        <v>610</v>
      </c>
      <c r="B321" t="s">
        <v>611</v>
      </c>
      <c r="C321" t="s">
        <v>664</v>
      </c>
      <c r="D321" s="6" t="str">
        <f t="shared" si="4"/>
        <v>PROT:AAM92435.1</v>
      </c>
      <c r="E321" t="s">
        <v>665</v>
      </c>
      <c r="F321" t="s">
        <v>117</v>
      </c>
      <c r="G321">
        <f>IF(ISERROR(MATCH(AllProtiens!F321,Genomes!$C:$C,0)),0,1)</f>
        <v>1</v>
      </c>
      <c r="H321">
        <f>IF(ISERROR(MATCH(AllProtiens!A321,CoreProteinGroups!B:B,0)),0,1)</f>
        <v>1</v>
      </c>
      <c r="J321" s="6" t="s">
        <v>118</v>
      </c>
    </row>
    <row r="322" spans="1:10" x14ac:dyDescent="0.2">
      <c r="A322" s="1" t="s">
        <v>610</v>
      </c>
      <c r="B322" t="s">
        <v>611</v>
      </c>
      <c r="C322" t="s">
        <v>666</v>
      </c>
      <c r="D322" s="6" t="str">
        <f t="shared" ref="D322:D385" si="5">HYPERLINK(_xlfn.CONCAT("https://www.ncbi.nlm.nih.gov/protein/",C322),_xlfn.CONCAT("PROT:",C322))</f>
        <v>PROT:AFH54696.1</v>
      </c>
      <c r="E322" t="s">
        <v>667</v>
      </c>
      <c r="F322" t="s">
        <v>120</v>
      </c>
      <c r="G322">
        <f>IF(ISERROR(MATCH(AllProtiens!F322,Genomes!$C:$C,0)),0,1)</f>
        <v>1</v>
      </c>
      <c r="H322">
        <f>IF(ISERROR(MATCH(AllProtiens!A322,CoreProteinGroups!B:B,0)),0,1)</f>
        <v>1</v>
      </c>
      <c r="J322" s="6" t="s">
        <v>121</v>
      </c>
    </row>
    <row r="323" spans="1:10" x14ac:dyDescent="0.2">
      <c r="A323" s="1" t="s">
        <v>610</v>
      </c>
      <c r="B323" t="s">
        <v>611</v>
      </c>
      <c r="C323" t="s">
        <v>668</v>
      </c>
      <c r="D323" s="6" t="str">
        <f t="shared" si="5"/>
        <v>PROT:AAL40598.1</v>
      </c>
      <c r="E323" t="s">
        <v>669</v>
      </c>
      <c r="F323" t="s">
        <v>124</v>
      </c>
      <c r="G323">
        <f>IF(ISERROR(MATCH(AllProtiens!F323,Genomes!$C:$C,0)),0,1)</f>
        <v>1</v>
      </c>
      <c r="H323">
        <f>IF(ISERROR(MATCH(AllProtiens!A323,CoreProteinGroups!B:B,0)),0,1)</f>
        <v>1</v>
      </c>
      <c r="J323" s="6" t="s">
        <v>125</v>
      </c>
    </row>
    <row r="324" spans="1:10" x14ac:dyDescent="0.2">
      <c r="A324" s="1" t="s">
        <v>610</v>
      </c>
      <c r="B324" t="s">
        <v>611</v>
      </c>
      <c r="C324" t="s">
        <v>670</v>
      </c>
      <c r="D324" s="6" t="str">
        <f t="shared" si="5"/>
        <v>PROT:AAX09234.1</v>
      </c>
      <c r="E324" t="s">
        <v>671</v>
      </c>
      <c r="F324" t="s">
        <v>128</v>
      </c>
      <c r="G324">
        <f>IF(ISERROR(MATCH(AllProtiens!F324,Genomes!$C:$C,0)),0,1)</f>
        <v>1</v>
      </c>
      <c r="H324">
        <f>IF(ISERROR(MATCH(AllProtiens!A324,CoreProteinGroups!B:B,0)),0,1)</f>
        <v>1</v>
      </c>
      <c r="J324" s="6" t="s">
        <v>129</v>
      </c>
    </row>
    <row r="325" spans="1:10" x14ac:dyDescent="0.2">
      <c r="A325" s="1" t="s">
        <v>610</v>
      </c>
      <c r="B325" t="s">
        <v>611</v>
      </c>
      <c r="C325" t="s">
        <v>672</v>
      </c>
      <c r="D325" s="6" t="str">
        <f t="shared" si="5"/>
        <v>PROT:AKJ93777.1</v>
      </c>
      <c r="E325" t="s">
        <v>673</v>
      </c>
      <c r="F325" t="s">
        <v>131</v>
      </c>
      <c r="G325">
        <f>IF(ISERROR(MATCH(AllProtiens!F325,Genomes!$C:$C,0)),0,1)</f>
        <v>1</v>
      </c>
      <c r="H325">
        <f>IF(ISERROR(MATCH(AllProtiens!A325,CoreProteinGroups!B:B,0)),0,1)</f>
        <v>1</v>
      </c>
      <c r="J325" s="6" t="s">
        <v>132</v>
      </c>
    </row>
    <row r="326" spans="1:10" x14ac:dyDescent="0.2">
      <c r="A326" s="1" t="s">
        <v>610</v>
      </c>
      <c r="B326" t="s">
        <v>611</v>
      </c>
      <c r="C326" t="s">
        <v>674</v>
      </c>
      <c r="D326" s="6" t="str">
        <f t="shared" si="5"/>
        <v>PROT:AOP31626.1</v>
      </c>
      <c r="E326" t="s">
        <v>675</v>
      </c>
      <c r="F326" t="s">
        <v>134</v>
      </c>
      <c r="G326">
        <f>IF(ISERROR(MATCH(AllProtiens!F326,Genomes!$C:$C,0)),0,1)</f>
        <v>1</v>
      </c>
      <c r="H326">
        <f>IF(ISERROR(MATCH(AllProtiens!A326,CoreProteinGroups!B:B,0)),0,1)</f>
        <v>1</v>
      </c>
      <c r="J326" s="6" t="s">
        <v>135</v>
      </c>
    </row>
    <row r="327" spans="1:10" x14ac:dyDescent="0.2">
      <c r="A327" s="1" t="s">
        <v>610</v>
      </c>
      <c r="B327" t="s">
        <v>611</v>
      </c>
      <c r="C327" t="s">
        <v>676</v>
      </c>
      <c r="D327" s="6" t="str">
        <f t="shared" si="5"/>
        <v>PROT:ABD97718.1</v>
      </c>
      <c r="E327" t="s">
        <v>646</v>
      </c>
      <c r="F327" t="s">
        <v>137</v>
      </c>
      <c r="G327">
        <f>IF(ISERROR(MATCH(AllProtiens!F327,Genomes!$C:$C,0)),0,1)</f>
        <v>1</v>
      </c>
      <c r="H327">
        <f>IF(ISERROR(MATCH(AllProtiens!A327,CoreProteinGroups!B:B,0)),0,1)</f>
        <v>1</v>
      </c>
      <c r="J327" s="6" t="s">
        <v>138</v>
      </c>
    </row>
    <row r="328" spans="1:10" x14ac:dyDescent="0.2">
      <c r="A328" s="1" t="s">
        <v>610</v>
      </c>
      <c r="B328" t="s">
        <v>611</v>
      </c>
      <c r="C328" t="s">
        <v>677</v>
      </c>
      <c r="D328" s="6" t="str">
        <f t="shared" si="5"/>
        <v>PROT:AAO89430.1</v>
      </c>
      <c r="E328" t="s">
        <v>678</v>
      </c>
      <c r="F328" t="s">
        <v>140</v>
      </c>
      <c r="G328">
        <f>IF(ISERROR(MATCH(AllProtiens!F328,Genomes!$C:$C,0)),0,1)</f>
        <v>1</v>
      </c>
      <c r="H328">
        <f>IF(ISERROR(MATCH(AllProtiens!A328,CoreProteinGroups!B:B,0)),0,1)</f>
        <v>1</v>
      </c>
      <c r="J328" s="6" t="s">
        <v>141</v>
      </c>
    </row>
    <row r="329" spans="1:10" x14ac:dyDescent="0.2">
      <c r="A329" s="1" t="s">
        <v>610</v>
      </c>
      <c r="B329" t="s">
        <v>611</v>
      </c>
      <c r="C329" t="s">
        <v>679</v>
      </c>
      <c r="D329" s="6" t="str">
        <f t="shared" si="5"/>
        <v>PROT:CAA49076.1</v>
      </c>
      <c r="E329" t="s">
        <v>680</v>
      </c>
      <c r="F329" t="s">
        <v>144</v>
      </c>
      <c r="G329">
        <f>IF(ISERROR(MATCH(AllProtiens!F329,Genomes!$C:$C,0)),0,1)</f>
        <v>1</v>
      </c>
      <c r="H329">
        <f>IF(ISERROR(MATCH(AllProtiens!A329,CoreProteinGroups!B:B,0)),0,1)</f>
        <v>1</v>
      </c>
      <c r="J329" s="6" t="s">
        <v>145</v>
      </c>
    </row>
    <row r="330" spans="1:10" x14ac:dyDescent="0.2">
      <c r="A330" s="1" t="s">
        <v>610</v>
      </c>
      <c r="B330" t="s">
        <v>611</v>
      </c>
      <c r="C330" t="s">
        <v>681</v>
      </c>
      <c r="D330" s="6" t="str">
        <f t="shared" si="5"/>
        <v>PROT:CAB54735.1</v>
      </c>
      <c r="E330" t="s">
        <v>682</v>
      </c>
      <c r="F330" t="s">
        <v>148</v>
      </c>
      <c r="G330">
        <f>IF(ISERROR(MATCH(AllProtiens!F330,Genomes!$C:$C,0)),0,1)</f>
        <v>1</v>
      </c>
      <c r="H330">
        <f>IF(ISERROR(MATCH(AllProtiens!A330,CoreProteinGroups!B:B,0)),0,1)</f>
        <v>1</v>
      </c>
      <c r="J330" s="6" t="s">
        <v>149</v>
      </c>
    </row>
    <row r="331" spans="1:10" x14ac:dyDescent="0.2">
      <c r="A331" s="1" t="s">
        <v>610</v>
      </c>
      <c r="B331" t="s">
        <v>611</v>
      </c>
      <c r="C331" t="s">
        <v>683</v>
      </c>
      <c r="D331" s="6" t="str">
        <f t="shared" si="5"/>
        <v>PROT:AOP31837.1</v>
      </c>
      <c r="E331" t="s">
        <v>675</v>
      </c>
      <c r="F331" t="s">
        <v>151</v>
      </c>
      <c r="G331">
        <f>IF(ISERROR(MATCH(AllProtiens!F331,Genomes!$C:$C,0)),0,1)</f>
        <v>1</v>
      </c>
      <c r="H331">
        <f>IF(ISERROR(MATCH(AllProtiens!A331,CoreProteinGroups!B:B,0)),0,1)</f>
        <v>1</v>
      </c>
      <c r="J331" s="6" t="s">
        <v>152</v>
      </c>
    </row>
    <row r="332" spans="1:10" x14ac:dyDescent="0.2">
      <c r="A332" s="1" t="s">
        <v>610</v>
      </c>
      <c r="B332" t="s">
        <v>611</v>
      </c>
      <c r="C332" t="s">
        <v>684</v>
      </c>
      <c r="D332" s="6" t="str">
        <f t="shared" si="5"/>
        <v>PROT:ASC55543.1</v>
      </c>
      <c r="E332" t="s">
        <v>685</v>
      </c>
      <c r="F332" t="s">
        <v>155</v>
      </c>
      <c r="G332">
        <f>IF(ISERROR(MATCH(AllProtiens!F332,Genomes!$C:$C,0)),0,1)</f>
        <v>1</v>
      </c>
      <c r="H332">
        <f>IF(ISERROR(MATCH(AllProtiens!A332,CoreProteinGroups!B:B,0)),0,1)</f>
        <v>1</v>
      </c>
      <c r="J332" s="6" t="s">
        <v>156</v>
      </c>
    </row>
    <row r="333" spans="1:10" x14ac:dyDescent="0.2">
      <c r="A333" s="1" t="s">
        <v>610</v>
      </c>
      <c r="B333" t="s">
        <v>611</v>
      </c>
      <c r="C333" t="s">
        <v>686</v>
      </c>
      <c r="D333" s="6" t="str">
        <f t="shared" si="5"/>
        <v>PROT:AAR98462.1</v>
      </c>
      <c r="E333" t="s">
        <v>687</v>
      </c>
      <c r="F333" t="s">
        <v>159</v>
      </c>
      <c r="G333">
        <f>IF(ISERROR(MATCH(AllProtiens!F333,Genomes!$C:$C,0)),0,1)</f>
        <v>1</v>
      </c>
      <c r="H333">
        <f>IF(ISERROR(MATCH(AllProtiens!A333,CoreProteinGroups!B:B,0)),0,1)</f>
        <v>1</v>
      </c>
      <c r="J333" s="6" t="s">
        <v>160</v>
      </c>
    </row>
    <row r="334" spans="1:10" x14ac:dyDescent="0.2">
      <c r="A334" s="1" t="s">
        <v>610</v>
      </c>
      <c r="B334" t="s">
        <v>611</v>
      </c>
      <c r="C334" t="s">
        <v>688</v>
      </c>
      <c r="D334" s="6" t="str">
        <f t="shared" si="5"/>
        <v>PROT:AAR98330.1</v>
      </c>
      <c r="E334" t="s">
        <v>687</v>
      </c>
      <c r="F334" t="s">
        <v>162</v>
      </c>
      <c r="G334">
        <f>IF(ISERROR(MATCH(AllProtiens!F334,Genomes!$C:$C,0)),0,1)</f>
        <v>1</v>
      </c>
      <c r="H334">
        <f>IF(ISERROR(MATCH(AllProtiens!A334,CoreProteinGroups!B:B,0)),0,1)</f>
        <v>1</v>
      </c>
      <c r="J334" s="6" t="s">
        <v>163</v>
      </c>
    </row>
    <row r="335" spans="1:10" x14ac:dyDescent="0.2">
      <c r="A335" s="1" t="s">
        <v>610</v>
      </c>
      <c r="B335" t="s">
        <v>611</v>
      </c>
      <c r="C335" t="s">
        <v>689</v>
      </c>
      <c r="D335" s="6" t="str">
        <f t="shared" si="5"/>
        <v>PROT:ABA00622.1</v>
      </c>
      <c r="E335" t="s">
        <v>624</v>
      </c>
      <c r="F335" t="s">
        <v>162</v>
      </c>
      <c r="G335">
        <f>IF(ISERROR(MATCH(AllProtiens!F335,Genomes!$C:$C,0)),0,1)</f>
        <v>1</v>
      </c>
      <c r="H335">
        <f>IF(ISERROR(MATCH(AllProtiens!A335,CoreProteinGroups!B:B,0)),0,1)</f>
        <v>1</v>
      </c>
      <c r="J335" s="6" t="s">
        <v>163</v>
      </c>
    </row>
    <row r="336" spans="1:10" x14ac:dyDescent="0.2">
      <c r="A336" s="1" t="s">
        <v>610</v>
      </c>
      <c r="B336" t="s">
        <v>611</v>
      </c>
      <c r="C336" t="s">
        <v>690</v>
      </c>
      <c r="D336" s="6" t="str">
        <f t="shared" si="5"/>
        <v>PROT:AIZ77356.1</v>
      </c>
      <c r="E336" t="s">
        <v>691</v>
      </c>
      <c r="F336" t="s">
        <v>167</v>
      </c>
      <c r="G336">
        <f>IF(ISERROR(MATCH(AllProtiens!F336,Genomes!$C:$C,0)),0,1)</f>
        <v>1</v>
      </c>
      <c r="H336">
        <f>IF(ISERROR(MATCH(AllProtiens!A336,CoreProteinGroups!B:B,0)),0,1)</f>
        <v>1</v>
      </c>
      <c r="J336" s="6" t="s">
        <v>168</v>
      </c>
    </row>
    <row r="337" spans="1:10" x14ac:dyDescent="0.2">
      <c r="A337" s="1" t="s">
        <v>610</v>
      </c>
      <c r="B337" t="s">
        <v>611</v>
      </c>
      <c r="C337" t="s">
        <v>692</v>
      </c>
      <c r="D337" s="6" t="str">
        <f t="shared" si="5"/>
        <v>PROT:ADC54007.1</v>
      </c>
      <c r="E337" t="s">
        <v>624</v>
      </c>
      <c r="F337" t="s">
        <v>170</v>
      </c>
      <c r="G337">
        <f>IF(ISERROR(MATCH(AllProtiens!F337,Genomes!$C:$C,0)),0,1)</f>
        <v>1</v>
      </c>
      <c r="H337">
        <f>IF(ISERROR(MATCH(AllProtiens!A337,CoreProteinGroups!B:B,0)),0,1)</f>
        <v>1</v>
      </c>
      <c r="J337" s="6" t="s">
        <v>171</v>
      </c>
    </row>
    <row r="338" spans="1:10" x14ac:dyDescent="0.2">
      <c r="A338" s="1" t="s">
        <v>610</v>
      </c>
      <c r="B338" t="s">
        <v>611</v>
      </c>
      <c r="C338" t="s">
        <v>693</v>
      </c>
      <c r="D338" s="6" t="str">
        <f t="shared" si="5"/>
        <v>PROT:AAL69854.1</v>
      </c>
      <c r="E338" t="s">
        <v>694</v>
      </c>
      <c r="F338" t="s">
        <v>174</v>
      </c>
      <c r="G338">
        <f>IF(ISERROR(MATCH(AllProtiens!F338,Genomes!$C:$C,0)),0,1)</f>
        <v>1</v>
      </c>
      <c r="H338">
        <f>IF(ISERROR(MATCH(AllProtiens!A338,CoreProteinGroups!B:B,0)),0,1)</f>
        <v>1</v>
      </c>
      <c r="J338" s="6" t="s">
        <v>175</v>
      </c>
    </row>
    <row r="339" spans="1:10" x14ac:dyDescent="0.2">
      <c r="A339" s="1" t="s">
        <v>610</v>
      </c>
      <c r="B339" t="s">
        <v>611</v>
      </c>
      <c r="C339" t="s">
        <v>695</v>
      </c>
      <c r="D339" s="6" t="str">
        <f t="shared" si="5"/>
        <v>PROT:CAC21356.1</v>
      </c>
      <c r="E339" t="s">
        <v>696</v>
      </c>
      <c r="F339" t="s">
        <v>178</v>
      </c>
      <c r="G339">
        <f>IF(ISERROR(MATCH(AllProtiens!F339,Genomes!$C:$C,0)),0,1)</f>
        <v>1</v>
      </c>
      <c r="H339">
        <f>IF(ISERROR(MATCH(AllProtiens!A339,CoreProteinGroups!B:B,0)),0,1)</f>
        <v>1</v>
      </c>
      <c r="J339" s="6" t="s">
        <v>179</v>
      </c>
    </row>
    <row r="340" spans="1:10" x14ac:dyDescent="0.2">
      <c r="A340" s="1" t="s">
        <v>610</v>
      </c>
      <c r="B340" t="s">
        <v>611</v>
      </c>
      <c r="C340" t="s">
        <v>697</v>
      </c>
      <c r="D340" s="6" t="str">
        <f t="shared" si="5"/>
        <v>PROT:AAR07474.1</v>
      </c>
      <c r="E340" t="s">
        <v>698</v>
      </c>
      <c r="F340" t="s">
        <v>182</v>
      </c>
      <c r="G340">
        <f>IF(ISERROR(MATCH(AllProtiens!F340,Genomes!$C:$C,0)),0,1)</f>
        <v>1</v>
      </c>
      <c r="H340">
        <f>IF(ISERROR(MATCH(AllProtiens!A340,CoreProteinGroups!B:B,0)),0,1)</f>
        <v>1</v>
      </c>
      <c r="J340" s="6" t="s">
        <v>183</v>
      </c>
    </row>
    <row r="341" spans="1:10" x14ac:dyDescent="0.2">
      <c r="A341" s="1" t="s">
        <v>610</v>
      </c>
      <c r="B341" t="s">
        <v>611</v>
      </c>
      <c r="C341" t="s">
        <v>699</v>
      </c>
      <c r="D341" s="6" t="str">
        <f t="shared" si="5"/>
        <v>PROT:AAC97666.1</v>
      </c>
      <c r="E341" t="s">
        <v>700</v>
      </c>
      <c r="F341" t="s">
        <v>186</v>
      </c>
      <c r="G341">
        <f>IF(ISERROR(MATCH(AllProtiens!F341,Genomes!$C:$C,0)),0,1)</f>
        <v>1</v>
      </c>
      <c r="H341">
        <f>IF(ISERROR(MATCH(AllProtiens!A341,CoreProteinGroups!B:B,0)),0,1)</f>
        <v>1</v>
      </c>
      <c r="J341" s="6" t="s">
        <v>187</v>
      </c>
    </row>
    <row r="342" spans="1:10" x14ac:dyDescent="0.2">
      <c r="A342" s="1" t="s">
        <v>610</v>
      </c>
      <c r="B342" t="s">
        <v>611</v>
      </c>
      <c r="C342" t="s">
        <v>701</v>
      </c>
      <c r="D342" s="6" t="str">
        <f t="shared" si="5"/>
        <v>PROT:BAO49431.1</v>
      </c>
      <c r="E342" t="s">
        <v>702</v>
      </c>
      <c r="F342" t="s">
        <v>190</v>
      </c>
      <c r="G342">
        <f>IF(ISERROR(MATCH(AllProtiens!F342,Genomes!$C:$C,0)),0,1)</f>
        <v>1</v>
      </c>
      <c r="H342">
        <f>IF(ISERROR(MATCH(AllProtiens!A342,CoreProteinGroups!B:B,0)),0,1)</f>
        <v>1</v>
      </c>
      <c r="J342" s="6" t="s">
        <v>191</v>
      </c>
    </row>
    <row r="343" spans="1:10" x14ac:dyDescent="0.2">
      <c r="A343" s="1" t="s">
        <v>610</v>
      </c>
      <c r="B343" t="s">
        <v>611</v>
      </c>
      <c r="C343" t="s">
        <v>703</v>
      </c>
      <c r="D343" s="6" t="str">
        <f t="shared" si="5"/>
        <v>PROT:CCU55473.1</v>
      </c>
      <c r="E343" t="s">
        <v>704</v>
      </c>
      <c r="F343" t="s">
        <v>193</v>
      </c>
      <c r="G343">
        <f>IF(ISERROR(MATCH(AllProtiens!F343,Genomes!$C:$C,0)),0,1)</f>
        <v>1</v>
      </c>
      <c r="H343">
        <f>IF(ISERROR(MATCH(AllProtiens!A343,CoreProteinGroups!B:B,0)),0,1)</f>
        <v>1</v>
      </c>
      <c r="J343" s="6" t="s">
        <v>194</v>
      </c>
    </row>
    <row r="344" spans="1:10" x14ac:dyDescent="0.2">
      <c r="A344" s="1" t="s">
        <v>610</v>
      </c>
      <c r="B344" t="s">
        <v>611</v>
      </c>
      <c r="C344" t="s">
        <v>705</v>
      </c>
      <c r="D344" s="6" t="str">
        <f t="shared" si="5"/>
        <v>PROT:AAG02892.1</v>
      </c>
      <c r="E344" t="s">
        <v>706</v>
      </c>
      <c r="F344" t="s">
        <v>197</v>
      </c>
      <c r="G344">
        <f>IF(ISERROR(MATCH(AllProtiens!F344,Genomes!$C:$C,0)),0,1)</f>
        <v>1</v>
      </c>
      <c r="H344">
        <f>IF(ISERROR(MATCH(AllProtiens!A344,CoreProteinGroups!B:B,0)),0,1)</f>
        <v>1</v>
      </c>
      <c r="J344" s="6" t="s">
        <v>198</v>
      </c>
    </row>
    <row r="345" spans="1:10" x14ac:dyDescent="0.2">
      <c r="A345" s="1" t="s">
        <v>610</v>
      </c>
      <c r="B345" t="s">
        <v>611</v>
      </c>
      <c r="C345" t="s">
        <v>707</v>
      </c>
      <c r="D345" s="6" t="str">
        <f t="shared" si="5"/>
        <v>PROT:CCU55794.1</v>
      </c>
      <c r="E345" t="s">
        <v>704</v>
      </c>
      <c r="F345" t="s">
        <v>200</v>
      </c>
      <c r="G345">
        <f>IF(ISERROR(MATCH(AllProtiens!F345,Genomes!$C:$C,0)),0,1)</f>
        <v>1</v>
      </c>
      <c r="H345">
        <f>IF(ISERROR(MATCH(AllProtiens!A345,CoreProteinGroups!B:B,0)),0,1)</f>
        <v>1</v>
      </c>
      <c r="J345" s="6" t="s">
        <v>201</v>
      </c>
    </row>
    <row r="346" spans="1:10" x14ac:dyDescent="0.2">
      <c r="A346" s="1" t="s">
        <v>610</v>
      </c>
      <c r="B346" t="s">
        <v>611</v>
      </c>
      <c r="C346" t="s">
        <v>708</v>
      </c>
      <c r="D346" s="6" t="str">
        <f t="shared" si="5"/>
        <v>PROT:CCU56096.1</v>
      </c>
      <c r="E346" t="s">
        <v>704</v>
      </c>
      <c r="F346" t="s">
        <v>203</v>
      </c>
      <c r="G346">
        <f>IF(ISERROR(MATCH(AllProtiens!F346,Genomes!$C:$C,0)),0,1)</f>
        <v>1</v>
      </c>
      <c r="H346">
        <f>IF(ISERROR(MATCH(AllProtiens!A346,CoreProteinGroups!B:B,0)),0,1)</f>
        <v>1</v>
      </c>
      <c r="J346" s="6" t="s">
        <v>204</v>
      </c>
    </row>
    <row r="347" spans="1:10" x14ac:dyDescent="0.2">
      <c r="A347" s="1" t="s">
        <v>610</v>
      </c>
      <c r="B347" t="s">
        <v>611</v>
      </c>
      <c r="C347" t="s">
        <v>709</v>
      </c>
      <c r="D347" s="6" t="str">
        <f t="shared" si="5"/>
        <v>PROT:CCU56418.1</v>
      </c>
      <c r="E347" t="s">
        <v>704</v>
      </c>
      <c r="F347" t="s">
        <v>206</v>
      </c>
      <c r="G347">
        <f>IF(ISERROR(MATCH(AllProtiens!F347,Genomes!$C:$C,0)),0,1)</f>
        <v>1</v>
      </c>
      <c r="H347">
        <f>IF(ISERROR(MATCH(AllProtiens!A347,CoreProteinGroups!B:B,0)),0,1)</f>
        <v>1</v>
      </c>
      <c r="J347" s="6" t="s">
        <v>207</v>
      </c>
    </row>
    <row r="348" spans="1:10" x14ac:dyDescent="0.2">
      <c r="A348" s="1" t="s">
        <v>610</v>
      </c>
      <c r="B348" t="s">
        <v>611</v>
      </c>
      <c r="C348" t="s">
        <v>710</v>
      </c>
      <c r="D348" s="6" t="str">
        <f t="shared" si="5"/>
        <v>PROT:NP_659690.1</v>
      </c>
      <c r="E348" t="s">
        <v>711</v>
      </c>
      <c r="F348" t="s">
        <v>210</v>
      </c>
      <c r="G348">
        <f>IF(ISERROR(MATCH(AllProtiens!F348,Genomes!$C:$C,0)),0,1)</f>
        <v>1</v>
      </c>
      <c r="H348">
        <f>IF(ISERROR(MATCH(AllProtiens!A348,CoreProteinGroups!B:B,0)),0,1)</f>
        <v>1</v>
      </c>
      <c r="J348" s="6" t="s">
        <v>211</v>
      </c>
    </row>
    <row r="349" spans="1:10" x14ac:dyDescent="0.2">
      <c r="A349" s="1" t="s">
        <v>610</v>
      </c>
      <c r="B349" t="s">
        <v>611</v>
      </c>
      <c r="C349" t="s">
        <v>712</v>
      </c>
      <c r="D349" s="6" t="str">
        <f t="shared" si="5"/>
        <v>PROT:YP_001293309.1</v>
      </c>
      <c r="E349" t="s">
        <v>713</v>
      </c>
      <c r="F349" t="s">
        <v>214</v>
      </c>
      <c r="G349">
        <f>IF(ISERROR(MATCH(AllProtiens!F349,Genomes!$C:$C,0)),0,1)</f>
        <v>1</v>
      </c>
      <c r="H349">
        <f>IF(ISERROR(MATCH(AllProtiens!A349,CoreProteinGroups!B:B,0)),0,1)</f>
        <v>1</v>
      </c>
      <c r="J349" s="6" t="s">
        <v>215</v>
      </c>
    </row>
    <row r="350" spans="1:10" x14ac:dyDescent="0.2">
      <c r="A350" s="1" t="s">
        <v>714</v>
      </c>
      <c r="B350" t="s">
        <v>715</v>
      </c>
      <c r="C350" t="s">
        <v>716</v>
      </c>
      <c r="D350" s="6" t="str">
        <f t="shared" si="5"/>
        <v>PROT:ATI21203.1</v>
      </c>
      <c r="E350" t="s">
        <v>717</v>
      </c>
      <c r="F350" t="s">
        <v>14</v>
      </c>
      <c r="G350">
        <f>IF(ISERROR(MATCH(AllProtiens!F350,Genomes!$C:$C,0)),0,1)</f>
        <v>1</v>
      </c>
      <c r="H350">
        <f>IF(ISERROR(MATCH(AllProtiens!A350,CoreProteinGroups!B:B,0)),0,1)</f>
        <v>1</v>
      </c>
      <c r="J350" s="6" t="s">
        <v>15</v>
      </c>
    </row>
    <row r="351" spans="1:10" x14ac:dyDescent="0.2">
      <c r="A351" s="1" t="s">
        <v>714</v>
      </c>
      <c r="B351" t="s">
        <v>715</v>
      </c>
      <c r="C351" t="s">
        <v>718</v>
      </c>
      <c r="D351" s="6" t="str">
        <f t="shared" si="5"/>
        <v>PROT:AWU47137.1</v>
      </c>
      <c r="E351" t="s">
        <v>717</v>
      </c>
      <c r="F351" t="s">
        <v>17</v>
      </c>
      <c r="G351">
        <f>IF(ISERROR(MATCH(AllProtiens!F351,Genomes!$C:$C,0)),0,1)</f>
        <v>1</v>
      </c>
      <c r="H351">
        <f>IF(ISERROR(MATCH(AllProtiens!A351,CoreProteinGroups!B:B,0)),0,1)</f>
        <v>1</v>
      </c>
      <c r="J351" s="6" t="s">
        <v>18</v>
      </c>
    </row>
    <row r="352" spans="1:10" x14ac:dyDescent="0.2">
      <c r="A352" s="1" t="s">
        <v>714</v>
      </c>
      <c r="B352" t="s">
        <v>715</v>
      </c>
      <c r="C352" t="s">
        <v>719</v>
      </c>
      <c r="D352" s="6" t="str">
        <f t="shared" si="5"/>
        <v>PROT:APG58313.1</v>
      </c>
      <c r="E352" t="s">
        <v>720</v>
      </c>
      <c r="F352" t="s">
        <v>21</v>
      </c>
      <c r="G352">
        <f>IF(ISERROR(MATCH(AllProtiens!F352,Genomes!$C:$C,0)),0,1)</f>
        <v>1</v>
      </c>
      <c r="H352">
        <f>IF(ISERROR(MATCH(AllProtiens!A352,CoreProteinGroups!B:B,0)),0,1)</f>
        <v>1</v>
      </c>
      <c r="J352" s="6" t="s">
        <v>22</v>
      </c>
    </row>
    <row r="353" spans="1:10" x14ac:dyDescent="0.2">
      <c r="A353" s="1" t="s">
        <v>714</v>
      </c>
      <c r="B353" t="s">
        <v>715</v>
      </c>
      <c r="C353" t="s">
        <v>721</v>
      </c>
      <c r="D353" s="6" t="str">
        <f t="shared" si="5"/>
        <v>PROT:ADT91123.1</v>
      </c>
      <c r="E353" t="s">
        <v>722</v>
      </c>
      <c r="F353" t="s">
        <v>25</v>
      </c>
      <c r="G353">
        <f>IF(ISERROR(MATCH(AllProtiens!F353,Genomes!$C:$C,0)),0,1)</f>
        <v>1</v>
      </c>
      <c r="H353">
        <f>IF(ISERROR(MATCH(AllProtiens!A353,CoreProteinGroups!B:B,0)),0,1)</f>
        <v>1</v>
      </c>
      <c r="J353" s="6" t="s">
        <v>26</v>
      </c>
    </row>
    <row r="354" spans="1:10" x14ac:dyDescent="0.2">
      <c r="A354" s="1" t="s">
        <v>714</v>
      </c>
      <c r="B354" t="s">
        <v>715</v>
      </c>
      <c r="C354" t="s">
        <v>723</v>
      </c>
      <c r="D354" s="6" t="str">
        <f t="shared" si="5"/>
        <v>PROT:ANS71181.1</v>
      </c>
      <c r="E354" t="s">
        <v>724</v>
      </c>
      <c r="F354" t="s">
        <v>28</v>
      </c>
      <c r="G354">
        <f>IF(ISERROR(MATCH(AllProtiens!F354,Genomes!$C:$C,0)),0,1)</f>
        <v>1</v>
      </c>
      <c r="H354">
        <f>IF(ISERROR(MATCH(AllProtiens!A354,CoreProteinGroups!B:B,0)),0,1)</f>
        <v>1</v>
      </c>
      <c r="J354" s="6" t="s">
        <v>29</v>
      </c>
    </row>
    <row r="355" spans="1:10" x14ac:dyDescent="0.2">
      <c r="A355" s="1" t="s">
        <v>714</v>
      </c>
      <c r="B355" t="s">
        <v>715</v>
      </c>
      <c r="C355" t="s">
        <v>725</v>
      </c>
      <c r="D355" s="6" t="str">
        <f t="shared" si="5"/>
        <v>PROT:AKR04225.1</v>
      </c>
      <c r="E355" t="s">
        <v>726</v>
      </c>
      <c r="F355" t="s">
        <v>32</v>
      </c>
      <c r="G355">
        <f>IF(ISERROR(MATCH(AllProtiens!F355,Genomes!$C:$C,0)),0,1)</f>
        <v>1</v>
      </c>
      <c r="H355">
        <f>IF(ISERROR(MATCH(AllProtiens!A355,CoreProteinGroups!B:B,0)),0,1)</f>
        <v>1</v>
      </c>
      <c r="J355" s="6" t="s">
        <v>33</v>
      </c>
    </row>
    <row r="356" spans="1:10" x14ac:dyDescent="0.2">
      <c r="A356" s="1" t="s">
        <v>714</v>
      </c>
      <c r="B356" t="s">
        <v>715</v>
      </c>
      <c r="C356" t="s">
        <v>727</v>
      </c>
      <c r="D356" s="6" t="str">
        <f t="shared" si="5"/>
        <v>PROT:CCD83274.1</v>
      </c>
      <c r="E356" t="s">
        <v>728</v>
      </c>
      <c r="F356" t="s">
        <v>36</v>
      </c>
      <c r="G356">
        <f>IF(ISERROR(MATCH(AllProtiens!F356,Genomes!$C:$C,0)),0,1)</f>
        <v>1</v>
      </c>
      <c r="H356">
        <f>IF(ISERROR(MATCH(AllProtiens!A356,CoreProteinGroups!B:B,0)),0,1)</f>
        <v>1</v>
      </c>
      <c r="J356" s="6" t="s">
        <v>37</v>
      </c>
    </row>
    <row r="357" spans="1:10" x14ac:dyDescent="0.2">
      <c r="A357" s="1" t="s">
        <v>714</v>
      </c>
      <c r="B357" t="s">
        <v>715</v>
      </c>
      <c r="C357" t="s">
        <v>729</v>
      </c>
      <c r="D357" s="6" t="str">
        <f t="shared" si="5"/>
        <v>PROT:ASK51300.1</v>
      </c>
      <c r="E357" t="s">
        <v>717</v>
      </c>
      <c r="F357" t="s">
        <v>40</v>
      </c>
      <c r="G357">
        <f>IF(ISERROR(MATCH(AllProtiens!F357,Genomes!$C:$C,0)),0,1)</f>
        <v>1</v>
      </c>
      <c r="H357">
        <f>IF(ISERROR(MATCH(AllProtiens!A357,CoreProteinGroups!B:B,0)),0,1)</f>
        <v>1</v>
      </c>
      <c r="J357" s="6" t="s">
        <v>41</v>
      </c>
    </row>
    <row r="358" spans="1:10" x14ac:dyDescent="0.2">
      <c r="A358" s="1" t="s">
        <v>714</v>
      </c>
      <c r="B358" t="s">
        <v>715</v>
      </c>
      <c r="C358" t="s">
        <v>730</v>
      </c>
      <c r="D358" s="6" t="str">
        <f t="shared" si="5"/>
        <v>PROT:AUD40274.1</v>
      </c>
      <c r="E358" t="s">
        <v>731</v>
      </c>
      <c r="F358" t="s">
        <v>43</v>
      </c>
      <c r="G358">
        <f>IF(ISERROR(MATCH(AllProtiens!F358,Genomes!$C:$C,0)),0,1)</f>
        <v>1</v>
      </c>
      <c r="H358">
        <f>IF(ISERROR(MATCH(AllProtiens!A358,CoreProteinGroups!B:B,0)),0,1)</f>
        <v>1</v>
      </c>
      <c r="J358" s="6" t="s">
        <v>44</v>
      </c>
    </row>
    <row r="359" spans="1:10" x14ac:dyDescent="0.2">
      <c r="A359" s="1" t="s">
        <v>714</v>
      </c>
      <c r="B359" t="s">
        <v>715</v>
      </c>
      <c r="C359" t="s">
        <v>732</v>
      </c>
      <c r="D359" s="6" t="str">
        <f t="shared" si="5"/>
        <v>PROT:AID46905.1</v>
      </c>
      <c r="E359" t="s">
        <v>731</v>
      </c>
      <c r="F359" t="s">
        <v>46</v>
      </c>
      <c r="G359">
        <f>IF(ISERROR(MATCH(AllProtiens!F359,Genomes!$C:$C,0)),0,1)</f>
        <v>1</v>
      </c>
      <c r="H359">
        <f>IF(ISERROR(MATCH(AllProtiens!A359,CoreProteinGroups!B:B,0)),0,1)</f>
        <v>1</v>
      </c>
      <c r="J359" s="6" t="s">
        <v>47</v>
      </c>
    </row>
    <row r="360" spans="1:10" x14ac:dyDescent="0.2">
      <c r="A360" s="1" t="s">
        <v>714</v>
      </c>
      <c r="B360" t="s">
        <v>715</v>
      </c>
      <c r="C360" t="s">
        <v>733</v>
      </c>
      <c r="D360" s="6" t="str">
        <f t="shared" si="5"/>
        <v>PROT:AID46674.1</v>
      </c>
      <c r="E360" t="s">
        <v>731</v>
      </c>
      <c r="F360" t="s">
        <v>49</v>
      </c>
      <c r="G360">
        <f>IF(ISERROR(MATCH(AllProtiens!F360,Genomes!$C:$C,0)),0,1)</f>
        <v>1</v>
      </c>
      <c r="H360">
        <f>IF(ISERROR(MATCH(AllProtiens!A360,CoreProteinGroups!B:B,0)),0,1)</f>
        <v>1</v>
      </c>
      <c r="J360" s="6" t="s">
        <v>50</v>
      </c>
    </row>
    <row r="361" spans="1:10" x14ac:dyDescent="0.2">
      <c r="A361" s="1" t="s">
        <v>714</v>
      </c>
      <c r="B361" t="s">
        <v>715</v>
      </c>
      <c r="C361" t="s">
        <v>734</v>
      </c>
      <c r="D361" s="6" t="str">
        <f t="shared" si="5"/>
        <v>PROT:ALA62496.1</v>
      </c>
      <c r="E361" t="s">
        <v>731</v>
      </c>
      <c r="F361" t="s">
        <v>53</v>
      </c>
      <c r="G361">
        <f>IF(ISERROR(MATCH(AllProtiens!F361,Genomes!$C:$C,0)),0,1)</f>
        <v>1</v>
      </c>
      <c r="H361">
        <f>IF(ISERROR(MATCH(AllProtiens!A361,CoreProteinGroups!B:B,0)),0,1)</f>
        <v>1</v>
      </c>
      <c r="J361" s="6" t="s">
        <v>54</v>
      </c>
    </row>
    <row r="362" spans="1:10" x14ac:dyDescent="0.2">
      <c r="A362" s="1" t="s">
        <v>714</v>
      </c>
      <c r="B362" t="s">
        <v>715</v>
      </c>
      <c r="C362" t="s">
        <v>735</v>
      </c>
      <c r="D362" s="6" t="str">
        <f t="shared" si="5"/>
        <v>PROT:AAR83586.1</v>
      </c>
      <c r="E362" t="s">
        <v>736</v>
      </c>
      <c r="F362" t="s">
        <v>57</v>
      </c>
      <c r="G362">
        <f>IF(ISERROR(MATCH(AllProtiens!F362,Genomes!$C:$C,0)),0,1)</f>
        <v>1</v>
      </c>
      <c r="H362">
        <f>IF(ISERROR(MATCH(AllProtiens!A362,CoreProteinGroups!B:B,0)),0,1)</f>
        <v>1</v>
      </c>
      <c r="J362" s="6" t="s">
        <v>58</v>
      </c>
    </row>
    <row r="363" spans="1:10" x14ac:dyDescent="0.2">
      <c r="A363" s="1" t="s">
        <v>714</v>
      </c>
      <c r="B363" t="s">
        <v>715</v>
      </c>
      <c r="C363" t="s">
        <v>737</v>
      </c>
      <c r="D363" s="6" t="str">
        <f t="shared" si="5"/>
        <v>PROT:AAF44511.1</v>
      </c>
      <c r="E363" t="s">
        <v>738</v>
      </c>
      <c r="F363" t="s">
        <v>61</v>
      </c>
      <c r="G363">
        <f>IF(ISERROR(MATCH(AllProtiens!F363,Genomes!$C:$C,0)),0,1)</f>
        <v>1</v>
      </c>
      <c r="H363">
        <f>IF(ISERROR(MATCH(AllProtiens!A363,CoreProteinGroups!B:B,0)),0,1)</f>
        <v>1</v>
      </c>
      <c r="J363" s="6" t="s">
        <v>62</v>
      </c>
    </row>
    <row r="364" spans="1:10" x14ac:dyDescent="0.2">
      <c r="A364" s="1" t="s">
        <v>714</v>
      </c>
      <c r="B364" t="s">
        <v>715</v>
      </c>
      <c r="C364" t="s">
        <v>739</v>
      </c>
      <c r="D364" s="6" t="str">
        <f t="shared" si="5"/>
        <v>PROT:AAK85055.1</v>
      </c>
      <c r="E364" t="s">
        <v>740</v>
      </c>
      <c r="F364" t="s">
        <v>65</v>
      </c>
      <c r="G364">
        <f>IF(ISERROR(MATCH(AllProtiens!F364,Genomes!$C:$C,0)),0,1)</f>
        <v>1</v>
      </c>
      <c r="H364">
        <f>IF(ISERROR(MATCH(AllProtiens!A364,CoreProteinGroups!B:B,0)),0,1)</f>
        <v>1</v>
      </c>
      <c r="J364" s="6" t="s">
        <v>66</v>
      </c>
    </row>
    <row r="365" spans="1:10" x14ac:dyDescent="0.2">
      <c r="A365" s="1" t="s">
        <v>714</v>
      </c>
      <c r="B365" t="s">
        <v>715</v>
      </c>
      <c r="C365" t="s">
        <v>741</v>
      </c>
      <c r="D365" s="6" t="str">
        <f t="shared" si="5"/>
        <v>PROT:AST09313.1</v>
      </c>
      <c r="E365" t="s">
        <v>742</v>
      </c>
      <c r="F365" t="s">
        <v>68</v>
      </c>
      <c r="G365">
        <f>IF(ISERROR(MATCH(AllProtiens!F365,Genomes!$C:$C,0)),0,1)</f>
        <v>1</v>
      </c>
      <c r="H365">
        <f>IF(ISERROR(MATCH(AllProtiens!A365,CoreProteinGroups!B:B,0)),0,1)</f>
        <v>1</v>
      </c>
      <c r="J365" s="6" t="s">
        <v>69</v>
      </c>
    </row>
    <row r="366" spans="1:10" x14ac:dyDescent="0.2">
      <c r="A366" s="1" t="s">
        <v>714</v>
      </c>
      <c r="B366" t="s">
        <v>715</v>
      </c>
      <c r="C366" t="s">
        <v>743</v>
      </c>
      <c r="D366" s="6" t="str">
        <f t="shared" si="5"/>
        <v>PROT:AEN03693.1</v>
      </c>
      <c r="E366" t="s">
        <v>742</v>
      </c>
      <c r="F366" t="s">
        <v>71</v>
      </c>
      <c r="G366">
        <f>IF(ISERROR(MATCH(AllProtiens!F366,Genomes!$C:$C,0)),0,1)</f>
        <v>1</v>
      </c>
      <c r="H366">
        <f>IF(ISERROR(MATCH(AllProtiens!A366,CoreProteinGroups!B:B,0)),0,1)</f>
        <v>1</v>
      </c>
      <c r="J366" s="6" t="s">
        <v>72</v>
      </c>
    </row>
    <row r="367" spans="1:10" x14ac:dyDescent="0.2">
      <c r="A367" s="1" t="s">
        <v>714</v>
      </c>
      <c r="B367" t="s">
        <v>715</v>
      </c>
      <c r="C367" t="s">
        <v>744</v>
      </c>
      <c r="D367" s="6" t="str">
        <f t="shared" si="5"/>
        <v>PROT:ABI99258.1</v>
      </c>
      <c r="E367" t="s">
        <v>731</v>
      </c>
      <c r="F367" t="s">
        <v>74</v>
      </c>
      <c r="G367">
        <f>IF(ISERROR(MATCH(AllProtiens!F367,Genomes!$C:$C,0)),0,1)</f>
        <v>1</v>
      </c>
      <c r="H367">
        <f>IF(ISERROR(MATCH(AllProtiens!A367,CoreProteinGroups!B:B,0)),0,1)</f>
        <v>1</v>
      </c>
      <c r="J367" s="6" t="s">
        <v>75</v>
      </c>
    </row>
    <row r="368" spans="1:10" x14ac:dyDescent="0.2">
      <c r="A368" s="1" t="s">
        <v>714</v>
      </c>
      <c r="B368" t="s">
        <v>715</v>
      </c>
      <c r="C368" t="s">
        <v>745</v>
      </c>
      <c r="D368" s="6" t="str">
        <f t="shared" si="5"/>
        <v>PROT:ABJ09015.1</v>
      </c>
      <c r="E368" t="s">
        <v>731</v>
      </c>
      <c r="F368" t="s">
        <v>77</v>
      </c>
      <c r="G368">
        <f>IF(ISERROR(MATCH(AllProtiens!F368,Genomes!$C:$C,0)),0,1)</f>
        <v>1</v>
      </c>
      <c r="H368">
        <f>IF(ISERROR(MATCH(AllProtiens!A368,CoreProteinGroups!B:B,0)),0,1)</f>
        <v>1</v>
      </c>
      <c r="J368" s="6" t="s">
        <v>78</v>
      </c>
    </row>
    <row r="369" spans="1:10" x14ac:dyDescent="0.2">
      <c r="A369" s="1" t="s">
        <v>714</v>
      </c>
      <c r="B369" t="s">
        <v>715</v>
      </c>
      <c r="C369" t="s">
        <v>746</v>
      </c>
      <c r="D369" s="6" t="str">
        <f t="shared" si="5"/>
        <v>PROT:AAF14980.1</v>
      </c>
      <c r="E369" t="s">
        <v>747</v>
      </c>
      <c r="F369" t="s">
        <v>81</v>
      </c>
      <c r="G369">
        <f>IF(ISERROR(MATCH(AllProtiens!F369,Genomes!$C:$C,0)),0,1)</f>
        <v>0</v>
      </c>
      <c r="H369">
        <f>IF(ISERROR(MATCH(AllProtiens!A369,CoreProteinGroups!B:B,0)),0,1)</f>
        <v>1</v>
      </c>
      <c r="J369" s="6" t="s">
        <v>82</v>
      </c>
    </row>
    <row r="370" spans="1:10" x14ac:dyDescent="0.2">
      <c r="A370" s="1" t="s">
        <v>714</v>
      </c>
      <c r="B370" t="s">
        <v>715</v>
      </c>
      <c r="C370" t="s">
        <v>748</v>
      </c>
      <c r="D370" s="6" t="str">
        <f t="shared" si="5"/>
        <v>PROT:AFU77356.1</v>
      </c>
      <c r="E370" t="s">
        <v>747</v>
      </c>
      <c r="F370" t="s">
        <v>81</v>
      </c>
      <c r="G370">
        <f>IF(ISERROR(MATCH(AllProtiens!F370,Genomes!$C:$C,0)),0,1)</f>
        <v>0</v>
      </c>
      <c r="H370">
        <f>IF(ISERROR(MATCH(AllProtiens!A370,CoreProteinGroups!B:B,0)),0,1)</f>
        <v>1</v>
      </c>
      <c r="J370" s="6" t="s">
        <v>82</v>
      </c>
    </row>
    <row r="371" spans="1:10" x14ac:dyDescent="0.2">
      <c r="A371" s="1" t="s">
        <v>714</v>
      </c>
      <c r="B371" t="s">
        <v>715</v>
      </c>
      <c r="C371" t="s">
        <v>749</v>
      </c>
      <c r="D371" s="6" t="str">
        <f t="shared" si="5"/>
        <v>PROT:AAF17976.1</v>
      </c>
      <c r="E371" t="s">
        <v>750</v>
      </c>
      <c r="F371" t="s">
        <v>86</v>
      </c>
      <c r="G371">
        <f>IF(ISERROR(MATCH(AllProtiens!F371,Genomes!$C:$C,0)),0,1)</f>
        <v>1</v>
      </c>
      <c r="H371">
        <f>IF(ISERROR(MATCH(AllProtiens!A371,CoreProteinGroups!B:B,0)),0,1)</f>
        <v>1</v>
      </c>
      <c r="J371" s="6" t="s">
        <v>87</v>
      </c>
    </row>
    <row r="372" spans="1:10" x14ac:dyDescent="0.2">
      <c r="A372" s="1" t="s">
        <v>714</v>
      </c>
      <c r="B372" t="s">
        <v>715</v>
      </c>
      <c r="C372" t="s">
        <v>751</v>
      </c>
      <c r="D372" s="6" t="str">
        <f t="shared" si="5"/>
        <v>PROT:AAC55234.1</v>
      </c>
      <c r="E372" t="s">
        <v>752</v>
      </c>
      <c r="F372" t="s">
        <v>90</v>
      </c>
      <c r="G372">
        <f>IF(ISERROR(MATCH(AllProtiens!F372,Genomes!$C:$C,0)),0,1)</f>
        <v>1</v>
      </c>
      <c r="H372">
        <f>IF(ISERROR(MATCH(AllProtiens!A372,CoreProteinGroups!B:B,0)),0,1)</f>
        <v>1</v>
      </c>
      <c r="J372" s="6" t="s">
        <v>91</v>
      </c>
    </row>
    <row r="373" spans="1:10" x14ac:dyDescent="0.2">
      <c r="A373" s="1" t="s">
        <v>714</v>
      </c>
      <c r="B373" t="s">
        <v>715</v>
      </c>
      <c r="C373" t="s">
        <v>753</v>
      </c>
      <c r="D373" s="6" t="str">
        <f t="shared" si="5"/>
        <v>PROT:AYN64688.1</v>
      </c>
      <c r="E373" t="s">
        <v>754</v>
      </c>
      <c r="F373" t="s">
        <v>94</v>
      </c>
      <c r="G373">
        <f>IF(ISERROR(MATCH(AllProtiens!F373,Genomes!$C:$C,0)),0,1)</f>
        <v>1</v>
      </c>
      <c r="H373">
        <f>IF(ISERROR(MATCH(AllProtiens!A373,CoreProteinGroups!B:B,0)),0,1)</f>
        <v>1</v>
      </c>
      <c r="J373" s="6" t="s">
        <v>95</v>
      </c>
    </row>
    <row r="374" spans="1:10" x14ac:dyDescent="0.2">
      <c r="A374" s="1" t="s">
        <v>714</v>
      </c>
      <c r="B374" t="s">
        <v>715</v>
      </c>
      <c r="C374" t="s">
        <v>755</v>
      </c>
      <c r="D374" s="6" t="str">
        <f t="shared" si="5"/>
        <v>PROT:AXN74917.1</v>
      </c>
      <c r="E374" t="s">
        <v>717</v>
      </c>
      <c r="F374" t="s">
        <v>97</v>
      </c>
      <c r="G374">
        <f>IF(ISERROR(MATCH(AllProtiens!F374,Genomes!$C:$C,0)),0,1)</f>
        <v>1</v>
      </c>
      <c r="H374">
        <f>IF(ISERROR(MATCH(AllProtiens!A374,CoreProteinGroups!B:B,0)),0,1)</f>
        <v>1</v>
      </c>
      <c r="J374" s="6" t="s">
        <v>98</v>
      </c>
    </row>
    <row r="375" spans="1:10" x14ac:dyDescent="0.2">
      <c r="A375" s="1" t="s">
        <v>714</v>
      </c>
      <c r="B375" t="s">
        <v>715</v>
      </c>
      <c r="C375" t="s">
        <v>756</v>
      </c>
      <c r="D375" s="6" t="str">
        <f t="shared" si="5"/>
        <v>PROT:ABH08229.1</v>
      </c>
      <c r="E375" t="s">
        <v>757</v>
      </c>
      <c r="F375" t="s">
        <v>101</v>
      </c>
      <c r="G375">
        <f>IF(ISERROR(MATCH(AllProtiens!F375,Genomes!$C:$C,0)),0,1)</f>
        <v>1</v>
      </c>
      <c r="H375">
        <f>IF(ISERROR(MATCH(AllProtiens!A375,CoreProteinGroups!B:B,0)),0,1)</f>
        <v>1</v>
      </c>
      <c r="J375" s="6" t="s">
        <v>102</v>
      </c>
    </row>
    <row r="376" spans="1:10" x14ac:dyDescent="0.2">
      <c r="A376" s="1" t="s">
        <v>714</v>
      </c>
      <c r="B376" t="s">
        <v>715</v>
      </c>
      <c r="C376" t="s">
        <v>758</v>
      </c>
      <c r="D376" s="6" t="str">
        <f t="shared" si="5"/>
        <v>PROT:AAG37602.1</v>
      </c>
      <c r="E376" t="s">
        <v>759</v>
      </c>
      <c r="F376" t="s">
        <v>105</v>
      </c>
      <c r="G376">
        <f>IF(ISERROR(MATCH(AllProtiens!F376,Genomes!$C:$C,0)),0,1)</f>
        <v>1</v>
      </c>
      <c r="H376">
        <f>IF(ISERROR(MATCH(AllProtiens!A376,CoreProteinGroups!B:B,0)),0,1)</f>
        <v>1</v>
      </c>
      <c r="J376" s="6" t="s">
        <v>106</v>
      </c>
    </row>
    <row r="377" spans="1:10" x14ac:dyDescent="0.2">
      <c r="A377" s="1" t="s">
        <v>714</v>
      </c>
      <c r="B377" t="s">
        <v>715</v>
      </c>
      <c r="C377" t="s">
        <v>760</v>
      </c>
      <c r="D377" s="6" t="str">
        <f t="shared" si="5"/>
        <v>PROT:AAL73827.1</v>
      </c>
      <c r="E377" t="s">
        <v>761</v>
      </c>
      <c r="F377" t="s">
        <v>109</v>
      </c>
      <c r="G377">
        <f>IF(ISERROR(MATCH(AllProtiens!F377,Genomes!$C:$C,0)),0,1)</f>
        <v>1</v>
      </c>
      <c r="H377">
        <f>IF(ISERROR(MATCH(AllProtiens!A377,CoreProteinGroups!B:B,0)),0,1)</f>
        <v>1</v>
      </c>
      <c r="J377" s="6" t="s">
        <v>110</v>
      </c>
    </row>
    <row r="378" spans="1:10" x14ac:dyDescent="0.2">
      <c r="A378" s="1" t="s">
        <v>714</v>
      </c>
      <c r="B378" t="s">
        <v>715</v>
      </c>
      <c r="C378" t="s">
        <v>762</v>
      </c>
      <c r="D378" s="6" t="str">
        <f t="shared" si="5"/>
        <v>PROT:AAM13576.1</v>
      </c>
      <c r="E378" t="s">
        <v>763</v>
      </c>
      <c r="F378" t="s">
        <v>113</v>
      </c>
      <c r="G378">
        <f>IF(ISERROR(MATCH(AllProtiens!F378,Genomes!$C:$C,0)),0,1)</f>
        <v>1</v>
      </c>
      <c r="H378">
        <f>IF(ISERROR(MATCH(AllProtiens!A378,CoreProteinGroups!B:B,0)),0,1)</f>
        <v>1</v>
      </c>
      <c r="J378" s="6" t="s">
        <v>114</v>
      </c>
    </row>
    <row r="379" spans="1:10" x14ac:dyDescent="0.2">
      <c r="A379" s="1" t="s">
        <v>714</v>
      </c>
      <c r="B379" t="s">
        <v>715</v>
      </c>
      <c r="C379" t="s">
        <v>764</v>
      </c>
      <c r="D379" s="6" t="str">
        <f t="shared" si="5"/>
        <v>PROT:AAM92410.1</v>
      </c>
      <c r="E379" t="s">
        <v>765</v>
      </c>
      <c r="F379" t="s">
        <v>117</v>
      </c>
      <c r="G379">
        <f>IF(ISERROR(MATCH(AllProtiens!F379,Genomes!$C:$C,0)),0,1)</f>
        <v>1</v>
      </c>
      <c r="H379">
        <f>IF(ISERROR(MATCH(AllProtiens!A379,CoreProteinGroups!B:B,0)),0,1)</f>
        <v>1</v>
      </c>
      <c r="J379" s="6" t="s">
        <v>118</v>
      </c>
    </row>
    <row r="380" spans="1:10" x14ac:dyDescent="0.2">
      <c r="A380" s="1" t="s">
        <v>714</v>
      </c>
      <c r="B380" t="s">
        <v>715</v>
      </c>
      <c r="C380" t="s">
        <v>766</v>
      </c>
      <c r="D380" s="6" t="str">
        <f t="shared" si="5"/>
        <v>PROT:AFH54669.1</v>
      </c>
      <c r="E380" t="s">
        <v>767</v>
      </c>
      <c r="F380" t="s">
        <v>120</v>
      </c>
      <c r="G380">
        <f>IF(ISERROR(MATCH(AllProtiens!F380,Genomes!$C:$C,0)),0,1)</f>
        <v>1</v>
      </c>
      <c r="H380">
        <f>IF(ISERROR(MATCH(AllProtiens!A380,CoreProteinGroups!B:B,0)),0,1)</f>
        <v>1</v>
      </c>
      <c r="J380" s="6" t="s">
        <v>121</v>
      </c>
    </row>
    <row r="381" spans="1:10" x14ac:dyDescent="0.2">
      <c r="A381" s="1" t="s">
        <v>714</v>
      </c>
      <c r="B381" t="s">
        <v>715</v>
      </c>
      <c r="C381" t="s">
        <v>768</v>
      </c>
      <c r="D381" s="6" t="str">
        <f t="shared" si="5"/>
        <v>PROT:AAL40572.1</v>
      </c>
      <c r="E381" t="s">
        <v>769</v>
      </c>
      <c r="F381" t="s">
        <v>124</v>
      </c>
      <c r="G381">
        <f>IF(ISERROR(MATCH(AllProtiens!F381,Genomes!$C:$C,0)),0,1)</f>
        <v>1</v>
      </c>
      <c r="H381">
        <f>IF(ISERROR(MATCH(AllProtiens!A381,CoreProteinGroups!B:B,0)),0,1)</f>
        <v>1</v>
      </c>
      <c r="J381" s="6" t="s">
        <v>125</v>
      </c>
    </row>
    <row r="382" spans="1:10" x14ac:dyDescent="0.2">
      <c r="A382" s="1" t="s">
        <v>714</v>
      </c>
      <c r="B382" t="s">
        <v>715</v>
      </c>
      <c r="C382" t="s">
        <v>770</v>
      </c>
      <c r="D382" s="6" t="str">
        <f t="shared" si="5"/>
        <v>PROT:AAX09209.1</v>
      </c>
      <c r="E382" t="s">
        <v>771</v>
      </c>
      <c r="F382" t="s">
        <v>128</v>
      </c>
      <c r="G382">
        <f>IF(ISERROR(MATCH(AllProtiens!F382,Genomes!$C:$C,0)),0,1)</f>
        <v>1</v>
      </c>
      <c r="H382">
        <f>IF(ISERROR(MATCH(AllProtiens!A382,CoreProteinGroups!B:B,0)),0,1)</f>
        <v>1</v>
      </c>
      <c r="J382" s="6" t="s">
        <v>129</v>
      </c>
    </row>
    <row r="383" spans="1:10" x14ac:dyDescent="0.2">
      <c r="A383" s="1" t="s">
        <v>714</v>
      </c>
      <c r="B383" t="s">
        <v>715</v>
      </c>
      <c r="C383" t="s">
        <v>772</v>
      </c>
      <c r="D383" s="6" t="str">
        <f t="shared" si="5"/>
        <v>PROT:AKJ93751.1</v>
      </c>
      <c r="E383" t="s">
        <v>717</v>
      </c>
      <c r="F383" t="s">
        <v>131</v>
      </c>
      <c r="G383">
        <f>IF(ISERROR(MATCH(AllProtiens!F383,Genomes!$C:$C,0)),0,1)</f>
        <v>1</v>
      </c>
      <c r="H383">
        <f>IF(ISERROR(MATCH(AllProtiens!A383,CoreProteinGroups!B:B,0)),0,1)</f>
        <v>1</v>
      </c>
      <c r="J383" s="6" t="s">
        <v>132</v>
      </c>
    </row>
    <row r="384" spans="1:10" x14ac:dyDescent="0.2">
      <c r="A384" s="1" t="s">
        <v>714</v>
      </c>
      <c r="B384" t="s">
        <v>715</v>
      </c>
      <c r="C384" t="s">
        <v>773</v>
      </c>
      <c r="D384" s="6" t="str">
        <f t="shared" si="5"/>
        <v>PROT:AOP31600.1</v>
      </c>
      <c r="E384" t="s">
        <v>724</v>
      </c>
      <c r="F384" t="s">
        <v>134</v>
      </c>
      <c r="G384">
        <f>IF(ISERROR(MATCH(AllProtiens!F384,Genomes!$C:$C,0)),0,1)</f>
        <v>1</v>
      </c>
      <c r="H384">
        <f>IF(ISERROR(MATCH(AllProtiens!A384,CoreProteinGroups!B:B,0)),0,1)</f>
        <v>1</v>
      </c>
      <c r="J384" s="6" t="s">
        <v>135</v>
      </c>
    </row>
    <row r="385" spans="1:10" x14ac:dyDescent="0.2">
      <c r="A385" s="1" t="s">
        <v>714</v>
      </c>
      <c r="B385" t="s">
        <v>715</v>
      </c>
      <c r="C385" t="s">
        <v>774</v>
      </c>
      <c r="D385" s="6" t="str">
        <f t="shared" si="5"/>
        <v>PROT:ABD97690.1</v>
      </c>
      <c r="E385" t="s">
        <v>775</v>
      </c>
      <c r="F385" t="s">
        <v>137</v>
      </c>
      <c r="G385">
        <f>IF(ISERROR(MATCH(AllProtiens!F385,Genomes!$C:$C,0)),0,1)</f>
        <v>1</v>
      </c>
      <c r="H385">
        <f>IF(ISERROR(MATCH(AllProtiens!A385,CoreProteinGroups!B:B,0)),0,1)</f>
        <v>1</v>
      </c>
      <c r="J385" s="6" t="s">
        <v>138</v>
      </c>
    </row>
    <row r="386" spans="1:10" x14ac:dyDescent="0.2">
      <c r="A386" s="1" t="s">
        <v>714</v>
      </c>
      <c r="B386" t="s">
        <v>715</v>
      </c>
      <c r="C386" t="s">
        <v>776</v>
      </c>
      <c r="D386" s="6" t="str">
        <f t="shared" ref="D386:D449" si="6">HYPERLINK(_xlfn.CONCAT("https://www.ncbi.nlm.nih.gov/protein/",C386),_xlfn.CONCAT("PROT:",C386))</f>
        <v>PROT:AAO89401.1</v>
      </c>
      <c r="E386" t="s">
        <v>775</v>
      </c>
      <c r="F386" t="s">
        <v>140</v>
      </c>
      <c r="G386">
        <f>IF(ISERROR(MATCH(AllProtiens!F386,Genomes!$C:$C,0)),0,1)</f>
        <v>1</v>
      </c>
      <c r="H386">
        <f>IF(ISERROR(MATCH(AllProtiens!A386,CoreProteinGroups!B:B,0)),0,1)</f>
        <v>1</v>
      </c>
      <c r="J386" s="6" t="s">
        <v>141</v>
      </c>
    </row>
    <row r="387" spans="1:10" x14ac:dyDescent="0.2">
      <c r="A387" s="1" t="s">
        <v>714</v>
      </c>
      <c r="B387" t="s">
        <v>715</v>
      </c>
      <c r="C387" t="s">
        <v>777</v>
      </c>
      <c r="D387" s="6" t="str">
        <f t="shared" si="6"/>
        <v>PROT:CAA49048.1</v>
      </c>
      <c r="E387" t="s">
        <v>778</v>
      </c>
      <c r="F387" t="s">
        <v>144</v>
      </c>
      <c r="G387">
        <f>IF(ISERROR(MATCH(AllProtiens!F387,Genomes!$C:$C,0)),0,1)</f>
        <v>1</v>
      </c>
      <c r="H387">
        <f>IF(ISERROR(MATCH(AllProtiens!A387,CoreProteinGroups!B:B,0)),0,1)</f>
        <v>1</v>
      </c>
      <c r="J387" s="6" t="s">
        <v>145</v>
      </c>
    </row>
    <row r="388" spans="1:10" x14ac:dyDescent="0.2">
      <c r="A388" s="1" t="s">
        <v>714</v>
      </c>
      <c r="B388" t="s">
        <v>715</v>
      </c>
      <c r="C388" t="s">
        <v>779</v>
      </c>
      <c r="D388" s="6" t="str">
        <f t="shared" si="6"/>
        <v>PROT:CAB54707.1</v>
      </c>
      <c r="E388" t="s">
        <v>780</v>
      </c>
      <c r="F388" t="s">
        <v>148</v>
      </c>
      <c r="G388">
        <f>IF(ISERROR(MATCH(AllProtiens!F388,Genomes!$C:$C,0)),0,1)</f>
        <v>1</v>
      </c>
      <c r="H388">
        <f>IF(ISERROR(MATCH(AllProtiens!A388,CoreProteinGroups!B:B,0)),0,1)</f>
        <v>1</v>
      </c>
      <c r="J388" s="6" t="s">
        <v>149</v>
      </c>
    </row>
    <row r="389" spans="1:10" x14ac:dyDescent="0.2">
      <c r="A389" s="1" t="s">
        <v>714</v>
      </c>
      <c r="B389" t="s">
        <v>715</v>
      </c>
      <c r="C389" t="s">
        <v>781</v>
      </c>
      <c r="D389" s="6" t="str">
        <f t="shared" si="6"/>
        <v>PROT:AOP31811.1</v>
      </c>
      <c r="E389" t="s">
        <v>724</v>
      </c>
      <c r="F389" t="s">
        <v>151</v>
      </c>
      <c r="G389">
        <f>IF(ISERROR(MATCH(AllProtiens!F389,Genomes!$C:$C,0)),0,1)</f>
        <v>1</v>
      </c>
      <c r="H389">
        <f>IF(ISERROR(MATCH(AllProtiens!A389,CoreProteinGroups!B:B,0)),0,1)</f>
        <v>1</v>
      </c>
      <c r="J389" s="6" t="s">
        <v>152</v>
      </c>
    </row>
    <row r="390" spans="1:10" x14ac:dyDescent="0.2">
      <c r="A390" s="1" t="s">
        <v>714</v>
      </c>
      <c r="B390" t="s">
        <v>715</v>
      </c>
      <c r="C390" t="s">
        <v>782</v>
      </c>
      <c r="D390" s="6" t="str">
        <f t="shared" si="6"/>
        <v>PROT:ASC55562.1</v>
      </c>
      <c r="E390" t="s">
        <v>783</v>
      </c>
      <c r="F390" t="s">
        <v>155</v>
      </c>
      <c r="G390">
        <f>IF(ISERROR(MATCH(AllProtiens!F390,Genomes!$C:$C,0)),0,1)</f>
        <v>1</v>
      </c>
      <c r="H390">
        <f>IF(ISERROR(MATCH(AllProtiens!A390,CoreProteinGroups!B:B,0)),0,1)</f>
        <v>1</v>
      </c>
      <c r="J390" s="6" t="s">
        <v>156</v>
      </c>
    </row>
    <row r="391" spans="1:10" x14ac:dyDescent="0.2">
      <c r="A391" s="1" t="s">
        <v>714</v>
      </c>
      <c r="B391" t="s">
        <v>715</v>
      </c>
      <c r="C391" t="s">
        <v>784</v>
      </c>
      <c r="D391" s="6" t="str">
        <f t="shared" si="6"/>
        <v>PROT:AAR98436.1</v>
      </c>
      <c r="E391" t="s">
        <v>785</v>
      </c>
      <c r="F391" t="s">
        <v>159</v>
      </c>
      <c r="G391">
        <f>IF(ISERROR(MATCH(AllProtiens!F391,Genomes!$C:$C,0)),0,1)</f>
        <v>1</v>
      </c>
      <c r="H391">
        <f>IF(ISERROR(MATCH(AllProtiens!A391,CoreProteinGroups!B:B,0)),0,1)</f>
        <v>1</v>
      </c>
      <c r="J391" s="6" t="s">
        <v>160</v>
      </c>
    </row>
    <row r="392" spans="1:10" x14ac:dyDescent="0.2">
      <c r="A392" s="1" t="s">
        <v>714</v>
      </c>
      <c r="B392" t="s">
        <v>715</v>
      </c>
      <c r="C392" t="s">
        <v>786</v>
      </c>
      <c r="D392" s="6" t="str">
        <f t="shared" si="6"/>
        <v>PROT:AAR98304.1</v>
      </c>
      <c r="E392" t="s">
        <v>785</v>
      </c>
      <c r="F392" t="s">
        <v>162</v>
      </c>
      <c r="G392">
        <f>IF(ISERROR(MATCH(AllProtiens!F392,Genomes!$C:$C,0)),0,1)</f>
        <v>1</v>
      </c>
      <c r="H392">
        <f>IF(ISERROR(MATCH(AllProtiens!A392,CoreProteinGroups!B:B,0)),0,1)</f>
        <v>1</v>
      </c>
      <c r="J392" s="6" t="s">
        <v>163</v>
      </c>
    </row>
    <row r="393" spans="1:10" x14ac:dyDescent="0.2">
      <c r="A393" s="1" t="s">
        <v>714</v>
      </c>
      <c r="B393" t="s">
        <v>715</v>
      </c>
      <c r="C393" t="s">
        <v>787</v>
      </c>
      <c r="D393" s="6" t="str">
        <f t="shared" si="6"/>
        <v>PROT:ABA00596.1</v>
      </c>
      <c r="E393" t="s">
        <v>788</v>
      </c>
      <c r="F393" t="s">
        <v>162</v>
      </c>
      <c r="G393">
        <f>IF(ISERROR(MATCH(AllProtiens!F393,Genomes!$C:$C,0)),0,1)</f>
        <v>1</v>
      </c>
      <c r="H393">
        <f>IF(ISERROR(MATCH(AllProtiens!A393,CoreProteinGroups!B:B,0)),0,1)</f>
        <v>1</v>
      </c>
      <c r="J393" s="6" t="s">
        <v>163</v>
      </c>
    </row>
    <row r="394" spans="1:10" x14ac:dyDescent="0.2">
      <c r="A394" s="1" t="s">
        <v>714</v>
      </c>
      <c r="B394" t="s">
        <v>715</v>
      </c>
      <c r="C394" t="s">
        <v>789</v>
      </c>
      <c r="D394" s="6" t="str">
        <f t="shared" si="6"/>
        <v>PROT:AIZ77330.1</v>
      </c>
      <c r="E394" t="s">
        <v>790</v>
      </c>
      <c r="F394" t="s">
        <v>167</v>
      </c>
      <c r="G394">
        <f>IF(ISERROR(MATCH(AllProtiens!F394,Genomes!$C:$C,0)),0,1)</f>
        <v>1</v>
      </c>
      <c r="H394">
        <f>IF(ISERROR(MATCH(AllProtiens!A394,CoreProteinGroups!B:B,0)),0,1)</f>
        <v>1</v>
      </c>
      <c r="J394" s="6" t="s">
        <v>168</v>
      </c>
    </row>
    <row r="395" spans="1:10" x14ac:dyDescent="0.2">
      <c r="A395" s="1" t="s">
        <v>714</v>
      </c>
      <c r="B395" t="s">
        <v>715</v>
      </c>
      <c r="C395" t="s">
        <v>791</v>
      </c>
      <c r="D395" s="6" t="str">
        <f t="shared" si="6"/>
        <v>PROT:ADC53981.1</v>
      </c>
      <c r="E395" t="s">
        <v>792</v>
      </c>
      <c r="F395" t="s">
        <v>170</v>
      </c>
      <c r="G395">
        <f>IF(ISERROR(MATCH(AllProtiens!F395,Genomes!$C:$C,0)),0,1)</f>
        <v>1</v>
      </c>
      <c r="H395">
        <f>IF(ISERROR(MATCH(AllProtiens!A395,CoreProteinGroups!B:B,0)),0,1)</f>
        <v>1</v>
      </c>
      <c r="J395" s="6" t="s">
        <v>171</v>
      </c>
    </row>
    <row r="396" spans="1:10" x14ac:dyDescent="0.2">
      <c r="A396" s="1" t="s">
        <v>714</v>
      </c>
      <c r="B396" t="s">
        <v>715</v>
      </c>
      <c r="C396" t="s">
        <v>793</v>
      </c>
      <c r="D396" s="6" t="str">
        <f t="shared" si="6"/>
        <v>PROT:AAL69830.1</v>
      </c>
      <c r="E396" t="s">
        <v>794</v>
      </c>
      <c r="F396" t="s">
        <v>174</v>
      </c>
      <c r="G396">
        <f>IF(ISERROR(MATCH(AllProtiens!F396,Genomes!$C:$C,0)),0,1)</f>
        <v>1</v>
      </c>
      <c r="H396">
        <f>IF(ISERROR(MATCH(AllProtiens!A396,CoreProteinGroups!B:B,0)),0,1)</f>
        <v>1</v>
      </c>
      <c r="J396" s="6" t="s">
        <v>175</v>
      </c>
    </row>
    <row r="397" spans="1:10" x14ac:dyDescent="0.2">
      <c r="A397" s="1" t="s">
        <v>714</v>
      </c>
      <c r="B397" t="s">
        <v>715</v>
      </c>
      <c r="C397" t="s">
        <v>795</v>
      </c>
      <c r="D397" s="6" t="str">
        <f t="shared" si="6"/>
        <v>PROT:CAC21332.1</v>
      </c>
      <c r="E397" t="s">
        <v>796</v>
      </c>
      <c r="F397" t="s">
        <v>178</v>
      </c>
      <c r="G397">
        <f>IF(ISERROR(MATCH(AllProtiens!F397,Genomes!$C:$C,0)),0,1)</f>
        <v>1</v>
      </c>
      <c r="H397">
        <f>IF(ISERROR(MATCH(AllProtiens!A397,CoreProteinGroups!B:B,0)),0,1)</f>
        <v>1</v>
      </c>
      <c r="J397" s="6" t="s">
        <v>179</v>
      </c>
    </row>
    <row r="398" spans="1:10" x14ac:dyDescent="0.2">
      <c r="A398" s="1" t="s">
        <v>714</v>
      </c>
      <c r="B398" t="s">
        <v>715</v>
      </c>
      <c r="C398" t="s">
        <v>797</v>
      </c>
      <c r="D398" s="6" t="str">
        <f t="shared" si="6"/>
        <v>PROT:AAR07450.1</v>
      </c>
      <c r="E398" t="s">
        <v>798</v>
      </c>
      <c r="F398" t="s">
        <v>182</v>
      </c>
      <c r="G398">
        <f>IF(ISERROR(MATCH(AllProtiens!F398,Genomes!$C:$C,0)),0,1)</f>
        <v>1</v>
      </c>
      <c r="H398">
        <f>IF(ISERROR(MATCH(AllProtiens!A398,CoreProteinGroups!B:B,0)),0,1)</f>
        <v>1</v>
      </c>
      <c r="J398" s="6" t="s">
        <v>183</v>
      </c>
    </row>
    <row r="399" spans="1:10" x14ac:dyDescent="0.2">
      <c r="A399" s="1" t="s">
        <v>714</v>
      </c>
      <c r="B399" t="s">
        <v>715</v>
      </c>
      <c r="C399" t="s">
        <v>799</v>
      </c>
      <c r="D399" s="6" t="str">
        <f t="shared" si="6"/>
        <v>PROT:AAC97680.1</v>
      </c>
      <c r="E399" t="s">
        <v>800</v>
      </c>
      <c r="F399" t="s">
        <v>186</v>
      </c>
      <c r="G399">
        <f>IF(ISERROR(MATCH(AllProtiens!F399,Genomes!$C:$C,0)),0,1)</f>
        <v>1</v>
      </c>
      <c r="H399">
        <f>IF(ISERROR(MATCH(AllProtiens!A399,CoreProteinGroups!B:B,0)),0,1)</f>
        <v>1</v>
      </c>
      <c r="J399" s="6" t="s">
        <v>187</v>
      </c>
    </row>
    <row r="400" spans="1:10" x14ac:dyDescent="0.2">
      <c r="A400" s="1" t="s">
        <v>714</v>
      </c>
      <c r="B400" t="s">
        <v>715</v>
      </c>
      <c r="C400" t="s">
        <v>801</v>
      </c>
      <c r="D400" s="6" t="str">
        <f t="shared" si="6"/>
        <v>PROT:BAO49491.1</v>
      </c>
      <c r="E400" t="s">
        <v>802</v>
      </c>
      <c r="F400" t="s">
        <v>190</v>
      </c>
      <c r="G400">
        <f>IF(ISERROR(MATCH(AllProtiens!F400,Genomes!$C:$C,0)),0,1)</f>
        <v>1</v>
      </c>
      <c r="H400">
        <f>IF(ISERROR(MATCH(AllProtiens!A400,CoreProteinGroups!B:B,0)),0,1)</f>
        <v>1</v>
      </c>
      <c r="J400" s="6" t="s">
        <v>191</v>
      </c>
    </row>
    <row r="401" spans="1:10" x14ac:dyDescent="0.2">
      <c r="A401" s="1" t="s">
        <v>714</v>
      </c>
      <c r="B401" t="s">
        <v>715</v>
      </c>
      <c r="C401" t="s">
        <v>803</v>
      </c>
      <c r="D401" s="6" t="str">
        <f t="shared" si="6"/>
        <v>PROT:CCU55503.1</v>
      </c>
      <c r="E401" t="s">
        <v>717</v>
      </c>
      <c r="F401" t="s">
        <v>193</v>
      </c>
      <c r="G401">
        <f>IF(ISERROR(MATCH(AllProtiens!F401,Genomes!$C:$C,0)),0,1)</f>
        <v>1</v>
      </c>
      <c r="H401">
        <f>IF(ISERROR(MATCH(AllProtiens!A401,CoreProteinGroups!B:B,0)),0,1)</f>
        <v>1</v>
      </c>
      <c r="J401" s="6" t="s">
        <v>194</v>
      </c>
    </row>
    <row r="402" spans="1:10" x14ac:dyDescent="0.2">
      <c r="A402" s="1" t="s">
        <v>714</v>
      </c>
      <c r="B402" t="s">
        <v>715</v>
      </c>
      <c r="C402" t="s">
        <v>804</v>
      </c>
      <c r="D402" s="6" t="str">
        <f t="shared" si="6"/>
        <v>PROT:AAG02853.1</v>
      </c>
      <c r="E402" t="s">
        <v>805</v>
      </c>
      <c r="F402" t="s">
        <v>197</v>
      </c>
      <c r="G402">
        <f>IF(ISERROR(MATCH(AllProtiens!F402,Genomes!$C:$C,0)),0,1)</f>
        <v>1</v>
      </c>
      <c r="H402">
        <f>IF(ISERROR(MATCH(AllProtiens!A402,CoreProteinGroups!B:B,0)),0,1)</f>
        <v>1</v>
      </c>
      <c r="J402" s="6" t="s">
        <v>198</v>
      </c>
    </row>
    <row r="403" spans="1:10" x14ac:dyDescent="0.2">
      <c r="A403" s="1" t="s">
        <v>714</v>
      </c>
      <c r="B403" t="s">
        <v>715</v>
      </c>
      <c r="C403" t="s">
        <v>806</v>
      </c>
      <c r="D403" s="6" t="str">
        <f t="shared" si="6"/>
        <v>PROT:CCU55762.1</v>
      </c>
      <c r="E403" t="s">
        <v>717</v>
      </c>
      <c r="F403" t="s">
        <v>200</v>
      </c>
      <c r="G403">
        <f>IF(ISERROR(MATCH(AllProtiens!F403,Genomes!$C:$C,0)),0,1)</f>
        <v>1</v>
      </c>
      <c r="H403">
        <f>IF(ISERROR(MATCH(AllProtiens!A403,CoreProteinGroups!B:B,0)),0,1)</f>
        <v>1</v>
      </c>
      <c r="J403" s="6" t="s">
        <v>201</v>
      </c>
    </row>
    <row r="404" spans="1:10" x14ac:dyDescent="0.2">
      <c r="A404" s="1" t="s">
        <v>714</v>
      </c>
      <c r="B404" t="s">
        <v>715</v>
      </c>
      <c r="C404" t="s">
        <v>807</v>
      </c>
      <c r="D404" s="6" t="str">
        <f t="shared" si="6"/>
        <v>PROT:CCU56064.1</v>
      </c>
      <c r="E404" t="s">
        <v>717</v>
      </c>
      <c r="F404" t="s">
        <v>203</v>
      </c>
      <c r="G404">
        <f>IF(ISERROR(MATCH(AllProtiens!F404,Genomes!$C:$C,0)),0,1)</f>
        <v>1</v>
      </c>
      <c r="H404">
        <f>IF(ISERROR(MATCH(AllProtiens!A404,CoreProteinGroups!B:B,0)),0,1)</f>
        <v>1</v>
      </c>
      <c r="J404" s="6" t="s">
        <v>204</v>
      </c>
    </row>
    <row r="405" spans="1:10" x14ac:dyDescent="0.2">
      <c r="A405" s="1" t="s">
        <v>714</v>
      </c>
      <c r="B405" t="s">
        <v>715</v>
      </c>
      <c r="C405" t="s">
        <v>808</v>
      </c>
      <c r="D405" s="6" t="str">
        <f t="shared" si="6"/>
        <v>PROT:CCU56384.1</v>
      </c>
      <c r="E405" t="s">
        <v>717</v>
      </c>
      <c r="F405" t="s">
        <v>206</v>
      </c>
      <c r="G405">
        <f>IF(ISERROR(MATCH(AllProtiens!F405,Genomes!$C:$C,0)),0,1)</f>
        <v>1</v>
      </c>
      <c r="H405">
        <f>IF(ISERROR(MATCH(AllProtiens!A405,CoreProteinGroups!B:B,0)),0,1)</f>
        <v>1</v>
      </c>
      <c r="J405" s="6" t="s">
        <v>207</v>
      </c>
    </row>
    <row r="406" spans="1:10" x14ac:dyDescent="0.2">
      <c r="A406" s="1" t="s">
        <v>714</v>
      </c>
      <c r="B406" t="s">
        <v>715</v>
      </c>
      <c r="C406" t="s">
        <v>809</v>
      </c>
      <c r="D406" s="6" t="str">
        <f t="shared" si="6"/>
        <v>PROT:NP_659666.1</v>
      </c>
      <c r="E406" t="s">
        <v>810</v>
      </c>
      <c r="F406" t="s">
        <v>210</v>
      </c>
      <c r="G406">
        <f>IF(ISERROR(MATCH(AllProtiens!F406,Genomes!$C:$C,0)),0,1)</f>
        <v>1</v>
      </c>
      <c r="H406">
        <f>IF(ISERROR(MATCH(AllProtiens!A406,CoreProteinGroups!B:B,0)),0,1)</f>
        <v>1</v>
      </c>
      <c r="J406" s="6" t="s">
        <v>211</v>
      </c>
    </row>
    <row r="407" spans="1:10" x14ac:dyDescent="0.2">
      <c r="A407" s="1" t="s">
        <v>714</v>
      </c>
      <c r="B407" t="s">
        <v>715</v>
      </c>
      <c r="C407" t="s">
        <v>811</v>
      </c>
      <c r="D407" s="6" t="str">
        <f t="shared" si="6"/>
        <v>PROT:YP_001293285.1</v>
      </c>
      <c r="E407" t="s">
        <v>812</v>
      </c>
      <c r="F407" t="s">
        <v>214</v>
      </c>
      <c r="G407">
        <f>IF(ISERROR(MATCH(AllProtiens!F407,Genomes!$C:$C,0)),0,1)</f>
        <v>1</v>
      </c>
      <c r="H407">
        <f>IF(ISERROR(MATCH(AllProtiens!A407,CoreProteinGroups!B:B,0)),0,1)</f>
        <v>1</v>
      </c>
      <c r="J407" s="6" t="s">
        <v>215</v>
      </c>
    </row>
    <row r="408" spans="1:10" x14ac:dyDescent="0.2">
      <c r="A408" s="1" t="s">
        <v>813</v>
      </c>
      <c r="B408" t="s">
        <v>814</v>
      </c>
      <c r="C408" t="s">
        <v>815</v>
      </c>
      <c r="D408" s="6" t="str">
        <f t="shared" si="6"/>
        <v>PROT:ATI21237.1</v>
      </c>
      <c r="E408" t="s">
        <v>816</v>
      </c>
      <c r="F408" t="s">
        <v>14</v>
      </c>
      <c r="G408">
        <f>IF(ISERROR(MATCH(AllProtiens!F408,Genomes!$C:$C,0)),0,1)</f>
        <v>1</v>
      </c>
      <c r="H408">
        <f>IF(ISERROR(MATCH(AllProtiens!A408,CoreProteinGroups!B:B,0)),0,1)</f>
        <v>1</v>
      </c>
      <c r="J408" s="6" t="s">
        <v>15</v>
      </c>
    </row>
    <row r="409" spans="1:10" x14ac:dyDescent="0.2">
      <c r="A409" s="1" t="s">
        <v>813</v>
      </c>
      <c r="B409" t="s">
        <v>814</v>
      </c>
      <c r="C409" t="s">
        <v>817</v>
      </c>
      <c r="D409" s="6" t="str">
        <f t="shared" si="6"/>
        <v>PROT:AWU47167.1</v>
      </c>
      <c r="E409" t="s">
        <v>816</v>
      </c>
      <c r="F409" t="s">
        <v>17</v>
      </c>
      <c r="G409">
        <f>IF(ISERROR(MATCH(AllProtiens!F409,Genomes!$C:$C,0)),0,1)</f>
        <v>1</v>
      </c>
      <c r="H409">
        <f>IF(ISERROR(MATCH(AllProtiens!A409,CoreProteinGroups!B:B,0)),0,1)</f>
        <v>1</v>
      </c>
      <c r="J409" s="6" t="s">
        <v>18</v>
      </c>
    </row>
    <row r="410" spans="1:10" x14ac:dyDescent="0.2">
      <c r="A410" s="1" t="s">
        <v>813</v>
      </c>
      <c r="B410" t="s">
        <v>814</v>
      </c>
      <c r="C410" t="s">
        <v>818</v>
      </c>
      <c r="D410" s="6" t="str">
        <f t="shared" si="6"/>
        <v>PROT:APG58340.1</v>
      </c>
      <c r="E410" t="s">
        <v>819</v>
      </c>
      <c r="F410" t="s">
        <v>21</v>
      </c>
      <c r="G410">
        <f>IF(ISERROR(MATCH(AllProtiens!F410,Genomes!$C:$C,0)),0,1)</f>
        <v>1</v>
      </c>
      <c r="H410">
        <f>IF(ISERROR(MATCH(AllProtiens!A410,CoreProteinGroups!B:B,0)),0,1)</f>
        <v>1</v>
      </c>
      <c r="J410" s="6" t="s">
        <v>22</v>
      </c>
    </row>
    <row r="411" spans="1:10" x14ac:dyDescent="0.2">
      <c r="A411" s="1" t="s">
        <v>813</v>
      </c>
      <c r="B411" t="s">
        <v>814</v>
      </c>
      <c r="C411" t="s">
        <v>820</v>
      </c>
      <c r="D411" s="6" t="str">
        <f t="shared" si="6"/>
        <v>PROT:ADT91147.1</v>
      </c>
      <c r="E411" t="s">
        <v>821</v>
      </c>
      <c r="F411" t="s">
        <v>25</v>
      </c>
      <c r="G411">
        <f>IF(ISERROR(MATCH(AllProtiens!F411,Genomes!$C:$C,0)),0,1)</f>
        <v>1</v>
      </c>
      <c r="H411">
        <f>IF(ISERROR(MATCH(AllProtiens!A411,CoreProteinGroups!B:B,0)),0,1)</f>
        <v>1</v>
      </c>
      <c r="J411" s="6" t="s">
        <v>26</v>
      </c>
    </row>
    <row r="412" spans="1:10" x14ac:dyDescent="0.2">
      <c r="A412" s="1" t="s">
        <v>813</v>
      </c>
      <c r="B412" t="s">
        <v>814</v>
      </c>
      <c r="C412" t="s">
        <v>822</v>
      </c>
      <c r="D412" s="6" t="str">
        <f t="shared" si="6"/>
        <v>PROT:ANS71211.1</v>
      </c>
      <c r="E412" t="s">
        <v>816</v>
      </c>
      <c r="F412" t="s">
        <v>28</v>
      </c>
      <c r="G412">
        <f>IF(ISERROR(MATCH(AllProtiens!F412,Genomes!$C:$C,0)),0,1)</f>
        <v>1</v>
      </c>
      <c r="H412">
        <f>IF(ISERROR(MATCH(AllProtiens!A412,CoreProteinGroups!B:B,0)),0,1)</f>
        <v>1</v>
      </c>
      <c r="J412" s="6" t="s">
        <v>29</v>
      </c>
    </row>
    <row r="413" spans="1:10" x14ac:dyDescent="0.2">
      <c r="A413" s="1" t="s">
        <v>813</v>
      </c>
      <c r="B413" t="s">
        <v>814</v>
      </c>
      <c r="C413" t="s">
        <v>823</v>
      </c>
      <c r="D413" s="6" t="str">
        <f t="shared" si="6"/>
        <v>PROT:AKR04192.1</v>
      </c>
      <c r="E413" t="s">
        <v>824</v>
      </c>
      <c r="F413" t="s">
        <v>32</v>
      </c>
      <c r="G413">
        <f>IF(ISERROR(MATCH(AllProtiens!F413,Genomes!$C:$C,0)),0,1)</f>
        <v>1</v>
      </c>
      <c r="H413">
        <f>IF(ISERROR(MATCH(AllProtiens!A413,CoreProteinGroups!B:B,0)),0,1)</f>
        <v>1</v>
      </c>
      <c r="J413" s="6" t="s">
        <v>33</v>
      </c>
    </row>
    <row r="414" spans="1:10" x14ac:dyDescent="0.2">
      <c r="A414" s="1" t="s">
        <v>813</v>
      </c>
      <c r="B414" t="s">
        <v>814</v>
      </c>
      <c r="C414" t="s">
        <v>825</v>
      </c>
      <c r="D414" s="6" t="str">
        <f t="shared" si="6"/>
        <v>PROT:CCD83304.1</v>
      </c>
      <c r="E414" t="s">
        <v>826</v>
      </c>
      <c r="F414" t="s">
        <v>36</v>
      </c>
      <c r="G414">
        <f>IF(ISERROR(MATCH(AllProtiens!F414,Genomes!$C:$C,0)),0,1)</f>
        <v>1</v>
      </c>
      <c r="H414">
        <f>IF(ISERROR(MATCH(AllProtiens!A414,CoreProteinGroups!B:B,0)),0,1)</f>
        <v>1</v>
      </c>
      <c r="J414" s="6" t="s">
        <v>37</v>
      </c>
    </row>
    <row r="415" spans="1:10" x14ac:dyDescent="0.2">
      <c r="A415" s="1" t="s">
        <v>813</v>
      </c>
      <c r="B415" t="s">
        <v>814</v>
      </c>
      <c r="C415" t="s">
        <v>827</v>
      </c>
      <c r="D415" s="6" t="str">
        <f t="shared" si="6"/>
        <v>PROT:ASK51330.1</v>
      </c>
      <c r="E415" t="s">
        <v>816</v>
      </c>
      <c r="F415" t="s">
        <v>40</v>
      </c>
      <c r="G415">
        <f>IF(ISERROR(MATCH(AllProtiens!F415,Genomes!$C:$C,0)),0,1)</f>
        <v>1</v>
      </c>
      <c r="H415">
        <f>IF(ISERROR(MATCH(AllProtiens!A415,CoreProteinGroups!B:B,0)),0,1)</f>
        <v>1</v>
      </c>
      <c r="J415" s="6" t="s">
        <v>41</v>
      </c>
    </row>
    <row r="416" spans="1:10" x14ac:dyDescent="0.2">
      <c r="A416" s="1" t="s">
        <v>813</v>
      </c>
      <c r="B416" t="s">
        <v>814</v>
      </c>
      <c r="C416" t="s">
        <v>828</v>
      </c>
      <c r="D416" s="6" t="str">
        <f t="shared" si="6"/>
        <v>PROT:AUD40306.1</v>
      </c>
      <c r="E416" t="s">
        <v>829</v>
      </c>
      <c r="F416" t="s">
        <v>43</v>
      </c>
      <c r="G416">
        <f>IF(ISERROR(MATCH(AllProtiens!F416,Genomes!$C:$C,0)),0,1)</f>
        <v>1</v>
      </c>
      <c r="H416">
        <f>IF(ISERROR(MATCH(AllProtiens!A416,CoreProteinGroups!B:B,0)),0,1)</f>
        <v>1</v>
      </c>
      <c r="J416" s="6" t="s">
        <v>44</v>
      </c>
    </row>
    <row r="417" spans="1:10" x14ac:dyDescent="0.2">
      <c r="A417" s="1" t="s">
        <v>813</v>
      </c>
      <c r="B417" t="s">
        <v>814</v>
      </c>
      <c r="C417" t="s">
        <v>830</v>
      </c>
      <c r="D417" s="6" t="str">
        <f t="shared" si="6"/>
        <v>PROT:AID46937.1</v>
      </c>
      <c r="E417" t="s">
        <v>829</v>
      </c>
      <c r="F417" t="s">
        <v>46</v>
      </c>
      <c r="G417">
        <f>IF(ISERROR(MATCH(AllProtiens!F417,Genomes!$C:$C,0)),0,1)</f>
        <v>1</v>
      </c>
      <c r="H417">
        <f>IF(ISERROR(MATCH(AllProtiens!A417,CoreProteinGroups!B:B,0)),0,1)</f>
        <v>1</v>
      </c>
      <c r="J417" s="6" t="s">
        <v>47</v>
      </c>
    </row>
    <row r="418" spans="1:10" x14ac:dyDescent="0.2">
      <c r="A418" s="1" t="s">
        <v>813</v>
      </c>
      <c r="B418" t="s">
        <v>814</v>
      </c>
      <c r="C418" t="s">
        <v>831</v>
      </c>
      <c r="D418" s="6" t="str">
        <f t="shared" si="6"/>
        <v>PROT:AID46705.1</v>
      </c>
      <c r="E418" t="s">
        <v>829</v>
      </c>
      <c r="F418" t="s">
        <v>49</v>
      </c>
      <c r="G418">
        <f>IF(ISERROR(MATCH(AllProtiens!F418,Genomes!$C:$C,0)),0,1)</f>
        <v>1</v>
      </c>
      <c r="H418">
        <f>IF(ISERROR(MATCH(AllProtiens!A418,CoreProteinGroups!B:B,0)),0,1)</f>
        <v>1</v>
      </c>
      <c r="J418" s="6" t="s">
        <v>50</v>
      </c>
    </row>
    <row r="419" spans="1:10" x14ac:dyDescent="0.2">
      <c r="A419" s="1" t="s">
        <v>813</v>
      </c>
      <c r="B419" t="s">
        <v>814</v>
      </c>
      <c r="C419" t="s">
        <v>832</v>
      </c>
      <c r="D419" s="6" t="str">
        <f t="shared" si="6"/>
        <v>PROT:ALA62519.1</v>
      </c>
      <c r="E419" t="s">
        <v>829</v>
      </c>
      <c r="F419" t="s">
        <v>53</v>
      </c>
      <c r="G419">
        <f>IF(ISERROR(MATCH(AllProtiens!F419,Genomes!$C:$C,0)),0,1)</f>
        <v>1</v>
      </c>
      <c r="H419">
        <f>IF(ISERROR(MATCH(AllProtiens!A419,CoreProteinGroups!B:B,0)),0,1)</f>
        <v>1</v>
      </c>
      <c r="J419" s="6" t="s">
        <v>54</v>
      </c>
    </row>
    <row r="420" spans="1:10" x14ac:dyDescent="0.2">
      <c r="A420" s="1" t="s">
        <v>813</v>
      </c>
      <c r="B420" t="s">
        <v>814</v>
      </c>
      <c r="C420" t="s">
        <v>833</v>
      </c>
      <c r="D420" s="6" t="str">
        <f t="shared" si="6"/>
        <v>PROT:AAR83617.1</v>
      </c>
      <c r="E420" t="s">
        <v>834</v>
      </c>
      <c r="F420" t="s">
        <v>57</v>
      </c>
      <c r="G420">
        <f>IF(ISERROR(MATCH(AllProtiens!F420,Genomes!$C:$C,0)),0,1)</f>
        <v>1</v>
      </c>
      <c r="H420">
        <f>IF(ISERROR(MATCH(AllProtiens!A420,CoreProteinGroups!B:B,0)),0,1)</f>
        <v>1</v>
      </c>
      <c r="J420" s="6" t="s">
        <v>58</v>
      </c>
    </row>
    <row r="421" spans="1:10" x14ac:dyDescent="0.2">
      <c r="A421" s="1" t="s">
        <v>813</v>
      </c>
      <c r="B421" t="s">
        <v>814</v>
      </c>
      <c r="C421" t="s">
        <v>835</v>
      </c>
      <c r="D421" s="6" t="str">
        <f t="shared" si="6"/>
        <v>PROT:AAF44541.1</v>
      </c>
      <c r="E421" t="s">
        <v>836</v>
      </c>
      <c r="F421" t="s">
        <v>61</v>
      </c>
      <c r="G421">
        <f>IF(ISERROR(MATCH(AllProtiens!F421,Genomes!$C:$C,0)),0,1)</f>
        <v>1</v>
      </c>
      <c r="H421">
        <f>IF(ISERROR(MATCH(AllProtiens!A421,CoreProteinGroups!B:B,0)),0,1)</f>
        <v>1</v>
      </c>
      <c r="J421" s="6" t="s">
        <v>62</v>
      </c>
    </row>
    <row r="422" spans="1:10" x14ac:dyDescent="0.2">
      <c r="A422" s="1" t="s">
        <v>813</v>
      </c>
      <c r="B422" t="s">
        <v>814</v>
      </c>
      <c r="C422" t="s">
        <v>837</v>
      </c>
      <c r="D422" s="6" t="str">
        <f t="shared" si="6"/>
        <v>PROT:AAK85082.1</v>
      </c>
      <c r="E422" t="s">
        <v>838</v>
      </c>
      <c r="F422" t="s">
        <v>65</v>
      </c>
      <c r="G422">
        <f>IF(ISERROR(MATCH(AllProtiens!F422,Genomes!$C:$C,0)),0,1)</f>
        <v>1</v>
      </c>
      <c r="H422">
        <f>IF(ISERROR(MATCH(AllProtiens!A422,CoreProteinGroups!B:B,0)),0,1)</f>
        <v>1</v>
      </c>
      <c r="J422" s="6" t="s">
        <v>66</v>
      </c>
    </row>
    <row r="423" spans="1:10" x14ac:dyDescent="0.2">
      <c r="A423" s="1" t="s">
        <v>813</v>
      </c>
      <c r="B423" t="s">
        <v>814</v>
      </c>
      <c r="C423" t="s">
        <v>839</v>
      </c>
      <c r="D423" s="6" t="str">
        <f t="shared" si="6"/>
        <v>PROT:AST09344.1</v>
      </c>
      <c r="E423" t="s">
        <v>840</v>
      </c>
      <c r="F423" t="s">
        <v>68</v>
      </c>
      <c r="G423">
        <f>IF(ISERROR(MATCH(AllProtiens!F423,Genomes!$C:$C,0)),0,1)</f>
        <v>1</v>
      </c>
      <c r="H423">
        <f>IF(ISERROR(MATCH(AllProtiens!A423,CoreProteinGroups!B:B,0)),0,1)</f>
        <v>1</v>
      </c>
      <c r="J423" s="6" t="s">
        <v>69</v>
      </c>
    </row>
    <row r="424" spans="1:10" x14ac:dyDescent="0.2">
      <c r="A424" s="1" t="s">
        <v>813</v>
      </c>
      <c r="B424" t="s">
        <v>814</v>
      </c>
      <c r="C424" t="s">
        <v>841</v>
      </c>
      <c r="D424" s="6" t="str">
        <f t="shared" si="6"/>
        <v>PROT:AEN03726.1</v>
      </c>
      <c r="E424" t="s">
        <v>840</v>
      </c>
      <c r="F424" t="s">
        <v>71</v>
      </c>
      <c r="G424">
        <f>IF(ISERROR(MATCH(AllProtiens!F424,Genomes!$C:$C,0)),0,1)</f>
        <v>1</v>
      </c>
      <c r="H424">
        <f>IF(ISERROR(MATCH(AllProtiens!A424,CoreProteinGroups!B:B,0)),0,1)</f>
        <v>1</v>
      </c>
      <c r="J424" s="6" t="s">
        <v>72</v>
      </c>
    </row>
    <row r="425" spans="1:10" x14ac:dyDescent="0.2">
      <c r="A425" s="1" t="s">
        <v>813</v>
      </c>
      <c r="B425" t="s">
        <v>814</v>
      </c>
      <c r="C425" t="s">
        <v>842</v>
      </c>
      <c r="D425" s="6" t="str">
        <f t="shared" si="6"/>
        <v>PROT:ABI99286.1</v>
      </c>
      <c r="E425" t="s">
        <v>821</v>
      </c>
      <c r="F425" t="s">
        <v>74</v>
      </c>
      <c r="G425">
        <f>IF(ISERROR(MATCH(AllProtiens!F425,Genomes!$C:$C,0)),0,1)</f>
        <v>1</v>
      </c>
      <c r="H425">
        <f>IF(ISERROR(MATCH(AllProtiens!A425,CoreProteinGroups!B:B,0)),0,1)</f>
        <v>1</v>
      </c>
      <c r="J425" s="6" t="s">
        <v>75</v>
      </c>
    </row>
    <row r="426" spans="1:10" x14ac:dyDescent="0.2">
      <c r="A426" s="1" t="s">
        <v>813</v>
      </c>
      <c r="B426" t="s">
        <v>814</v>
      </c>
      <c r="C426" t="s">
        <v>843</v>
      </c>
      <c r="D426" s="6" t="str">
        <f t="shared" si="6"/>
        <v>PROT:ABJ09045.1</v>
      </c>
      <c r="E426" t="s">
        <v>844</v>
      </c>
      <c r="F426" t="s">
        <v>77</v>
      </c>
      <c r="G426">
        <f>IF(ISERROR(MATCH(AllProtiens!F426,Genomes!$C:$C,0)),0,1)</f>
        <v>1</v>
      </c>
      <c r="H426">
        <f>IF(ISERROR(MATCH(AllProtiens!A426,CoreProteinGroups!B:B,0)),0,1)</f>
        <v>1</v>
      </c>
      <c r="J426" s="6" t="s">
        <v>78</v>
      </c>
    </row>
    <row r="427" spans="1:10" x14ac:dyDescent="0.2">
      <c r="A427" s="1" t="s">
        <v>813</v>
      </c>
      <c r="B427" t="s">
        <v>814</v>
      </c>
      <c r="C427" t="s">
        <v>845</v>
      </c>
      <c r="D427" s="6" t="str">
        <f t="shared" si="6"/>
        <v>PROT:AAF15008.1</v>
      </c>
      <c r="E427" t="s">
        <v>846</v>
      </c>
      <c r="F427" t="s">
        <v>81</v>
      </c>
      <c r="G427">
        <f>IF(ISERROR(MATCH(AllProtiens!F427,Genomes!$C:$C,0)),0,1)</f>
        <v>0</v>
      </c>
      <c r="H427">
        <f>IF(ISERROR(MATCH(AllProtiens!A427,CoreProteinGroups!B:B,0)),0,1)</f>
        <v>1</v>
      </c>
      <c r="J427" s="6" t="s">
        <v>82</v>
      </c>
    </row>
    <row r="428" spans="1:10" x14ac:dyDescent="0.2">
      <c r="A428" s="1" t="s">
        <v>813</v>
      </c>
      <c r="B428" t="s">
        <v>814</v>
      </c>
      <c r="C428" t="s">
        <v>847</v>
      </c>
      <c r="D428" s="6" t="str">
        <f t="shared" si="6"/>
        <v>PROT:AFU77384.1</v>
      </c>
      <c r="E428" t="s">
        <v>846</v>
      </c>
      <c r="F428" t="s">
        <v>81</v>
      </c>
      <c r="G428">
        <f>IF(ISERROR(MATCH(AllProtiens!F428,Genomes!$C:$C,0)),0,1)</f>
        <v>0</v>
      </c>
      <c r="H428">
        <f>IF(ISERROR(MATCH(AllProtiens!A428,CoreProteinGroups!B:B,0)),0,1)</f>
        <v>1</v>
      </c>
      <c r="J428" s="6" t="s">
        <v>82</v>
      </c>
    </row>
    <row r="429" spans="1:10" x14ac:dyDescent="0.2">
      <c r="A429" s="1" t="s">
        <v>813</v>
      </c>
      <c r="B429" t="s">
        <v>814</v>
      </c>
      <c r="C429" t="s">
        <v>848</v>
      </c>
      <c r="D429" s="6" t="str">
        <f t="shared" si="6"/>
        <v>PROT:AAF18002.1</v>
      </c>
      <c r="E429" t="s">
        <v>849</v>
      </c>
      <c r="F429" t="s">
        <v>86</v>
      </c>
      <c r="G429">
        <f>IF(ISERROR(MATCH(AllProtiens!F429,Genomes!$C:$C,0)),0,1)</f>
        <v>1</v>
      </c>
      <c r="H429">
        <f>IF(ISERROR(MATCH(AllProtiens!A429,CoreProteinGroups!B:B,0)),0,1)</f>
        <v>1</v>
      </c>
      <c r="J429" s="6" t="s">
        <v>87</v>
      </c>
    </row>
    <row r="430" spans="1:10" x14ac:dyDescent="0.2">
      <c r="A430" s="1" t="s">
        <v>813</v>
      </c>
      <c r="B430" t="s">
        <v>814</v>
      </c>
      <c r="C430" t="s">
        <v>850</v>
      </c>
      <c r="D430" s="6" t="str">
        <f t="shared" si="6"/>
        <v>PROT:AAC55268.1</v>
      </c>
      <c r="E430" t="s">
        <v>851</v>
      </c>
      <c r="F430" t="s">
        <v>90</v>
      </c>
      <c r="G430">
        <f>IF(ISERROR(MATCH(AllProtiens!F430,Genomes!$C:$C,0)),0,1)</f>
        <v>1</v>
      </c>
      <c r="H430">
        <f>IF(ISERROR(MATCH(AllProtiens!A430,CoreProteinGroups!B:B,0)),0,1)</f>
        <v>1</v>
      </c>
      <c r="J430" s="6" t="s">
        <v>91</v>
      </c>
    </row>
    <row r="431" spans="1:10" x14ac:dyDescent="0.2">
      <c r="A431" s="1" t="s">
        <v>813</v>
      </c>
      <c r="B431" t="s">
        <v>814</v>
      </c>
      <c r="C431" t="s">
        <v>852</v>
      </c>
      <c r="D431" s="6" t="str">
        <f t="shared" si="6"/>
        <v>PROT:AYN64719.1</v>
      </c>
      <c r="E431" t="s">
        <v>853</v>
      </c>
      <c r="F431" t="s">
        <v>94</v>
      </c>
      <c r="G431">
        <f>IF(ISERROR(MATCH(AllProtiens!F431,Genomes!$C:$C,0)),0,1)</f>
        <v>1</v>
      </c>
      <c r="H431">
        <f>IF(ISERROR(MATCH(AllProtiens!A431,CoreProteinGroups!B:B,0)),0,1)</f>
        <v>1</v>
      </c>
      <c r="J431" s="6" t="s">
        <v>95</v>
      </c>
    </row>
    <row r="432" spans="1:10" x14ac:dyDescent="0.2">
      <c r="A432" s="1" t="s">
        <v>813</v>
      </c>
      <c r="B432" t="s">
        <v>814</v>
      </c>
      <c r="C432" t="s">
        <v>854</v>
      </c>
      <c r="D432" s="6" t="str">
        <f t="shared" si="6"/>
        <v>PROT:AXN74948.1</v>
      </c>
      <c r="E432" t="s">
        <v>844</v>
      </c>
      <c r="F432" t="s">
        <v>97</v>
      </c>
      <c r="G432">
        <f>IF(ISERROR(MATCH(AllProtiens!F432,Genomes!$C:$C,0)),0,1)</f>
        <v>1</v>
      </c>
      <c r="H432">
        <f>IF(ISERROR(MATCH(AllProtiens!A432,CoreProteinGroups!B:B,0)),0,1)</f>
        <v>1</v>
      </c>
      <c r="J432" s="6" t="s">
        <v>98</v>
      </c>
    </row>
    <row r="433" spans="1:10" x14ac:dyDescent="0.2">
      <c r="A433" s="1" t="s">
        <v>813</v>
      </c>
      <c r="B433" t="s">
        <v>814</v>
      </c>
      <c r="C433" t="s">
        <v>855</v>
      </c>
      <c r="D433" s="6" t="str">
        <f t="shared" si="6"/>
        <v>PROT:ABH08262.1</v>
      </c>
      <c r="E433" t="s">
        <v>856</v>
      </c>
      <c r="F433" t="s">
        <v>101</v>
      </c>
      <c r="G433">
        <f>IF(ISERROR(MATCH(AllProtiens!F433,Genomes!$C:$C,0)),0,1)</f>
        <v>1</v>
      </c>
      <c r="H433">
        <f>IF(ISERROR(MATCH(AllProtiens!A433,CoreProteinGroups!B:B,0)),0,1)</f>
        <v>1</v>
      </c>
      <c r="J433" s="6" t="s">
        <v>102</v>
      </c>
    </row>
    <row r="434" spans="1:10" x14ac:dyDescent="0.2">
      <c r="A434" s="1" t="s">
        <v>813</v>
      </c>
      <c r="B434" t="s">
        <v>814</v>
      </c>
      <c r="C434" t="s">
        <v>857</v>
      </c>
      <c r="D434" s="6" t="str">
        <f t="shared" si="6"/>
        <v>PROT:AAG37644.1</v>
      </c>
      <c r="E434" t="s">
        <v>858</v>
      </c>
      <c r="F434" t="s">
        <v>105</v>
      </c>
      <c r="G434">
        <f>IF(ISERROR(MATCH(AllProtiens!F434,Genomes!$C:$C,0)),0,1)</f>
        <v>1</v>
      </c>
      <c r="H434">
        <f>IF(ISERROR(MATCH(AllProtiens!A434,CoreProteinGroups!B:B,0)),0,1)</f>
        <v>1</v>
      </c>
      <c r="J434" s="6" t="s">
        <v>106</v>
      </c>
    </row>
    <row r="435" spans="1:10" x14ac:dyDescent="0.2">
      <c r="A435" s="1" t="s">
        <v>813</v>
      </c>
      <c r="B435" t="s">
        <v>814</v>
      </c>
      <c r="C435" t="s">
        <v>859</v>
      </c>
      <c r="D435" s="6" t="str">
        <f t="shared" si="6"/>
        <v>PROT:AAL73858.1</v>
      </c>
      <c r="E435" t="s">
        <v>860</v>
      </c>
      <c r="F435" t="s">
        <v>109</v>
      </c>
      <c r="G435">
        <f>IF(ISERROR(MATCH(AllProtiens!F435,Genomes!$C:$C,0)),0,1)</f>
        <v>1</v>
      </c>
      <c r="H435">
        <f>IF(ISERROR(MATCH(AllProtiens!A435,CoreProteinGroups!B:B,0)),0,1)</f>
        <v>1</v>
      </c>
      <c r="J435" s="6" t="s">
        <v>110</v>
      </c>
    </row>
    <row r="436" spans="1:10" x14ac:dyDescent="0.2">
      <c r="A436" s="1" t="s">
        <v>813</v>
      </c>
      <c r="B436" t="s">
        <v>814</v>
      </c>
      <c r="C436" t="s">
        <v>861</v>
      </c>
      <c r="D436" s="6" t="str">
        <f t="shared" si="6"/>
        <v>PROT:AAM13609.1</v>
      </c>
      <c r="E436" t="s">
        <v>862</v>
      </c>
      <c r="F436" t="s">
        <v>113</v>
      </c>
      <c r="G436">
        <f>IF(ISERROR(MATCH(AllProtiens!F436,Genomes!$C:$C,0)),0,1)</f>
        <v>1</v>
      </c>
      <c r="H436">
        <f>IF(ISERROR(MATCH(AllProtiens!A436,CoreProteinGroups!B:B,0)),0,1)</f>
        <v>1</v>
      </c>
      <c r="J436" s="6" t="s">
        <v>114</v>
      </c>
    </row>
    <row r="437" spans="1:10" x14ac:dyDescent="0.2">
      <c r="A437" s="1" t="s">
        <v>813</v>
      </c>
      <c r="B437" t="s">
        <v>814</v>
      </c>
      <c r="C437" t="s">
        <v>863</v>
      </c>
      <c r="D437" s="6" t="str">
        <f t="shared" si="6"/>
        <v>PROT:AAM92439.1</v>
      </c>
      <c r="E437" t="s">
        <v>864</v>
      </c>
      <c r="F437" t="s">
        <v>117</v>
      </c>
      <c r="G437">
        <f>IF(ISERROR(MATCH(AllProtiens!F437,Genomes!$C:$C,0)),0,1)</f>
        <v>1</v>
      </c>
      <c r="H437">
        <f>IF(ISERROR(MATCH(AllProtiens!A437,CoreProteinGroups!B:B,0)),0,1)</f>
        <v>1</v>
      </c>
      <c r="J437" s="6" t="s">
        <v>118</v>
      </c>
    </row>
    <row r="438" spans="1:10" x14ac:dyDescent="0.2">
      <c r="A438" s="1" t="s">
        <v>813</v>
      </c>
      <c r="B438" t="s">
        <v>814</v>
      </c>
      <c r="C438" t="s">
        <v>865</v>
      </c>
      <c r="D438" s="6" t="str">
        <f t="shared" si="6"/>
        <v>PROT:AFH54701.1</v>
      </c>
      <c r="E438" t="s">
        <v>866</v>
      </c>
      <c r="F438" t="s">
        <v>120</v>
      </c>
      <c r="G438">
        <f>IF(ISERROR(MATCH(AllProtiens!F438,Genomes!$C:$C,0)),0,1)</f>
        <v>1</v>
      </c>
      <c r="H438">
        <f>IF(ISERROR(MATCH(AllProtiens!A438,CoreProteinGroups!B:B,0)),0,1)</f>
        <v>1</v>
      </c>
      <c r="J438" s="6" t="s">
        <v>121</v>
      </c>
    </row>
    <row r="439" spans="1:10" x14ac:dyDescent="0.2">
      <c r="A439" s="1" t="s">
        <v>813</v>
      </c>
      <c r="B439" t="s">
        <v>814</v>
      </c>
      <c r="C439" t="s">
        <v>867</v>
      </c>
      <c r="D439" s="6" t="str">
        <f t="shared" si="6"/>
        <v>PROT:AAL40602.1</v>
      </c>
      <c r="E439" t="s">
        <v>868</v>
      </c>
      <c r="F439" t="s">
        <v>124</v>
      </c>
      <c r="G439">
        <f>IF(ISERROR(MATCH(AllProtiens!F439,Genomes!$C:$C,0)),0,1)</f>
        <v>1</v>
      </c>
      <c r="H439">
        <f>IF(ISERROR(MATCH(AllProtiens!A439,CoreProteinGroups!B:B,0)),0,1)</f>
        <v>1</v>
      </c>
      <c r="J439" s="6" t="s">
        <v>125</v>
      </c>
    </row>
    <row r="440" spans="1:10" x14ac:dyDescent="0.2">
      <c r="A440" s="1" t="s">
        <v>813</v>
      </c>
      <c r="B440" t="s">
        <v>814</v>
      </c>
      <c r="C440" t="s">
        <v>869</v>
      </c>
      <c r="D440" s="6" t="str">
        <f t="shared" si="6"/>
        <v>PROT:AAX09239.1</v>
      </c>
      <c r="E440" t="s">
        <v>870</v>
      </c>
      <c r="F440" t="s">
        <v>128</v>
      </c>
      <c r="G440">
        <f>IF(ISERROR(MATCH(AllProtiens!F440,Genomes!$C:$C,0)),0,1)</f>
        <v>1</v>
      </c>
      <c r="H440">
        <f>IF(ISERROR(MATCH(AllProtiens!A440,CoreProteinGroups!B:B,0)),0,1)</f>
        <v>1</v>
      </c>
      <c r="J440" s="6" t="s">
        <v>129</v>
      </c>
    </row>
    <row r="441" spans="1:10" x14ac:dyDescent="0.2">
      <c r="A441" s="1" t="s">
        <v>813</v>
      </c>
      <c r="B441" t="s">
        <v>814</v>
      </c>
      <c r="C441" t="s">
        <v>871</v>
      </c>
      <c r="D441" s="6" t="str">
        <f t="shared" si="6"/>
        <v>PROT:AKJ93782.1</v>
      </c>
      <c r="E441" t="s">
        <v>844</v>
      </c>
      <c r="F441" t="s">
        <v>131</v>
      </c>
      <c r="G441">
        <f>IF(ISERROR(MATCH(AllProtiens!F441,Genomes!$C:$C,0)),0,1)</f>
        <v>1</v>
      </c>
      <c r="H441">
        <f>IF(ISERROR(MATCH(AllProtiens!A441,CoreProteinGroups!B:B,0)),0,1)</f>
        <v>1</v>
      </c>
      <c r="J441" s="6" t="s">
        <v>132</v>
      </c>
    </row>
    <row r="442" spans="1:10" x14ac:dyDescent="0.2">
      <c r="A442" s="1" t="s">
        <v>813</v>
      </c>
      <c r="B442" t="s">
        <v>814</v>
      </c>
      <c r="C442" t="s">
        <v>872</v>
      </c>
      <c r="D442" s="6" t="str">
        <f t="shared" si="6"/>
        <v>PROT:AOP31631.1</v>
      </c>
      <c r="E442" t="s">
        <v>816</v>
      </c>
      <c r="F442" t="s">
        <v>134</v>
      </c>
      <c r="G442">
        <f>IF(ISERROR(MATCH(AllProtiens!F442,Genomes!$C:$C,0)),0,1)</f>
        <v>1</v>
      </c>
      <c r="H442">
        <f>IF(ISERROR(MATCH(AllProtiens!A442,CoreProteinGroups!B:B,0)),0,1)</f>
        <v>1</v>
      </c>
      <c r="J442" s="6" t="s">
        <v>135</v>
      </c>
    </row>
    <row r="443" spans="1:10" x14ac:dyDescent="0.2">
      <c r="A443" s="1" t="s">
        <v>813</v>
      </c>
      <c r="B443" t="s">
        <v>814</v>
      </c>
      <c r="C443" t="s">
        <v>873</v>
      </c>
      <c r="D443" s="6" t="str">
        <f t="shared" si="6"/>
        <v>PROT:ABD97722.1</v>
      </c>
      <c r="E443" t="s">
        <v>844</v>
      </c>
      <c r="F443" t="s">
        <v>137</v>
      </c>
      <c r="G443">
        <f>IF(ISERROR(MATCH(AllProtiens!F443,Genomes!$C:$C,0)),0,1)</f>
        <v>1</v>
      </c>
      <c r="H443">
        <f>IF(ISERROR(MATCH(AllProtiens!A443,CoreProteinGroups!B:B,0)),0,1)</f>
        <v>1</v>
      </c>
      <c r="J443" s="6" t="s">
        <v>138</v>
      </c>
    </row>
    <row r="444" spans="1:10" x14ac:dyDescent="0.2">
      <c r="A444" s="1" t="s">
        <v>813</v>
      </c>
      <c r="B444" t="s">
        <v>814</v>
      </c>
      <c r="C444" t="s">
        <v>874</v>
      </c>
      <c r="D444" s="6" t="str">
        <f t="shared" si="6"/>
        <v>PROT:AAO89434.1</v>
      </c>
      <c r="E444" t="s">
        <v>875</v>
      </c>
      <c r="F444" t="s">
        <v>140</v>
      </c>
      <c r="G444">
        <f>IF(ISERROR(MATCH(AllProtiens!F444,Genomes!$C:$C,0)),0,1)</f>
        <v>1</v>
      </c>
      <c r="H444">
        <f>IF(ISERROR(MATCH(AllProtiens!A444,CoreProteinGroups!B:B,0)),0,1)</f>
        <v>1</v>
      </c>
      <c r="J444" s="6" t="s">
        <v>141</v>
      </c>
    </row>
    <row r="445" spans="1:10" x14ac:dyDescent="0.2">
      <c r="A445" s="1" t="s">
        <v>813</v>
      </c>
      <c r="B445" t="s">
        <v>814</v>
      </c>
      <c r="C445" t="s">
        <v>876</v>
      </c>
      <c r="D445" s="6" t="str">
        <f t="shared" si="6"/>
        <v>PROT:CAA49080.1</v>
      </c>
      <c r="E445" t="s">
        <v>877</v>
      </c>
      <c r="F445" t="s">
        <v>144</v>
      </c>
      <c r="G445">
        <f>IF(ISERROR(MATCH(AllProtiens!F445,Genomes!$C:$C,0)),0,1)</f>
        <v>1</v>
      </c>
      <c r="H445">
        <f>IF(ISERROR(MATCH(AllProtiens!A445,CoreProteinGroups!B:B,0)),0,1)</f>
        <v>1</v>
      </c>
      <c r="J445" s="6" t="s">
        <v>145</v>
      </c>
    </row>
    <row r="446" spans="1:10" x14ac:dyDescent="0.2">
      <c r="A446" s="1" t="s">
        <v>813</v>
      </c>
      <c r="B446" t="s">
        <v>814</v>
      </c>
      <c r="C446" t="s">
        <v>878</v>
      </c>
      <c r="D446" s="6" t="str">
        <f t="shared" si="6"/>
        <v>PROT:CAB54739.1</v>
      </c>
      <c r="E446" t="s">
        <v>879</v>
      </c>
      <c r="F446" t="s">
        <v>148</v>
      </c>
      <c r="G446">
        <f>IF(ISERROR(MATCH(AllProtiens!F446,Genomes!$C:$C,0)),0,1)</f>
        <v>1</v>
      </c>
      <c r="H446">
        <f>IF(ISERROR(MATCH(AllProtiens!A446,CoreProteinGroups!B:B,0)),0,1)</f>
        <v>1</v>
      </c>
      <c r="J446" s="6" t="s">
        <v>149</v>
      </c>
    </row>
    <row r="447" spans="1:10" x14ac:dyDescent="0.2">
      <c r="A447" s="1" t="s">
        <v>813</v>
      </c>
      <c r="B447" t="s">
        <v>814</v>
      </c>
      <c r="C447" t="s">
        <v>880</v>
      </c>
      <c r="D447" s="6" t="str">
        <f t="shared" si="6"/>
        <v>PROT:AOP31842.1</v>
      </c>
      <c r="E447" t="s">
        <v>816</v>
      </c>
      <c r="F447" t="s">
        <v>151</v>
      </c>
      <c r="G447">
        <f>IF(ISERROR(MATCH(AllProtiens!F447,Genomes!$C:$C,0)),0,1)</f>
        <v>1</v>
      </c>
      <c r="H447">
        <f>IF(ISERROR(MATCH(AllProtiens!A447,CoreProteinGroups!B:B,0)),0,1)</f>
        <v>1</v>
      </c>
      <c r="J447" s="6" t="s">
        <v>152</v>
      </c>
    </row>
    <row r="448" spans="1:10" x14ac:dyDescent="0.2">
      <c r="A448" s="1" t="s">
        <v>813</v>
      </c>
      <c r="B448" t="s">
        <v>814</v>
      </c>
      <c r="C448" t="s">
        <v>881</v>
      </c>
      <c r="D448" s="6" t="str">
        <f t="shared" si="6"/>
        <v>PROT:ASC55541.1</v>
      </c>
      <c r="E448" t="s">
        <v>882</v>
      </c>
      <c r="F448" t="s">
        <v>155</v>
      </c>
      <c r="G448">
        <f>IF(ISERROR(MATCH(AllProtiens!F448,Genomes!$C:$C,0)),0,1)</f>
        <v>1</v>
      </c>
      <c r="H448">
        <f>IF(ISERROR(MATCH(AllProtiens!A448,CoreProteinGroups!B:B,0)),0,1)</f>
        <v>1</v>
      </c>
      <c r="J448" s="6" t="s">
        <v>156</v>
      </c>
    </row>
    <row r="449" spans="1:10" x14ac:dyDescent="0.2">
      <c r="A449" s="1" t="s">
        <v>813</v>
      </c>
      <c r="B449" t="s">
        <v>814</v>
      </c>
      <c r="C449" t="s">
        <v>883</v>
      </c>
      <c r="D449" s="6" t="str">
        <f t="shared" si="6"/>
        <v>PROT:AAR98465.1</v>
      </c>
      <c r="E449" t="s">
        <v>884</v>
      </c>
      <c r="F449" t="s">
        <v>159</v>
      </c>
      <c r="G449">
        <f>IF(ISERROR(MATCH(AllProtiens!F449,Genomes!$C:$C,0)),0,1)</f>
        <v>1</v>
      </c>
      <c r="H449">
        <f>IF(ISERROR(MATCH(AllProtiens!A449,CoreProteinGroups!B:B,0)),0,1)</f>
        <v>1</v>
      </c>
      <c r="J449" s="6" t="s">
        <v>160</v>
      </c>
    </row>
    <row r="450" spans="1:10" x14ac:dyDescent="0.2">
      <c r="A450" s="1" t="s">
        <v>813</v>
      </c>
      <c r="B450" t="s">
        <v>814</v>
      </c>
      <c r="C450" t="s">
        <v>885</v>
      </c>
      <c r="D450" s="6" t="str">
        <f t="shared" ref="D450:D513" si="7">HYPERLINK(_xlfn.CONCAT("https://www.ncbi.nlm.nih.gov/protein/",C450),_xlfn.CONCAT("PROT:",C450))</f>
        <v>PROT:AAR98333.1</v>
      </c>
      <c r="E450" t="s">
        <v>884</v>
      </c>
      <c r="F450" t="s">
        <v>162</v>
      </c>
      <c r="G450">
        <f>IF(ISERROR(MATCH(AllProtiens!F450,Genomes!$C:$C,0)),0,1)</f>
        <v>1</v>
      </c>
      <c r="H450">
        <f>IF(ISERROR(MATCH(AllProtiens!A450,CoreProteinGroups!B:B,0)),0,1)</f>
        <v>1</v>
      </c>
      <c r="J450" s="6" t="s">
        <v>163</v>
      </c>
    </row>
    <row r="451" spans="1:10" x14ac:dyDescent="0.2">
      <c r="A451" s="1" t="s">
        <v>813</v>
      </c>
      <c r="B451" t="s">
        <v>814</v>
      </c>
      <c r="C451" t="s">
        <v>886</v>
      </c>
      <c r="D451" s="6" t="str">
        <f t="shared" si="7"/>
        <v>PROT:ABA00626.1</v>
      </c>
      <c r="E451" t="s">
        <v>887</v>
      </c>
      <c r="F451" t="s">
        <v>162</v>
      </c>
      <c r="G451">
        <f>IF(ISERROR(MATCH(AllProtiens!F451,Genomes!$C:$C,0)),0,1)</f>
        <v>1</v>
      </c>
      <c r="H451">
        <f>IF(ISERROR(MATCH(AllProtiens!A451,CoreProteinGroups!B:B,0)),0,1)</f>
        <v>1</v>
      </c>
      <c r="J451" s="6" t="s">
        <v>163</v>
      </c>
    </row>
    <row r="452" spans="1:10" x14ac:dyDescent="0.2">
      <c r="A452" s="1" t="s">
        <v>813</v>
      </c>
      <c r="B452" t="s">
        <v>814</v>
      </c>
      <c r="C452" t="s">
        <v>888</v>
      </c>
      <c r="D452" s="6" t="str">
        <f t="shared" si="7"/>
        <v>PROT:AIZ77360.1</v>
      </c>
      <c r="E452" t="s">
        <v>860</v>
      </c>
      <c r="F452" t="s">
        <v>167</v>
      </c>
      <c r="G452">
        <f>IF(ISERROR(MATCH(AllProtiens!F452,Genomes!$C:$C,0)),0,1)</f>
        <v>1</v>
      </c>
      <c r="H452">
        <f>IF(ISERROR(MATCH(AllProtiens!A452,CoreProteinGroups!B:B,0)),0,1)</f>
        <v>1</v>
      </c>
      <c r="J452" s="6" t="s">
        <v>168</v>
      </c>
    </row>
    <row r="453" spans="1:10" x14ac:dyDescent="0.2">
      <c r="A453" s="1" t="s">
        <v>813</v>
      </c>
      <c r="B453" t="s">
        <v>814</v>
      </c>
      <c r="C453" t="s">
        <v>889</v>
      </c>
      <c r="D453" s="6" t="str">
        <f t="shared" si="7"/>
        <v>PROT:ADC54011.1</v>
      </c>
      <c r="E453" t="s">
        <v>890</v>
      </c>
      <c r="F453" t="s">
        <v>170</v>
      </c>
      <c r="G453">
        <f>IF(ISERROR(MATCH(AllProtiens!F453,Genomes!$C:$C,0)),0,1)</f>
        <v>1</v>
      </c>
      <c r="H453">
        <f>IF(ISERROR(MATCH(AllProtiens!A453,CoreProteinGroups!B:B,0)),0,1)</f>
        <v>1</v>
      </c>
      <c r="J453" s="6" t="s">
        <v>171</v>
      </c>
    </row>
    <row r="454" spans="1:10" x14ac:dyDescent="0.2">
      <c r="A454" s="1" t="s">
        <v>813</v>
      </c>
      <c r="B454" t="s">
        <v>814</v>
      </c>
      <c r="C454" t="s">
        <v>891</v>
      </c>
      <c r="D454" s="6" t="str">
        <f t="shared" si="7"/>
        <v>PROT:AAL69857.1</v>
      </c>
      <c r="E454" t="s">
        <v>892</v>
      </c>
      <c r="F454" t="s">
        <v>174</v>
      </c>
      <c r="G454">
        <f>IF(ISERROR(MATCH(AllProtiens!F454,Genomes!$C:$C,0)),0,1)</f>
        <v>1</v>
      </c>
      <c r="H454">
        <f>IF(ISERROR(MATCH(AllProtiens!A454,CoreProteinGroups!B:B,0)),0,1)</f>
        <v>1</v>
      </c>
      <c r="J454" s="6" t="s">
        <v>175</v>
      </c>
    </row>
    <row r="455" spans="1:10" x14ac:dyDescent="0.2">
      <c r="A455" s="1" t="s">
        <v>813</v>
      </c>
      <c r="B455" t="s">
        <v>814</v>
      </c>
      <c r="C455" t="s">
        <v>893</v>
      </c>
      <c r="D455" s="6" t="str">
        <f t="shared" si="7"/>
        <v>PROT:CAC21359.1</v>
      </c>
      <c r="E455" t="s">
        <v>894</v>
      </c>
      <c r="F455" t="s">
        <v>178</v>
      </c>
      <c r="G455">
        <f>IF(ISERROR(MATCH(AllProtiens!F455,Genomes!$C:$C,0)),0,1)</f>
        <v>1</v>
      </c>
      <c r="H455">
        <f>IF(ISERROR(MATCH(AllProtiens!A455,CoreProteinGroups!B:B,0)),0,1)</f>
        <v>1</v>
      </c>
      <c r="J455" s="6" t="s">
        <v>179</v>
      </c>
    </row>
    <row r="456" spans="1:10" x14ac:dyDescent="0.2">
      <c r="A456" s="1" t="s">
        <v>813</v>
      </c>
      <c r="B456" t="s">
        <v>814</v>
      </c>
      <c r="C456" t="s">
        <v>895</v>
      </c>
      <c r="D456" s="6" t="str">
        <f t="shared" si="7"/>
        <v>PROT:AAR07478.1</v>
      </c>
      <c r="E456" t="s">
        <v>896</v>
      </c>
      <c r="F456" t="s">
        <v>182</v>
      </c>
      <c r="G456">
        <f>IF(ISERROR(MATCH(AllProtiens!F456,Genomes!$C:$C,0)),0,1)</f>
        <v>1</v>
      </c>
      <c r="H456">
        <f>IF(ISERROR(MATCH(AllProtiens!A456,CoreProteinGroups!B:B,0)),0,1)</f>
        <v>1</v>
      </c>
      <c r="J456" s="6" t="s">
        <v>183</v>
      </c>
    </row>
    <row r="457" spans="1:10" x14ac:dyDescent="0.2">
      <c r="A457" s="1" t="s">
        <v>813</v>
      </c>
      <c r="B457" t="s">
        <v>814</v>
      </c>
      <c r="C457" t="s">
        <v>897</v>
      </c>
      <c r="D457" s="6" t="str">
        <f t="shared" si="7"/>
        <v>PROT:AAC97775.1</v>
      </c>
      <c r="E457" t="s">
        <v>898</v>
      </c>
      <c r="F457" t="s">
        <v>186</v>
      </c>
      <c r="G457">
        <f>IF(ISERROR(MATCH(AllProtiens!F457,Genomes!$C:$C,0)),0,1)</f>
        <v>1</v>
      </c>
      <c r="H457">
        <f>IF(ISERROR(MATCH(AllProtiens!A457,CoreProteinGroups!B:B,0)),0,1)</f>
        <v>1</v>
      </c>
      <c r="J457" s="6" t="s">
        <v>187</v>
      </c>
    </row>
    <row r="458" spans="1:10" x14ac:dyDescent="0.2">
      <c r="A458" s="1" t="s">
        <v>813</v>
      </c>
      <c r="B458" t="s">
        <v>814</v>
      </c>
      <c r="C458" t="s">
        <v>899</v>
      </c>
      <c r="D458" s="6" t="str">
        <f t="shared" si="7"/>
        <v>PROT:BAO49495.1</v>
      </c>
      <c r="E458" t="s">
        <v>900</v>
      </c>
      <c r="F458" t="s">
        <v>190</v>
      </c>
      <c r="G458">
        <f>IF(ISERROR(MATCH(AllProtiens!F458,Genomes!$C:$C,0)),0,1)</f>
        <v>1</v>
      </c>
      <c r="H458">
        <f>IF(ISERROR(MATCH(AllProtiens!A458,CoreProteinGroups!B:B,0)),0,1)</f>
        <v>1</v>
      </c>
      <c r="J458" s="6" t="s">
        <v>191</v>
      </c>
    </row>
    <row r="459" spans="1:10" x14ac:dyDescent="0.2">
      <c r="A459" s="1" t="s">
        <v>813</v>
      </c>
      <c r="B459" t="s">
        <v>814</v>
      </c>
      <c r="C459" t="s">
        <v>901</v>
      </c>
      <c r="D459" s="6" t="str">
        <f t="shared" si="7"/>
        <v>PROT:CCU55501.1</v>
      </c>
      <c r="E459" t="s">
        <v>816</v>
      </c>
      <c r="F459" t="s">
        <v>193</v>
      </c>
      <c r="G459">
        <f>IF(ISERROR(MATCH(AllProtiens!F459,Genomes!$C:$C,0)),0,1)</f>
        <v>1</v>
      </c>
      <c r="H459">
        <f>IF(ISERROR(MATCH(AllProtiens!A459,CoreProteinGroups!B:B,0)),0,1)</f>
        <v>1</v>
      </c>
      <c r="J459" s="6" t="s">
        <v>194</v>
      </c>
    </row>
    <row r="460" spans="1:10" x14ac:dyDescent="0.2">
      <c r="A460" s="1" t="s">
        <v>813</v>
      </c>
      <c r="B460" t="s">
        <v>814</v>
      </c>
      <c r="C460" t="s">
        <v>902</v>
      </c>
      <c r="D460" s="6" t="str">
        <f t="shared" si="7"/>
        <v>PROT:AAG02856.1</v>
      </c>
      <c r="E460" t="s">
        <v>903</v>
      </c>
      <c r="F460" t="s">
        <v>197</v>
      </c>
      <c r="G460">
        <f>IF(ISERROR(MATCH(AllProtiens!F460,Genomes!$C:$C,0)),0,1)</f>
        <v>1</v>
      </c>
      <c r="H460">
        <f>IF(ISERROR(MATCH(AllProtiens!A460,CoreProteinGroups!B:B,0)),0,1)</f>
        <v>1</v>
      </c>
      <c r="J460" s="6" t="s">
        <v>198</v>
      </c>
    </row>
    <row r="461" spans="1:10" x14ac:dyDescent="0.2">
      <c r="A461" s="1" t="s">
        <v>813</v>
      </c>
      <c r="B461" t="s">
        <v>814</v>
      </c>
      <c r="C461" t="s">
        <v>904</v>
      </c>
      <c r="D461" s="6" t="str">
        <f t="shared" si="7"/>
        <v>PROT:CCU55764.1</v>
      </c>
      <c r="E461" t="s">
        <v>816</v>
      </c>
      <c r="F461" t="s">
        <v>200</v>
      </c>
      <c r="G461">
        <f>IF(ISERROR(MATCH(AllProtiens!F461,Genomes!$C:$C,0)),0,1)</f>
        <v>1</v>
      </c>
      <c r="H461">
        <f>IF(ISERROR(MATCH(AllProtiens!A461,CoreProteinGroups!B:B,0)),0,1)</f>
        <v>1</v>
      </c>
      <c r="J461" s="6" t="s">
        <v>201</v>
      </c>
    </row>
    <row r="462" spans="1:10" x14ac:dyDescent="0.2">
      <c r="A462" s="1" t="s">
        <v>813</v>
      </c>
      <c r="B462" t="s">
        <v>814</v>
      </c>
      <c r="C462" t="s">
        <v>905</v>
      </c>
      <c r="D462" s="6" t="str">
        <f t="shared" si="7"/>
        <v>PROT:CCU56066.1</v>
      </c>
      <c r="E462" t="s">
        <v>816</v>
      </c>
      <c r="F462" t="s">
        <v>203</v>
      </c>
      <c r="G462">
        <f>IF(ISERROR(MATCH(AllProtiens!F462,Genomes!$C:$C,0)),0,1)</f>
        <v>1</v>
      </c>
      <c r="H462">
        <f>IF(ISERROR(MATCH(AllProtiens!A462,CoreProteinGroups!B:B,0)),0,1)</f>
        <v>1</v>
      </c>
      <c r="J462" s="6" t="s">
        <v>204</v>
      </c>
    </row>
    <row r="463" spans="1:10" x14ac:dyDescent="0.2">
      <c r="A463" s="1" t="s">
        <v>813</v>
      </c>
      <c r="B463" t="s">
        <v>814</v>
      </c>
      <c r="C463" t="s">
        <v>906</v>
      </c>
      <c r="D463" s="6" t="str">
        <f t="shared" si="7"/>
        <v>PROT:CCU56388.1</v>
      </c>
      <c r="E463" t="s">
        <v>816</v>
      </c>
      <c r="F463" t="s">
        <v>206</v>
      </c>
      <c r="G463">
        <f>IF(ISERROR(MATCH(AllProtiens!F463,Genomes!$C:$C,0)),0,1)</f>
        <v>1</v>
      </c>
      <c r="H463">
        <f>IF(ISERROR(MATCH(AllProtiens!A463,CoreProteinGroups!B:B,0)),0,1)</f>
        <v>1</v>
      </c>
      <c r="J463" s="6" t="s">
        <v>207</v>
      </c>
    </row>
    <row r="464" spans="1:10" x14ac:dyDescent="0.2">
      <c r="A464" s="1" t="s">
        <v>813</v>
      </c>
      <c r="B464" t="s">
        <v>814</v>
      </c>
      <c r="C464" t="s">
        <v>907</v>
      </c>
      <c r="D464" s="6" t="str">
        <f t="shared" si="7"/>
        <v>PROT:NP_659693.1</v>
      </c>
      <c r="E464" t="s">
        <v>908</v>
      </c>
      <c r="F464" t="s">
        <v>210</v>
      </c>
      <c r="G464">
        <f>IF(ISERROR(MATCH(AllProtiens!F464,Genomes!$C:$C,0)),0,1)</f>
        <v>1</v>
      </c>
      <c r="H464">
        <f>IF(ISERROR(MATCH(AllProtiens!A464,CoreProteinGroups!B:B,0)),0,1)</f>
        <v>1</v>
      </c>
      <c r="J464" s="6" t="s">
        <v>211</v>
      </c>
    </row>
    <row r="465" spans="1:10" x14ac:dyDescent="0.2">
      <c r="A465" s="1" t="s">
        <v>813</v>
      </c>
      <c r="B465" t="s">
        <v>814</v>
      </c>
      <c r="C465" t="s">
        <v>909</v>
      </c>
      <c r="D465" s="6" t="str">
        <f t="shared" si="7"/>
        <v>PROT:YP_001293313.1</v>
      </c>
      <c r="E465" t="s">
        <v>910</v>
      </c>
      <c r="F465" t="s">
        <v>214</v>
      </c>
      <c r="G465">
        <f>IF(ISERROR(MATCH(AllProtiens!F465,Genomes!$C:$C,0)),0,1)</f>
        <v>1</v>
      </c>
      <c r="H465">
        <f>IF(ISERROR(MATCH(AllProtiens!A465,CoreProteinGroups!B:B,0)),0,1)</f>
        <v>1</v>
      </c>
      <c r="J465" s="6" t="s">
        <v>215</v>
      </c>
    </row>
    <row r="466" spans="1:10" x14ac:dyDescent="0.2">
      <c r="A466" s="1" t="s">
        <v>911</v>
      </c>
      <c r="B466" t="s">
        <v>912</v>
      </c>
      <c r="C466" t="s">
        <v>913</v>
      </c>
      <c r="D466" s="6" t="str">
        <f t="shared" si="7"/>
        <v>PROT:ATI21207.1</v>
      </c>
      <c r="E466" t="s">
        <v>912</v>
      </c>
      <c r="F466" t="s">
        <v>14</v>
      </c>
      <c r="G466">
        <f>IF(ISERROR(MATCH(AllProtiens!F466,Genomes!$C:$C,0)),0,1)</f>
        <v>1</v>
      </c>
      <c r="H466">
        <f>IF(ISERROR(MATCH(AllProtiens!A466,CoreProteinGroups!B:B,0)),0,1)</f>
        <v>1</v>
      </c>
      <c r="J466" s="6" t="s">
        <v>15</v>
      </c>
    </row>
    <row r="467" spans="1:10" x14ac:dyDescent="0.2">
      <c r="A467" s="1" t="s">
        <v>911</v>
      </c>
      <c r="B467" t="s">
        <v>912</v>
      </c>
      <c r="C467" t="s">
        <v>914</v>
      </c>
      <c r="D467" s="6" t="str">
        <f t="shared" si="7"/>
        <v>PROT:AWU47141.1</v>
      </c>
      <c r="E467" t="s">
        <v>915</v>
      </c>
      <c r="F467" t="s">
        <v>17</v>
      </c>
      <c r="G467">
        <f>IF(ISERROR(MATCH(AllProtiens!F467,Genomes!$C:$C,0)),0,1)</f>
        <v>1</v>
      </c>
      <c r="H467">
        <f>IF(ISERROR(MATCH(AllProtiens!A467,CoreProteinGroups!B:B,0)),0,1)</f>
        <v>1</v>
      </c>
      <c r="J467" s="6" t="s">
        <v>18</v>
      </c>
    </row>
    <row r="468" spans="1:10" x14ac:dyDescent="0.2">
      <c r="A468" s="1" t="s">
        <v>911</v>
      </c>
      <c r="B468" t="s">
        <v>912</v>
      </c>
      <c r="C468" t="s">
        <v>916</v>
      </c>
      <c r="D468" s="6" t="str">
        <f t="shared" si="7"/>
        <v>PROT:APG58317.1</v>
      </c>
      <c r="E468" t="s">
        <v>917</v>
      </c>
      <c r="F468" t="s">
        <v>21</v>
      </c>
      <c r="G468">
        <f>IF(ISERROR(MATCH(AllProtiens!F468,Genomes!$C:$C,0)),0,1)</f>
        <v>1</v>
      </c>
      <c r="H468">
        <f>IF(ISERROR(MATCH(AllProtiens!A468,CoreProteinGroups!B:B,0)),0,1)</f>
        <v>1</v>
      </c>
      <c r="J468" s="6" t="s">
        <v>22</v>
      </c>
    </row>
    <row r="469" spans="1:10" x14ac:dyDescent="0.2">
      <c r="A469" s="1" t="s">
        <v>911</v>
      </c>
      <c r="B469" t="s">
        <v>912</v>
      </c>
      <c r="C469" t="s">
        <v>918</v>
      </c>
      <c r="D469" s="6" t="str">
        <f t="shared" si="7"/>
        <v>PROT:ADT91126.1</v>
      </c>
      <c r="E469" t="s">
        <v>919</v>
      </c>
      <c r="F469" t="s">
        <v>25</v>
      </c>
      <c r="G469">
        <f>IF(ISERROR(MATCH(AllProtiens!F469,Genomes!$C:$C,0)),0,1)</f>
        <v>1</v>
      </c>
      <c r="H469">
        <f>IF(ISERROR(MATCH(AllProtiens!A469,CoreProteinGroups!B:B,0)),0,1)</f>
        <v>1</v>
      </c>
      <c r="J469" s="6" t="s">
        <v>26</v>
      </c>
    </row>
    <row r="470" spans="1:10" x14ac:dyDescent="0.2">
      <c r="A470" s="1" t="s">
        <v>911</v>
      </c>
      <c r="B470" t="s">
        <v>912</v>
      </c>
      <c r="C470" t="s">
        <v>920</v>
      </c>
      <c r="D470" s="6" t="str">
        <f t="shared" si="7"/>
        <v>PROT:ANS71185.1</v>
      </c>
      <c r="E470" t="s">
        <v>921</v>
      </c>
      <c r="F470" t="s">
        <v>28</v>
      </c>
      <c r="G470">
        <f>IF(ISERROR(MATCH(AllProtiens!F470,Genomes!$C:$C,0)),0,1)</f>
        <v>1</v>
      </c>
      <c r="H470">
        <f>IF(ISERROR(MATCH(AllProtiens!A470,CoreProteinGroups!B:B,0)),0,1)</f>
        <v>1</v>
      </c>
      <c r="J470" s="6" t="s">
        <v>29</v>
      </c>
    </row>
    <row r="471" spans="1:10" x14ac:dyDescent="0.2">
      <c r="A471" s="1" t="s">
        <v>911</v>
      </c>
      <c r="B471" t="s">
        <v>912</v>
      </c>
      <c r="C471" t="s">
        <v>922</v>
      </c>
      <c r="D471" s="6" t="str">
        <f t="shared" si="7"/>
        <v>PROT:AKR04229.1</v>
      </c>
      <c r="E471" t="s">
        <v>923</v>
      </c>
      <c r="F471" t="s">
        <v>32</v>
      </c>
      <c r="G471">
        <f>IF(ISERROR(MATCH(AllProtiens!F471,Genomes!$C:$C,0)),0,1)</f>
        <v>1</v>
      </c>
      <c r="H471">
        <f>IF(ISERROR(MATCH(AllProtiens!A471,CoreProteinGroups!B:B,0)),0,1)</f>
        <v>1</v>
      </c>
      <c r="J471" s="6" t="s">
        <v>33</v>
      </c>
    </row>
    <row r="472" spans="1:10" x14ac:dyDescent="0.2">
      <c r="A472" s="1" t="s">
        <v>911</v>
      </c>
      <c r="B472" t="s">
        <v>912</v>
      </c>
      <c r="C472" t="s">
        <v>924</v>
      </c>
      <c r="D472" s="6" t="str">
        <f t="shared" si="7"/>
        <v>PROT:CCD83278.1</v>
      </c>
      <c r="E472" t="s">
        <v>925</v>
      </c>
      <c r="F472" t="s">
        <v>36</v>
      </c>
      <c r="G472">
        <f>IF(ISERROR(MATCH(AllProtiens!F472,Genomes!$C:$C,0)),0,1)</f>
        <v>1</v>
      </c>
      <c r="H472">
        <f>IF(ISERROR(MATCH(AllProtiens!A472,CoreProteinGroups!B:B,0)),0,1)</f>
        <v>1</v>
      </c>
      <c r="J472" s="6" t="s">
        <v>37</v>
      </c>
    </row>
    <row r="473" spans="1:10" x14ac:dyDescent="0.2">
      <c r="A473" s="1" t="s">
        <v>911</v>
      </c>
      <c r="B473" t="s">
        <v>912</v>
      </c>
      <c r="C473" t="s">
        <v>926</v>
      </c>
      <c r="D473" s="6" t="str">
        <f t="shared" si="7"/>
        <v>PROT:ASK51304.1</v>
      </c>
      <c r="E473" t="s">
        <v>927</v>
      </c>
      <c r="F473" t="s">
        <v>40</v>
      </c>
      <c r="G473">
        <f>IF(ISERROR(MATCH(AllProtiens!F473,Genomes!$C:$C,0)),0,1)</f>
        <v>1</v>
      </c>
      <c r="H473">
        <f>IF(ISERROR(MATCH(AllProtiens!A473,CoreProteinGroups!B:B,0)),0,1)</f>
        <v>1</v>
      </c>
      <c r="J473" s="6" t="s">
        <v>41</v>
      </c>
    </row>
    <row r="474" spans="1:10" x14ac:dyDescent="0.2">
      <c r="A474" s="1" t="s">
        <v>911</v>
      </c>
      <c r="B474" t="s">
        <v>912</v>
      </c>
      <c r="C474" t="s">
        <v>928</v>
      </c>
      <c r="D474" s="6" t="str">
        <f t="shared" si="7"/>
        <v>PROT:AUD40278.1</v>
      </c>
      <c r="E474" t="s">
        <v>929</v>
      </c>
      <c r="F474" t="s">
        <v>43</v>
      </c>
      <c r="G474">
        <f>IF(ISERROR(MATCH(AllProtiens!F474,Genomes!$C:$C,0)),0,1)</f>
        <v>1</v>
      </c>
      <c r="H474">
        <f>IF(ISERROR(MATCH(AllProtiens!A474,CoreProteinGroups!B:B,0)),0,1)</f>
        <v>1</v>
      </c>
      <c r="J474" s="6" t="s">
        <v>44</v>
      </c>
    </row>
    <row r="475" spans="1:10" x14ac:dyDescent="0.2">
      <c r="A475" s="1" t="s">
        <v>911</v>
      </c>
      <c r="B475" t="s">
        <v>912</v>
      </c>
      <c r="C475" t="s">
        <v>930</v>
      </c>
      <c r="D475" s="6" t="str">
        <f t="shared" si="7"/>
        <v>PROT:AID46909.1</v>
      </c>
      <c r="E475" t="s">
        <v>931</v>
      </c>
      <c r="F475" t="s">
        <v>46</v>
      </c>
      <c r="G475">
        <f>IF(ISERROR(MATCH(AllProtiens!F475,Genomes!$C:$C,0)),0,1)</f>
        <v>1</v>
      </c>
      <c r="H475">
        <f>IF(ISERROR(MATCH(AllProtiens!A475,CoreProteinGroups!B:B,0)),0,1)</f>
        <v>1</v>
      </c>
      <c r="J475" s="6" t="s">
        <v>47</v>
      </c>
    </row>
    <row r="476" spans="1:10" x14ac:dyDescent="0.2">
      <c r="A476" s="1" t="s">
        <v>911</v>
      </c>
      <c r="B476" t="s">
        <v>912</v>
      </c>
      <c r="C476" t="s">
        <v>932</v>
      </c>
      <c r="D476" s="6" t="str">
        <f t="shared" si="7"/>
        <v>PROT:AID46678.1</v>
      </c>
      <c r="E476" t="s">
        <v>931</v>
      </c>
      <c r="F476" t="s">
        <v>49</v>
      </c>
      <c r="G476">
        <f>IF(ISERROR(MATCH(AllProtiens!F476,Genomes!$C:$C,0)),0,1)</f>
        <v>1</v>
      </c>
      <c r="H476">
        <f>IF(ISERROR(MATCH(AllProtiens!A476,CoreProteinGroups!B:B,0)),0,1)</f>
        <v>1</v>
      </c>
      <c r="J476" s="6" t="s">
        <v>50</v>
      </c>
    </row>
    <row r="477" spans="1:10" x14ac:dyDescent="0.2">
      <c r="A477" s="1" t="s">
        <v>911</v>
      </c>
      <c r="B477" t="s">
        <v>912</v>
      </c>
      <c r="C477" t="s">
        <v>933</v>
      </c>
      <c r="D477" s="6" t="str">
        <f t="shared" si="7"/>
        <v>PROT:ALA62500.1</v>
      </c>
      <c r="E477" t="s">
        <v>931</v>
      </c>
      <c r="F477" t="s">
        <v>53</v>
      </c>
      <c r="G477">
        <f>IF(ISERROR(MATCH(AllProtiens!F477,Genomes!$C:$C,0)),0,1)</f>
        <v>1</v>
      </c>
      <c r="H477">
        <f>IF(ISERROR(MATCH(AllProtiens!A477,CoreProteinGroups!B:B,0)),0,1)</f>
        <v>1</v>
      </c>
      <c r="J477" s="6" t="s">
        <v>54</v>
      </c>
    </row>
    <row r="478" spans="1:10" x14ac:dyDescent="0.2">
      <c r="A478" s="1" t="s">
        <v>911</v>
      </c>
      <c r="B478" t="s">
        <v>912</v>
      </c>
      <c r="C478" t="s">
        <v>934</v>
      </c>
      <c r="D478" s="6" t="str">
        <f t="shared" si="7"/>
        <v>PROT:AAR83590.1</v>
      </c>
      <c r="E478" t="s">
        <v>935</v>
      </c>
      <c r="F478" t="s">
        <v>57</v>
      </c>
      <c r="G478">
        <f>IF(ISERROR(MATCH(AllProtiens!F478,Genomes!$C:$C,0)),0,1)</f>
        <v>1</v>
      </c>
      <c r="H478">
        <f>IF(ISERROR(MATCH(AllProtiens!A478,CoreProteinGroups!B:B,0)),0,1)</f>
        <v>1</v>
      </c>
      <c r="J478" s="6" t="s">
        <v>58</v>
      </c>
    </row>
    <row r="479" spans="1:10" x14ac:dyDescent="0.2">
      <c r="A479" s="1" t="s">
        <v>911</v>
      </c>
      <c r="B479" t="s">
        <v>912</v>
      </c>
      <c r="C479" t="s">
        <v>936</v>
      </c>
      <c r="D479" s="6" t="str">
        <f t="shared" si="7"/>
        <v>PROT:AAF44515.1</v>
      </c>
      <c r="E479" t="s">
        <v>937</v>
      </c>
      <c r="F479" t="s">
        <v>61</v>
      </c>
      <c r="G479">
        <f>IF(ISERROR(MATCH(AllProtiens!F479,Genomes!$C:$C,0)),0,1)</f>
        <v>1</v>
      </c>
      <c r="H479">
        <f>IF(ISERROR(MATCH(AllProtiens!A479,CoreProteinGroups!B:B,0)),0,1)</f>
        <v>1</v>
      </c>
      <c r="J479" s="6" t="s">
        <v>62</v>
      </c>
    </row>
    <row r="480" spans="1:10" x14ac:dyDescent="0.2">
      <c r="A480" s="1" t="s">
        <v>911</v>
      </c>
      <c r="B480" t="s">
        <v>912</v>
      </c>
      <c r="C480" t="s">
        <v>938</v>
      </c>
      <c r="D480" s="6" t="str">
        <f t="shared" si="7"/>
        <v>PROT:AAK85059.1</v>
      </c>
      <c r="E480" t="s">
        <v>939</v>
      </c>
      <c r="F480" t="s">
        <v>65</v>
      </c>
      <c r="G480">
        <f>IF(ISERROR(MATCH(AllProtiens!F480,Genomes!$C:$C,0)),0,1)</f>
        <v>1</v>
      </c>
      <c r="H480">
        <f>IF(ISERROR(MATCH(AllProtiens!A480,CoreProteinGroups!B:B,0)),0,1)</f>
        <v>1</v>
      </c>
      <c r="J480" s="6" t="s">
        <v>66</v>
      </c>
    </row>
    <row r="481" spans="1:10" x14ac:dyDescent="0.2">
      <c r="A481" s="1" t="s">
        <v>911</v>
      </c>
      <c r="B481" t="s">
        <v>912</v>
      </c>
      <c r="C481" t="s">
        <v>940</v>
      </c>
      <c r="D481" s="6" t="str">
        <f t="shared" si="7"/>
        <v>PROT:AST09317.1</v>
      </c>
      <c r="E481" t="s">
        <v>941</v>
      </c>
      <c r="F481" t="s">
        <v>68</v>
      </c>
      <c r="G481">
        <f>IF(ISERROR(MATCH(AllProtiens!F481,Genomes!$C:$C,0)),0,1)</f>
        <v>1</v>
      </c>
      <c r="H481">
        <f>IF(ISERROR(MATCH(AllProtiens!A481,CoreProteinGroups!B:B,0)),0,1)</f>
        <v>1</v>
      </c>
      <c r="J481" s="6" t="s">
        <v>69</v>
      </c>
    </row>
    <row r="482" spans="1:10" x14ac:dyDescent="0.2">
      <c r="A482" s="1" t="s">
        <v>911</v>
      </c>
      <c r="B482" t="s">
        <v>912</v>
      </c>
      <c r="C482" t="s">
        <v>942</v>
      </c>
      <c r="D482" s="6" t="str">
        <f t="shared" si="7"/>
        <v>PROT:AEN03697.1</v>
      </c>
      <c r="E482" t="s">
        <v>943</v>
      </c>
      <c r="F482" t="s">
        <v>71</v>
      </c>
      <c r="G482">
        <f>IF(ISERROR(MATCH(AllProtiens!F482,Genomes!$C:$C,0)),0,1)</f>
        <v>1</v>
      </c>
      <c r="H482">
        <f>IF(ISERROR(MATCH(AllProtiens!A482,CoreProteinGroups!B:B,0)),0,1)</f>
        <v>1</v>
      </c>
      <c r="J482" s="6" t="s">
        <v>72</v>
      </c>
    </row>
    <row r="483" spans="1:10" x14ac:dyDescent="0.2">
      <c r="A483" s="1" t="s">
        <v>911</v>
      </c>
      <c r="B483" t="s">
        <v>912</v>
      </c>
      <c r="C483" t="s">
        <v>944</v>
      </c>
      <c r="D483" s="6" t="str">
        <f t="shared" si="7"/>
        <v>PROT:ABI99262.1</v>
      </c>
      <c r="E483" t="s">
        <v>945</v>
      </c>
      <c r="F483" t="s">
        <v>74</v>
      </c>
      <c r="G483">
        <f>IF(ISERROR(MATCH(AllProtiens!F483,Genomes!$C:$C,0)),0,1)</f>
        <v>1</v>
      </c>
      <c r="H483">
        <f>IF(ISERROR(MATCH(AllProtiens!A483,CoreProteinGroups!B:B,0)),0,1)</f>
        <v>1</v>
      </c>
      <c r="J483" s="6" t="s">
        <v>75</v>
      </c>
    </row>
    <row r="484" spans="1:10" x14ac:dyDescent="0.2">
      <c r="A484" s="1" t="s">
        <v>911</v>
      </c>
      <c r="B484" t="s">
        <v>912</v>
      </c>
      <c r="C484" t="s">
        <v>946</v>
      </c>
      <c r="D484" s="6" t="str">
        <f t="shared" si="7"/>
        <v>PROT:ABJ09019.1</v>
      </c>
      <c r="E484" t="s">
        <v>929</v>
      </c>
      <c r="F484" t="s">
        <v>77</v>
      </c>
      <c r="G484">
        <f>IF(ISERROR(MATCH(AllProtiens!F484,Genomes!$C:$C,0)),0,1)</f>
        <v>1</v>
      </c>
      <c r="H484">
        <f>IF(ISERROR(MATCH(AllProtiens!A484,CoreProteinGroups!B:B,0)),0,1)</f>
        <v>1</v>
      </c>
      <c r="J484" s="6" t="s">
        <v>78</v>
      </c>
    </row>
    <row r="485" spans="1:10" x14ac:dyDescent="0.2">
      <c r="A485" s="1" t="s">
        <v>911</v>
      </c>
      <c r="B485" t="s">
        <v>912</v>
      </c>
      <c r="C485" t="s">
        <v>947</v>
      </c>
      <c r="D485" s="6" t="str">
        <f t="shared" si="7"/>
        <v>PROT:AAF14984.1</v>
      </c>
      <c r="E485" t="s">
        <v>948</v>
      </c>
      <c r="F485" t="s">
        <v>81</v>
      </c>
      <c r="G485">
        <f>IF(ISERROR(MATCH(AllProtiens!F485,Genomes!$C:$C,0)),0,1)</f>
        <v>0</v>
      </c>
      <c r="H485">
        <f>IF(ISERROR(MATCH(AllProtiens!A485,CoreProteinGroups!B:B,0)),0,1)</f>
        <v>1</v>
      </c>
      <c r="J485" s="6" t="s">
        <v>82</v>
      </c>
    </row>
    <row r="486" spans="1:10" x14ac:dyDescent="0.2">
      <c r="A486" s="1" t="s">
        <v>911</v>
      </c>
      <c r="B486" t="s">
        <v>912</v>
      </c>
      <c r="C486" t="s">
        <v>949</v>
      </c>
      <c r="D486" s="6" t="str">
        <f t="shared" si="7"/>
        <v>PROT:AFU77360.1</v>
      </c>
      <c r="E486" t="s">
        <v>948</v>
      </c>
      <c r="F486" t="s">
        <v>81</v>
      </c>
      <c r="G486">
        <f>IF(ISERROR(MATCH(AllProtiens!F486,Genomes!$C:$C,0)),0,1)</f>
        <v>0</v>
      </c>
      <c r="H486">
        <f>IF(ISERROR(MATCH(AllProtiens!A486,CoreProteinGroups!B:B,0)),0,1)</f>
        <v>1</v>
      </c>
      <c r="J486" s="6" t="s">
        <v>82</v>
      </c>
    </row>
    <row r="487" spans="1:10" x14ac:dyDescent="0.2">
      <c r="A487" s="1" t="s">
        <v>911</v>
      </c>
      <c r="B487" t="s">
        <v>912</v>
      </c>
      <c r="C487" t="s">
        <v>950</v>
      </c>
      <c r="D487" s="6" t="str">
        <f t="shared" si="7"/>
        <v>PROT:AAF17979.1</v>
      </c>
      <c r="E487" t="s">
        <v>951</v>
      </c>
      <c r="F487" t="s">
        <v>86</v>
      </c>
      <c r="G487">
        <f>IF(ISERROR(MATCH(AllProtiens!F487,Genomes!$C:$C,0)),0,1)</f>
        <v>1</v>
      </c>
      <c r="H487">
        <f>IF(ISERROR(MATCH(AllProtiens!A487,CoreProteinGroups!B:B,0)),0,1)</f>
        <v>1</v>
      </c>
      <c r="J487" s="6" t="s">
        <v>87</v>
      </c>
    </row>
    <row r="488" spans="1:10" x14ac:dyDescent="0.2">
      <c r="A488" s="1" t="s">
        <v>911</v>
      </c>
      <c r="B488" t="s">
        <v>912</v>
      </c>
      <c r="C488" t="s">
        <v>952</v>
      </c>
      <c r="D488" s="6" t="str">
        <f t="shared" si="7"/>
        <v>PROT:AAC55238.1</v>
      </c>
      <c r="E488" t="s">
        <v>953</v>
      </c>
      <c r="F488" t="s">
        <v>90</v>
      </c>
      <c r="G488">
        <f>IF(ISERROR(MATCH(AllProtiens!F488,Genomes!$C:$C,0)),0,1)</f>
        <v>1</v>
      </c>
      <c r="H488">
        <f>IF(ISERROR(MATCH(AllProtiens!A488,CoreProteinGroups!B:B,0)),0,1)</f>
        <v>1</v>
      </c>
      <c r="J488" s="6" t="s">
        <v>91</v>
      </c>
    </row>
    <row r="489" spans="1:10" x14ac:dyDescent="0.2">
      <c r="A489" s="1" t="s">
        <v>911</v>
      </c>
      <c r="B489" t="s">
        <v>912</v>
      </c>
      <c r="C489" t="s">
        <v>954</v>
      </c>
      <c r="D489" s="6" t="str">
        <f t="shared" si="7"/>
        <v>PROT:AYN64692.1</v>
      </c>
      <c r="E489" t="s">
        <v>955</v>
      </c>
      <c r="F489" t="s">
        <v>94</v>
      </c>
      <c r="G489">
        <f>IF(ISERROR(MATCH(AllProtiens!F489,Genomes!$C:$C,0)),0,1)</f>
        <v>1</v>
      </c>
      <c r="H489">
        <f>IF(ISERROR(MATCH(AllProtiens!A489,CoreProteinGroups!B:B,0)),0,1)</f>
        <v>1</v>
      </c>
      <c r="J489" s="6" t="s">
        <v>95</v>
      </c>
    </row>
    <row r="490" spans="1:10" x14ac:dyDescent="0.2">
      <c r="A490" s="1" t="s">
        <v>911</v>
      </c>
      <c r="B490" t="s">
        <v>912</v>
      </c>
      <c r="C490" t="s">
        <v>956</v>
      </c>
      <c r="D490" s="6" t="str">
        <f t="shared" si="7"/>
        <v>PROT:AXN74921.1</v>
      </c>
      <c r="E490" t="s">
        <v>941</v>
      </c>
      <c r="F490" t="s">
        <v>97</v>
      </c>
      <c r="G490">
        <f>IF(ISERROR(MATCH(AllProtiens!F490,Genomes!$C:$C,0)),0,1)</f>
        <v>1</v>
      </c>
      <c r="H490">
        <f>IF(ISERROR(MATCH(AllProtiens!A490,CoreProteinGroups!B:B,0)),0,1)</f>
        <v>1</v>
      </c>
      <c r="J490" s="6" t="s">
        <v>98</v>
      </c>
    </row>
    <row r="491" spans="1:10" x14ac:dyDescent="0.2">
      <c r="A491" s="1" t="s">
        <v>911</v>
      </c>
      <c r="B491" t="s">
        <v>912</v>
      </c>
      <c r="C491" t="s">
        <v>957</v>
      </c>
      <c r="D491" s="6" t="str">
        <f t="shared" si="7"/>
        <v>PROT:ABH08233.1</v>
      </c>
      <c r="E491" t="s">
        <v>958</v>
      </c>
      <c r="F491" t="s">
        <v>101</v>
      </c>
      <c r="G491">
        <f>IF(ISERROR(MATCH(AllProtiens!F491,Genomes!$C:$C,0)),0,1)</f>
        <v>1</v>
      </c>
      <c r="H491">
        <f>IF(ISERROR(MATCH(AllProtiens!A491,CoreProteinGroups!B:B,0)),0,1)</f>
        <v>1</v>
      </c>
      <c r="J491" s="6" t="s">
        <v>102</v>
      </c>
    </row>
    <row r="492" spans="1:10" x14ac:dyDescent="0.2">
      <c r="A492" s="1" t="s">
        <v>911</v>
      </c>
      <c r="B492" t="s">
        <v>912</v>
      </c>
      <c r="C492" t="s">
        <v>959</v>
      </c>
      <c r="D492" s="6" t="str">
        <f t="shared" si="7"/>
        <v>PROT:AAG37608.1</v>
      </c>
      <c r="E492" t="s">
        <v>960</v>
      </c>
      <c r="F492" t="s">
        <v>105</v>
      </c>
      <c r="G492">
        <f>IF(ISERROR(MATCH(AllProtiens!F492,Genomes!$C:$C,0)),0,1)</f>
        <v>1</v>
      </c>
      <c r="H492">
        <f>IF(ISERROR(MATCH(AllProtiens!A492,CoreProteinGroups!B:B,0)),0,1)</f>
        <v>1</v>
      </c>
      <c r="J492" s="6" t="s">
        <v>106</v>
      </c>
    </row>
    <row r="493" spans="1:10" x14ac:dyDescent="0.2">
      <c r="A493" s="1" t="s">
        <v>911</v>
      </c>
      <c r="B493" t="s">
        <v>912</v>
      </c>
      <c r="C493" t="s">
        <v>961</v>
      </c>
      <c r="D493" s="6" t="str">
        <f t="shared" si="7"/>
        <v>PROT:AAL73831.1</v>
      </c>
      <c r="E493" t="s">
        <v>962</v>
      </c>
      <c r="F493" t="s">
        <v>109</v>
      </c>
      <c r="G493">
        <f>IF(ISERROR(MATCH(AllProtiens!F493,Genomes!$C:$C,0)),0,1)</f>
        <v>1</v>
      </c>
      <c r="H493">
        <f>IF(ISERROR(MATCH(AllProtiens!A493,CoreProteinGroups!B:B,0)),0,1)</f>
        <v>1</v>
      </c>
      <c r="J493" s="6" t="s">
        <v>110</v>
      </c>
    </row>
    <row r="494" spans="1:10" x14ac:dyDescent="0.2">
      <c r="A494" s="1" t="s">
        <v>911</v>
      </c>
      <c r="B494" t="s">
        <v>912</v>
      </c>
      <c r="C494" t="s">
        <v>963</v>
      </c>
      <c r="D494" s="6" t="str">
        <f t="shared" si="7"/>
        <v>PROT:AAM13580.1</v>
      </c>
      <c r="E494" t="s">
        <v>964</v>
      </c>
      <c r="F494" t="s">
        <v>113</v>
      </c>
      <c r="G494">
        <f>IF(ISERROR(MATCH(AllProtiens!F494,Genomes!$C:$C,0)),0,1)</f>
        <v>1</v>
      </c>
      <c r="H494">
        <f>IF(ISERROR(MATCH(AllProtiens!A494,CoreProteinGroups!B:B,0)),0,1)</f>
        <v>1</v>
      </c>
      <c r="J494" s="6" t="s">
        <v>114</v>
      </c>
    </row>
    <row r="495" spans="1:10" x14ac:dyDescent="0.2">
      <c r="A495" s="1" t="s">
        <v>911</v>
      </c>
      <c r="B495" t="s">
        <v>912</v>
      </c>
      <c r="C495" t="s">
        <v>965</v>
      </c>
      <c r="D495" s="6" t="str">
        <f t="shared" si="7"/>
        <v>PROT:AAM92414.1</v>
      </c>
      <c r="E495" t="s">
        <v>966</v>
      </c>
      <c r="F495" t="s">
        <v>117</v>
      </c>
      <c r="G495">
        <f>IF(ISERROR(MATCH(AllProtiens!F495,Genomes!$C:$C,0)),0,1)</f>
        <v>1</v>
      </c>
      <c r="H495">
        <f>IF(ISERROR(MATCH(AllProtiens!A495,CoreProteinGroups!B:B,0)),0,1)</f>
        <v>1</v>
      </c>
      <c r="J495" s="6" t="s">
        <v>118</v>
      </c>
    </row>
    <row r="496" spans="1:10" x14ac:dyDescent="0.2">
      <c r="A496" s="1" t="s">
        <v>911</v>
      </c>
      <c r="B496" t="s">
        <v>912</v>
      </c>
      <c r="C496" t="s">
        <v>967</v>
      </c>
      <c r="D496" s="6" t="str">
        <f t="shared" si="7"/>
        <v>PROT:AFH54673.1</v>
      </c>
      <c r="E496" t="s">
        <v>919</v>
      </c>
      <c r="F496" t="s">
        <v>120</v>
      </c>
      <c r="G496">
        <f>IF(ISERROR(MATCH(AllProtiens!F496,Genomes!$C:$C,0)),0,1)</f>
        <v>1</v>
      </c>
      <c r="H496">
        <f>IF(ISERROR(MATCH(AllProtiens!A496,CoreProteinGroups!B:B,0)),0,1)</f>
        <v>1</v>
      </c>
      <c r="J496" s="6" t="s">
        <v>121</v>
      </c>
    </row>
    <row r="497" spans="1:10" x14ac:dyDescent="0.2">
      <c r="A497" s="1" t="s">
        <v>911</v>
      </c>
      <c r="B497" t="s">
        <v>912</v>
      </c>
      <c r="C497" t="s">
        <v>968</v>
      </c>
      <c r="D497" s="6" t="str">
        <f t="shared" si="7"/>
        <v>PROT:AAL40576.1</v>
      </c>
      <c r="E497" t="s">
        <v>969</v>
      </c>
      <c r="F497" t="s">
        <v>124</v>
      </c>
      <c r="G497">
        <f>IF(ISERROR(MATCH(AllProtiens!F497,Genomes!$C:$C,0)),0,1)</f>
        <v>1</v>
      </c>
      <c r="H497">
        <f>IF(ISERROR(MATCH(AllProtiens!A497,CoreProteinGroups!B:B,0)),0,1)</f>
        <v>1</v>
      </c>
      <c r="J497" s="6" t="s">
        <v>125</v>
      </c>
    </row>
    <row r="498" spans="1:10" x14ac:dyDescent="0.2">
      <c r="A498" s="1" t="s">
        <v>911</v>
      </c>
      <c r="B498" t="s">
        <v>912</v>
      </c>
      <c r="C498" t="s">
        <v>970</v>
      </c>
      <c r="D498" s="6" t="str">
        <f t="shared" si="7"/>
        <v>PROT:AAX09213.1</v>
      </c>
      <c r="E498" t="s">
        <v>971</v>
      </c>
      <c r="F498" t="s">
        <v>128</v>
      </c>
      <c r="G498">
        <f>IF(ISERROR(MATCH(AllProtiens!F498,Genomes!$C:$C,0)),0,1)</f>
        <v>1</v>
      </c>
      <c r="H498">
        <f>IF(ISERROR(MATCH(AllProtiens!A498,CoreProteinGroups!B:B,0)),0,1)</f>
        <v>1</v>
      </c>
      <c r="J498" s="6" t="s">
        <v>129</v>
      </c>
    </row>
    <row r="499" spans="1:10" x14ac:dyDescent="0.2">
      <c r="A499" s="1" t="s">
        <v>911</v>
      </c>
      <c r="B499" t="s">
        <v>912</v>
      </c>
      <c r="C499" t="s">
        <v>972</v>
      </c>
      <c r="D499" s="6" t="str">
        <f t="shared" si="7"/>
        <v>PROT:AKJ93755.1</v>
      </c>
      <c r="E499" t="s">
        <v>912</v>
      </c>
      <c r="F499" t="s">
        <v>131</v>
      </c>
      <c r="G499">
        <f>IF(ISERROR(MATCH(AllProtiens!F499,Genomes!$C:$C,0)),0,1)</f>
        <v>1</v>
      </c>
      <c r="H499">
        <f>IF(ISERROR(MATCH(AllProtiens!A499,CoreProteinGroups!B:B,0)),0,1)</f>
        <v>1</v>
      </c>
      <c r="J499" s="6" t="s">
        <v>132</v>
      </c>
    </row>
    <row r="500" spans="1:10" x14ac:dyDescent="0.2">
      <c r="A500" s="1" t="s">
        <v>911</v>
      </c>
      <c r="B500" t="s">
        <v>912</v>
      </c>
      <c r="C500" t="s">
        <v>973</v>
      </c>
      <c r="D500" s="6" t="str">
        <f t="shared" si="7"/>
        <v>PROT:AOP31604.1</v>
      </c>
      <c r="E500" t="s">
        <v>974</v>
      </c>
      <c r="F500" t="s">
        <v>134</v>
      </c>
      <c r="G500">
        <f>IF(ISERROR(MATCH(AllProtiens!F500,Genomes!$C:$C,0)),0,1)</f>
        <v>1</v>
      </c>
      <c r="H500">
        <f>IF(ISERROR(MATCH(AllProtiens!A500,CoreProteinGroups!B:B,0)),0,1)</f>
        <v>1</v>
      </c>
      <c r="J500" s="6" t="s">
        <v>135</v>
      </c>
    </row>
    <row r="501" spans="1:10" x14ac:dyDescent="0.2">
      <c r="A501" s="1" t="s">
        <v>911</v>
      </c>
      <c r="B501" t="s">
        <v>912</v>
      </c>
      <c r="C501" t="s">
        <v>975</v>
      </c>
      <c r="D501" s="6" t="str">
        <f t="shared" si="7"/>
        <v>PROT:ABD97694.1</v>
      </c>
      <c r="E501" t="s">
        <v>976</v>
      </c>
      <c r="F501" t="s">
        <v>137</v>
      </c>
      <c r="G501">
        <f>IF(ISERROR(MATCH(AllProtiens!F501,Genomes!$C:$C,0)),0,1)</f>
        <v>1</v>
      </c>
      <c r="H501">
        <f>IF(ISERROR(MATCH(AllProtiens!A501,CoreProteinGroups!B:B,0)),0,1)</f>
        <v>1</v>
      </c>
      <c r="J501" s="6" t="s">
        <v>138</v>
      </c>
    </row>
    <row r="502" spans="1:10" x14ac:dyDescent="0.2">
      <c r="A502" s="1" t="s">
        <v>911</v>
      </c>
      <c r="B502" t="s">
        <v>912</v>
      </c>
      <c r="C502" t="s">
        <v>977</v>
      </c>
      <c r="D502" s="6" t="str">
        <f t="shared" si="7"/>
        <v>PROT:AAO89405.1</v>
      </c>
      <c r="E502" t="s">
        <v>976</v>
      </c>
      <c r="F502" t="s">
        <v>140</v>
      </c>
      <c r="G502">
        <f>IF(ISERROR(MATCH(AllProtiens!F502,Genomes!$C:$C,0)),0,1)</f>
        <v>1</v>
      </c>
      <c r="H502">
        <f>IF(ISERROR(MATCH(AllProtiens!A502,CoreProteinGroups!B:B,0)),0,1)</f>
        <v>1</v>
      </c>
      <c r="J502" s="6" t="s">
        <v>141</v>
      </c>
    </row>
    <row r="503" spans="1:10" x14ac:dyDescent="0.2">
      <c r="A503" s="1" t="s">
        <v>911</v>
      </c>
      <c r="B503" t="s">
        <v>912</v>
      </c>
      <c r="C503" t="s">
        <v>978</v>
      </c>
      <c r="D503" s="6" t="str">
        <f t="shared" si="7"/>
        <v>PROT:CAA49052.1</v>
      </c>
      <c r="E503" t="s">
        <v>979</v>
      </c>
      <c r="F503" t="s">
        <v>144</v>
      </c>
      <c r="G503">
        <f>IF(ISERROR(MATCH(AllProtiens!F503,Genomes!$C:$C,0)),0,1)</f>
        <v>1</v>
      </c>
      <c r="H503">
        <f>IF(ISERROR(MATCH(AllProtiens!A503,CoreProteinGroups!B:B,0)),0,1)</f>
        <v>1</v>
      </c>
      <c r="J503" s="6" t="s">
        <v>145</v>
      </c>
    </row>
    <row r="504" spans="1:10" x14ac:dyDescent="0.2">
      <c r="A504" s="1" t="s">
        <v>911</v>
      </c>
      <c r="B504" t="s">
        <v>912</v>
      </c>
      <c r="C504" t="s">
        <v>980</v>
      </c>
      <c r="D504" s="6" t="str">
        <f t="shared" si="7"/>
        <v>PROT:CAB54711.1</v>
      </c>
      <c r="E504" t="s">
        <v>981</v>
      </c>
      <c r="F504" t="s">
        <v>148</v>
      </c>
      <c r="G504">
        <f>IF(ISERROR(MATCH(AllProtiens!F504,Genomes!$C:$C,0)),0,1)</f>
        <v>1</v>
      </c>
      <c r="H504">
        <f>IF(ISERROR(MATCH(AllProtiens!A504,CoreProteinGroups!B:B,0)),0,1)</f>
        <v>1</v>
      </c>
      <c r="J504" s="6" t="s">
        <v>149</v>
      </c>
    </row>
    <row r="505" spans="1:10" x14ac:dyDescent="0.2">
      <c r="A505" s="1" t="s">
        <v>911</v>
      </c>
      <c r="B505" t="s">
        <v>912</v>
      </c>
      <c r="C505" t="s">
        <v>982</v>
      </c>
      <c r="D505" s="6" t="str">
        <f t="shared" si="7"/>
        <v>PROT:AOP31815.1</v>
      </c>
      <c r="E505" t="s">
        <v>974</v>
      </c>
      <c r="F505" t="s">
        <v>151</v>
      </c>
      <c r="G505">
        <f>IF(ISERROR(MATCH(AllProtiens!F505,Genomes!$C:$C,0)),0,1)</f>
        <v>1</v>
      </c>
      <c r="H505">
        <f>IF(ISERROR(MATCH(AllProtiens!A505,CoreProteinGroups!B:B,0)),0,1)</f>
        <v>1</v>
      </c>
      <c r="J505" s="6" t="s">
        <v>152</v>
      </c>
    </row>
    <row r="506" spans="1:10" x14ac:dyDescent="0.2">
      <c r="A506" s="1" t="s">
        <v>911</v>
      </c>
      <c r="B506" t="s">
        <v>912</v>
      </c>
      <c r="C506" t="s">
        <v>983</v>
      </c>
      <c r="D506" s="6" t="str">
        <f t="shared" si="7"/>
        <v>PROT:ASC55558.1</v>
      </c>
      <c r="E506" t="s">
        <v>984</v>
      </c>
      <c r="F506" t="s">
        <v>155</v>
      </c>
      <c r="G506">
        <f>IF(ISERROR(MATCH(AllProtiens!F506,Genomes!$C:$C,0)),0,1)</f>
        <v>1</v>
      </c>
      <c r="H506">
        <f>IF(ISERROR(MATCH(AllProtiens!A506,CoreProteinGroups!B:B,0)),0,1)</f>
        <v>1</v>
      </c>
      <c r="J506" s="6" t="s">
        <v>156</v>
      </c>
    </row>
    <row r="507" spans="1:10" x14ac:dyDescent="0.2">
      <c r="A507" s="1" t="s">
        <v>911</v>
      </c>
      <c r="B507" t="s">
        <v>912</v>
      </c>
      <c r="C507" t="s">
        <v>985</v>
      </c>
      <c r="D507" s="6" t="str">
        <f t="shared" si="7"/>
        <v>PROT:AAR98440.1</v>
      </c>
      <c r="E507" t="s">
        <v>986</v>
      </c>
      <c r="F507" t="s">
        <v>159</v>
      </c>
      <c r="G507">
        <f>IF(ISERROR(MATCH(AllProtiens!F507,Genomes!$C:$C,0)),0,1)</f>
        <v>1</v>
      </c>
      <c r="H507">
        <f>IF(ISERROR(MATCH(AllProtiens!A507,CoreProteinGroups!B:B,0)),0,1)</f>
        <v>1</v>
      </c>
      <c r="J507" s="6" t="s">
        <v>160</v>
      </c>
    </row>
    <row r="508" spans="1:10" x14ac:dyDescent="0.2">
      <c r="A508" s="1" t="s">
        <v>911</v>
      </c>
      <c r="B508" t="s">
        <v>912</v>
      </c>
      <c r="C508" t="s">
        <v>987</v>
      </c>
      <c r="D508" s="6" t="str">
        <f t="shared" si="7"/>
        <v>PROT:AAR98308.1</v>
      </c>
      <c r="E508" t="s">
        <v>986</v>
      </c>
      <c r="F508" t="s">
        <v>162</v>
      </c>
      <c r="G508">
        <f>IF(ISERROR(MATCH(AllProtiens!F508,Genomes!$C:$C,0)),0,1)</f>
        <v>1</v>
      </c>
      <c r="H508">
        <f>IF(ISERROR(MATCH(AllProtiens!A508,CoreProteinGroups!B:B,0)),0,1)</f>
        <v>1</v>
      </c>
      <c r="J508" s="6" t="s">
        <v>163</v>
      </c>
    </row>
    <row r="509" spans="1:10" x14ac:dyDescent="0.2">
      <c r="A509" s="1" t="s">
        <v>911</v>
      </c>
      <c r="B509" t="s">
        <v>912</v>
      </c>
      <c r="C509" t="s">
        <v>988</v>
      </c>
      <c r="D509" s="6" t="str">
        <f t="shared" si="7"/>
        <v>PROT:ABA00600.1</v>
      </c>
      <c r="E509" t="s">
        <v>925</v>
      </c>
      <c r="F509" t="s">
        <v>162</v>
      </c>
      <c r="G509">
        <f>IF(ISERROR(MATCH(AllProtiens!F509,Genomes!$C:$C,0)),0,1)</f>
        <v>1</v>
      </c>
      <c r="H509">
        <f>IF(ISERROR(MATCH(AllProtiens!A509,CoreProteinGroups!B:B,0)),0,1)</f>
        <v>1</v>
      </c>
      <c r="J509" s="6" t="s">
        <v>163</v>
      </c>
    </row>
    <row r="510" spans="1:10" x14ac:dyDescent="0.2">
      <c r="A510" s="1" t="s">
        <v>911</v>
      </c>
      <c r="B510" t="s">
        <v>912</v>
      </c>
      <c r="C510" t="s">
        <v>989</v>
      </c>
      <c r="D510" s="6" t="str">
        <f t="shared" si="7"/>
        <v>PROT:AIZ77334.1</v>
      </c>
      <c r="E510" t="s">
        <v>962</v>
      </c>
      <c r="F510" t="s">
        <v>167</v>
      </c>
      <c r="G510">
        <f>IF(ISERROR(MATCH(AllProtiens!F510,Genomes!$C:$C,0)),0,1)</f>
        <v>1</v>
      </c>
      <c r="H510">
        <f>IF(ISERROR(MATCH(AllProtiens!A510,CoreProteinGroups!B:B,0)),0,1)</f>
        <v>1</v>
      </c>
      <c r="J510" s="6" t="s">
        <v>168</v>
      </c>
    </row>
    <row r="511" spans="1:10" x14ac:dyDescent="0.2">
      <c r="A511" s="1" t="s">
        <v>911</v>
      </c>
      <c r="B511" t="s">
        <v>912</v>
      </c>
      <c r="C511" t="s">
        <v>990</v>
      </c>
      <c r="D511" s="6" t="str">
        <f t="shared" si="7"/>
        <v>PROT:ADC53985.1</v>
      </c>
      <c r="E511" t="s">
        <v>925</v>
      </c>
      <c r="F511" t="s">
        <v>170</v>
      </c>
      <c r="G511">
        <f>IF(ISERROR(MATCH(AllProtiens!F511,Genomes!$C:$C,0)),0,1)</f>
        <v>1</v>
      </c>
      <c r="H511">
        <f>IF(ISERROR(MATCH(AllProtiens!A511,CoreProteinGroups!B:B,0)),0,1)</f>
        <v>1</v>
      </c>
      <c r="J511" s="6" t="s">
        <v>171</v>
      </c>
    </row>
    <row r="512" spans="1:10" x14ac:dyDescent="0.2">
      <c r="A512" s="1" t="s">
        <v>911</v>
      </c>
      <c r="B512" t="s">
        <v>912</v>
      </c>
      <c r="C512" t="s">
        <v>991</v>
      </c>
      <c r="D512" s="6" t="str">
        <f t="shared" si="7"/>
        <v>PROT:AAL69834.1</v>
      </c>
      <c r="E512" t="s">
        <v>992</v>
      </c>
      <c r="F512" t="s">
        <v>174</v>
      </c>
      <c r="G512">
        <f>IF(ISERROR(MATCH(AllProtiens!F512,Genomes!$C:$C,0)),0,1)</f>
        <v>1</v>
      </c>
      <c r="H512">
        <f>IF(ISERROR(MATCH(AllProtiens!A512,CoreProteinGroups!B:B,0)),0,1)</f>
        <v>1</v>
      </c>
      <c r="J512" s="6" t="s">
        <v>175</v>
      </c>
    </row>
    <row r="513" spans="1:10" x14ac:dyDescent="0.2">
      <c r="A513" s="1" t="s">
        <v>911</v>
      </c>
      <c r="B513" t="s">
        <v>912</v>
      </c>
      <c r="C513" t="s">
        <v>993</v>
      </c>
      <c r="D513" s="6" t="str">
        <f t="shared" si="7"/>
        <v>PROT:CAC21336.1</v>
      </c>
      <c r="E513" t="s">
        <v>994</v>
      </c>
      <c r="F513" t="s">
        <v>178</v>
      </c>
      <c r="G513">
        <f>IF(ISERROR(MATCH(AllProtiens!F513,Genomes!$C:$C,0)),0,1)</f>
        <v>1</v>
      </c>
      <c r="H513">
        <f>IF(ISERROR(MATCH(AllProtiens!A513,CoreProteinGroups!B:B,0)),0,1)</f>
        <v>1</v>
      </c>
      <c r="J513" s="6" t="s">
        <v>179</v>
      </c>
    </row>
    <row r="514" spans="1:10" x14ac:dyDescent="0.2">
      <c r="A514" s="1" t="s">
        <v>911</v>
      </c>
      <c r="B514" t="s">
        <v>912</v>
      </c>
      <c r="C514" t="s">
        <v>995</v>
      </c>
      <c r="D514" s="6" t="str">
        <f t="shared" ref="D514:D577" si="8">HYPERLINK(_xlfn.CONCAT("https://www.ncbi.nlm.nih.gov/protein/",C514),_xlfn.CONCAT("PROT:",C514))</f>
        <v>PROT:AAR07454.1</v>
      </c>
      <c r="E514" t="s">
        <v>996</v>
      </c>
      <c r="F514" t="s">
        <v>182</v>
      </c>
      <c r="G514">
        <f>IF(ISERROR(MATCH(AllProtiens!F514,Genomes!$C:$C,0)),0,1)</f>
        <v>1</v>
      </c>
      <c r="H514">
        <f>IF(ISERROR(MATCH(AllProtiens!A514,CoreProteinGroups!B:B,0)),0,1)</f>
        <v>1</v>
      </c>
      <c r="J514" s="6" t="s">
        <v>183</v>
      </c>
    </row>
    <row r="515" spans="1:10" x14ac:dyDescent="0.2">
      <c r="A515" s="1" t="s">
        <v>911</v>
      </c>
      <c r="B515" t="s">
        <v>912</v>
      </c>
      <c r="C515" t="s">
        <v>997</v>
      </c>
      <c r="D515" s="6" t="str">
        <f t="shared" si="8"/>
        <v>PROT:AAC97622.1</v>
      </c>
      <c r="E515" t="s">
        <v>998</v>
      </c>
      <c r="F515" t="s">
        <v>186</v>
      </c>
      <c r="G515">
        <f>IF(ISERROR(MATCH(AllProtiens!F515,Genomes!$C:$C,0)),0,1)</f>
        <v>1</v>
      </c>
      <c r="H515">
        <f>IF(ISERROR(MATCH(AllProtiens!A515,CoreProteinGroups!B:B,0)),0,1)</f>
        <v>1</v>
      </c>
      <c r="J515" s="6" t="s">
        <v>187</v>
      </c>
    </row>
    <row r="516" spans="1:10" x14ac:dyDescent="0.2">
      <c r="A516" s="1" t="s">
        <v>911</v>
      </c>
      <c r="B516" t="s">
        <v>912</v>
      </c>
      <c r="C516" t="s">
        <v>999</v>
      </c>
      <c r="D516" s="6" t="str">
        <f t="shared" si="8"/>
        <v>PROT:BAO49547.1</v>
      </c>
      <c r="E516" t="s">
        <v>1000</v>
      </c>
      <c r="F516" t="s">
        <v>190</v>
      </c>
      <c r="G516">
        <f>IF(ISERROR(MATCH(AllProtiens!F516,Genomes!$C:$C,0)),0,1)</f>
        <v>1</v>
      </c>
      <c r="H516">
        <f>IF(ISERROR(MATCH(AllProtiens!A516,CoreProteinGroups!B:B,0)),0,1)</f>
        <v>1</v>
      </c>
      <c r="J516" s="6" t="s">
        <v>191</v>
      </c>
    </row>
    <row r="517" spans="1:10" x14ac:dyDescent="0.2">
      <c r="A517" s="1" t="s">
        <v>911</v>
      </c>
      <c r="B517" t="s">
        <v>912</v>
      </c>
      <c r="C517" t="s">
        <v>1001</v>
      </c>
      <c r="D517" s="6" t="str">
        <f t="shared" si="8"/>
        <v>PROT:CCU55427.1</v>
      </c>
      <c r="E517" t="s">
        <v>1002</v>
      </c>
      <c r="F517" t="s">
        <v>193</v>
      </c>
      <c r="G517">
        <f>IF(ISERROR(MATCH(AllProtiens!F517,Genomes!$C:$C,0)),0,1)</f>
        <v>1</v>
      </c>
      <c r="H517">
        <f>IF(ISERROR(MATCH(AllProtiens!A517,CoreProteinGroups!B:B,0)),0,1)</f>
        <v>1</v>
      </c>
      <c r="J517" s="6" t="s">
        <v>194</v>
      </c>
    </row>
    <row r="518" spans="1:10" x14ac:dyDescent="0.2">
      <c r="A518" s="1" t="s">
        <v>911</v>
      </c>
      <c r="B518" t="s">
        <v>912</v>
      </c>
      <c r="C518" t="s">
        <v>1003</v>
      </c>
      <c r="D518" s="6" t="str">
        <f t="shared" si="8"/>
        <v>PROT:AAG02811.1</v>
      </c>
      <c r="E518" t="s">
        <v>1004</v>
      </c>
      <c r="F518" t="s">
        <v>197</v>
      </c>
      <c r="G518">
        <f>IF(ISERROR(MATCH(AllProtiens!F518,Genomes!$C:$C,0)),0,1)</f>
        <v>1</v>
      </c>
      <c r="H518">
        <f>IF(ISERROR(MATCH(AllProtiens!A518,CoreProteinGroups!B:B,0)),0,1)</f>
        <v>1</v>
      </c>
      <c r="J518" s="6" t="s">
        <v>198</v>
      </c>
    </row>
    <row r="519" spans="1:10" x14ac:dyDescent="0.2">
      <c r="A519" s="1" t="s">
        <v>911</v>
      </c>
      <c r="B519" t="s">
        <v>912</v>
      </c>
      <c r="C519" t="s">
        <v>1005</v>
      </c>
      <c r="D519" s="6" t="str">
        <f t="shared" si="8"/>
        <v>PROT:CCU55727.1</v>
      </c>
      <c r="E519" t="s">
        <v>1002</v>
      </c>
      <c r="F519" t="s">
        <v>200</v>
      </c>
      <c r="G519">
        <f>IF(ISERROR(MATCH(AllProtiens!F519,Genomes!$C:$C,0)),0,1)</f>
        <v>1</v>
      </c>
      <c r="H519">
        <f>IF(ISERROR(MATCH(AllProtiens!A519,CoreProteinGroups!B:B,0)),0,1)</f>
        <v>1</v>
      </c>
      <c r="J519" s="6" t="s">
        <v>201</v>
      </c>
    </row>
    <row r="520" spans="1:10" x14ac:dyDescent="0.2">
      <c r="A520" s="1" t="s">
        <v>911</v>
      </c>
      <c r="B520" t="s">
        <v>912</v>
      </c>
      <c r="C520" t="s">
        <v>1006</v>
      </c>
      <c r="D520" s="6" t="str">
        <f t="shared" si="8"/>
        <v>PROT:CCU56029.1</v>
      </c>
      <c r="E520" t="s">
        <v>1002</v>
      </c>
      <c r="F520" t="s">
        <v>203</v>
      </c>
      <c r="G520">
        <f>IF(ISERROR(MATCH(AllProtiens!F520,Genomes!$C:$C,0)),0,1)</f>
        <v>1</v>
      </c>
      <c r="H520">
        <f>IF(ISERROR(MATCH(AllProtiens!A520,CoreProteinGroups!B:B,0)),0,1)</f>
        <v>1</v>
      </c>
      <c r="J520" s="6" t="s">
        <v>204</v>
      </c>
    </row>
    <row r="521" spans="1:10" x14ac:dyDescent="0.2">
      <c r="A521" s="1" t="s">
        <v>911</v>
      </c>
      <c r="B521" t="s">
        <v>912</v>
      </c>
      <c r="C521" t="s">
        <v>1007</v>
      </c>
      <c r="D521" s="6" t="str">
        <f t="shared" si="8"/>
        <v>PROT:CCU56319.1</v>
      </c>
      <c r="E521" t="s">
        <v>1002</v>
      </c>
      <c r="F521" t="s">
        <v>206</v>
      </c>
      <c r="G521">
        <f>IF(ISERROR(MATCH(AllProtiens!F521,Genomes!$C:$C,0)),0,1)</f>
        <v>1</v>
      </c>
      <c r="H521">
        <f>IF(ISERROR(MATCH(AllProtiens!A521,CoreProteinGroups!B:B,0)),0,1)</f>
        <v>1</v>
      </c>
      <c r="J521" s="6" t="s">
        <v>207</v>
      </c>
    </row>
    <row r="522" spans="1:10" x14ac:dyDescent="0.2">
      <c r="A522" s="1" t="s">
        <v>911</v>
      </c>
      <c r="B522" t="s">
        <v>912</v>
      </c>
      <c r="C522" t="s">
        <v>1008</v>
      </c>
      <c r="D522" s="6" t="str">
        <f t="shared" si="8"/>
        <v>PROT:NP_659670.1</v>
      </c>
      <c r="E522" t="s">
        <v>1009</v>
      </c>
      <c r="F522" t="s">
        <v>210</v>
      </c>
      <c r="G522">
        <f>IF(ISERROR(MATCH(AllProtiens!F522,Genomes!$C:$C,0)),0,1)</f>
        <v>1</v>
      </c>
      <c r="H522">
        <f>IF(ISERROR(MATCH(AllProtiens!A522,CoreProteinGroups!B:B,0)),0,1)</f>
        <v>1</v>
      </c>
      <c r="J522" s="6" t="s">
        <v>211</v>
      </c>
    </row>
    <row r="523" spans="1:10" x14ac:dyDescent="0.2">
      <c r="A523" s="1" t="s">
        <v>911</v>
      </c>
      <c r="B523" t="s">
        <v>912</v>
      </c>
      <c r="C523" t="s">
        <v>1010</v>
      </c>
      <c r="D523" s="6" t="str">
        <f t="shared" si="8"/>
        <v>PROT:YP_001293289.1</v>
      </c>
      <c r="E523" t="s">
        <v>1011</v>
      </c>
      <c r="F523" t="s">
        <v>214</v>
      </c>
      <c r="G523">
        <f>IF(ISERROR(MATCH(AllProtiens!F523,Genomes!$C:$C,0)),0,1)</f>
        <v>1</v>
      </c>
      <c r="H523">
        <f>IF(ISERROR(MATCH(AllProtiens!A523,CoreProteinGroups!B:B,0)),0,1)</f>
        <v>1</v>
      </c>
      <c r="J523" s="6" t="s">
        <v>215</v>
      </c>
    </row>
    <row r="524" spans="1:10" x14ac:dyDescent="0.2">
      <c r="A524" s="1" t="s">
        <v>1012</v>
      </c>
      <c r="B524" t="s">
        <v>1013</v>
      </c>
      <c r="C524" t="s">
        <v>1014</v>
      </c>
      <c r="D524" s="6" t="str">
        <f t="shared" si="8"/>
        <v>PROT:ATI21188.1</v>
      </c>
      <c r="E524" t="s">
        <v>1015</v>
      </c>
      <c r="F524" t="s">
        <v>14</v>
      </c>
      <c r="G524">
        <f>IF(ISERROR(MATCH(AllProtiens!F524,Genomes!$C:$C,0)),0,1)</f>
        <v>1</v>
      </c>
      <c r="H524">
        <f>IF(ISERROR(MATCH(AllProtiens!A524,CoreProteinGroups!B:B,0)),0,1)</f>
        <v>1</v>
      </c>
      <c r="J524" s="6" t="s">
        <v>15</v>
      </c>
    </row>
    <row r="525" spans="1:10" x14ac:dyDescent="0.2">
      <c r="A525" s="1" t="s">
        <v>1012</v>
      </c>
      <c r="B525" t="s">
        <v>1013</v>
      </c>
      <c r="C525" t="s">
        <v>1016</v>
      </c>
      <c r="D525" s="6" t="str">
        <f t="shared" si="8"/>
        <v>PROT:AWU47122.1</v>
      </c>
      <c r="E525" t="s">
        <v>1017</v>
      </c>
      <c r="F525" t="s">
        <v>17</v>
      </c>
      <c r="G525">
        <f>IF(ISERROR(MATCH(AllProtiens!F525,Genomes!$C:$C,0)),0,1)</f>
        <v>1</v>
      </c>
      <c r="H525">
        <f>IF(ISERROR(MATCH(AllProtiens!A525,CoreProteinGroups!B:B,0)),0,1)</f>
        <v>1</v>
      </c>
      <c r="J525" s="6" t="s">
        <v>18</v>
      </c>
    </row>
    <row r="526" spans="1:10" x14ac:dyDescent="0.2">
      <c r="A526" s="1" t="s">
        <v>1012</v>
      </c>
      <c r="B526" t="s">
        <v>1013</v>
      </c>
      <c r="C526" t="s">
        <v>1018</v>
      </c>
      <c r="D526" s="6" t="str">
        <f t="shared" si="8"/>
        <v>PROT:APG58298.1</v>
      </c>
      <c r="E526" t="s">
        <v>1019</v>
      </c>
      <c r="F526" t="s">
        <v>21</v>
      </c>
      <c r="G526">
        <f>IF(ISERROR(MATCH(AllProtiens!F526,Genomes!$C:$C,0)),0,1)</f>
        <v>1</v>
      </c>
      <c r="H526">
        <f>IF(ISERROR(MATCH(AllProtiens!A526,CoreProteinGroups!B:B,0)),0,1)</f>
        <v>1</v>
      </c>
      <c r="J526" s="6" t="s">
        <v>22</v>
      </c>
    </row>
    <row r="527" spans="1:10" x14ac:dyDescent="0.2">
      <c r="A527" s="1" t="s">
        <v>1012</v>
      </c>
      <c r="B527" t="s">
        <v>1013</v>
      </c>
      <c r="C527" t="s">
        <v>1020</v>
      </c>
      <c r="D527" s="6" t="str">
        <f t="shared" si="8"/>
        <v>PROT:ADT91109.1</v>
      </c>
      <c r="E527" t="s">
        <v>1021</v>
      </c>
      <c r="F527" t="s">
        <v>25</v>
      </c>
      <c r="G527">
        <f>IF(ISERROR(MATCH(AllProtiens!F527,Genomes!$C:$C,0)),0,1)</f>
        <v>1</v>
      </c>
      <c r="H527">
        <f>IF(ISERROR(MATCH(AllProtiens!A527,CoreProteinGroups!B:B,0)),0,1)</f>
        <v>1</v>
      </c>
      <c r="J527" s="6" t="s">
        <v>26</v>
      </c>
    </row>
    <row r="528" spans="1:10" x14ac:dyDescent="0.2">
      <c r="A528" s="1" t="s">
        <v>1012</v>
      </c>
      <c r="B528" t="s">
        <v>1013</v>
      </c>
      <c r="C528" t="s">
        <v>1022</v>
      </c>
      <c r="D528" s="6" t="str">
        <f t="shared" si="8"/>
        <v>PROT:ANS71166.1</v>
      </c>
      <c r="E528" t="s">
        <v>1023</v>
      </c>
      <c r="F528" t="s">
        <v>28</v>
      </c>
      <c r="G528">
        <f>IF(ISERROR(MATCH(AllProtiens!F528,Genomes!$C:$C,0)),0,1)</f>
        <v>1</v>
      </c>
      <c r="H528">
        <f>IF(ISERROR(MATCH(AllProtiens!A528,CoreProteinGroups!B:B,0)),0,1)</f>
        <v>1</v>
      </c>
      <c r="J528" s="6" t="s">
        <v>29</v>
      </c>
    </row>
    <row r="529" spans="1:10" x14ac:dyDescent="0.2">
      <c r="A529" s="1" t="s">
        <v>1012</v>
      </c>
      <c r="B529" t="s">
        <v>1013</v>
      </c>
      <c r="C529" t="s">
        <v>1024</v>
      </c>
      <c r="D529" s="6" t="str">
        <f t="shared" si="8"/>
        <v>PROT:AKR04297.1</v>
      </c>
      <c r="E529" t="s">
        <v>1025</v>
      </c>
      <c r="F529" t="s">
        <v>32</v>
      </c>
      <c r="G529">
        <f>IF(ISERROR(MATCH(AllProtiens!F529,Genomes!$C:$C,0)),0,1)</f>
        <v>1</v>
      </c>
      <c r="H529">
        <f>IF(ISERROR(MATCH(AllProtiens!A529,CoreProteinGroups!B:B,0)),0,1)</f>
        <v>1</v>
      </c>
      <c r="J529" s="6" t="s">
        <v>33</v>
      </c>
    </row>
    <row r="530" spans="1:10" x14ac:dyDescent="0.2">
      <c r="A530" s="1" t="s">
        <v>1012</v>
      </c>
      <c r="B530" t="s">
        <v>1013</v>
      </c>
      <c r="C530" t="s">
        <v>1026</v>
      </c>
      <c r="D530" s="6" t="str">
        <f t="shared" si="8"/>
        <v>PROT:CCD83255.1</v>
      </c>
      <c r="E530" t="s">
        <v>1027</v>
      </c>
      <c r="F530" t="s">
        <v>36</v>
      </c>
      <c r="G530">
        <f>IF(ISERROR(MATCH(AllProtiens!F530,Genomes!$C:$C,0)),0,1)</f>
        <v>1</v>
      </c>
      <c r="H530">
        <f>IF(ISERROR(MATCH(AllProtiens!A530,CoreProteinGroups!B:B,0)),0,1)</f>
        <v>1</v>
      </c>
      <c r="J530" s="6" t="s">
        <v>37</v>
      </c>
    </row>
    <row r="531" spans="1:10" x14ac:dyDescent="0.2">
      <c r="A531" s="1" t="s">
        <v>1012</v>
      </c>
      <c r="B531" t="s">
        <v>1013</v>
      </c>
      <c r="C531" t="s">
        <v>1028</v>
      </c>
      <c r="D531" s="6" t="str">
        <f t="shared" si="8"/>
        <v>PROT:ASK51284.1</v>
      </c>
      <c r="E531" t="s">
        <v>1015</v>
      </c>
      <c r="F531" t="s">
        <v>40</v>
      </c>
      <c r="G531">
        <f>IF(ISERROR(MATCH(AllProtiens!F531,Genomes!$C:$C,0)),0,1)</f>
        <v>1</v>
      </c>
      <c r="H531">
        <f>IF(ISERROR(MATCH(AllProtiens!A531,CoreProteinGroups!B:B,0)),0,1)</f>
        <v>1</v>
      </c>
      <c r="J531" s="6" t="s">
        <v>41</v>
      </c>
    </row>
    <row r="532" spans="1:10" x14ac:dyDescent="0.2">
      <c r="A532" s="1" t="s">
        <v>1012</v>
      </c>
      <c r="B532" t="s">
        <v>1013</v>
      </c>
      <c r="C532" t="s">
        <v>1029</v>
      </c>
      <c r="D532" s="6" t="str">
        <f t="shared" si="8"/>
        <v>PROT:AUD40250.1</v>
      </c>
      <c r="E532" t="s">
        <v>1015</v>
      </c>
      <c r="F532" t="s">
        <v>43</v>
      </c>
      <c r="G532">
        <f>IF(ISERROR(MATCH(AllProtiens!F532,Genomes!$C:$C,0)),0,1)</f>
        <v>1</v>
      </c>
      <c r="H532">
        <f>IF(ISERROR(MATCH(AllProtiens!A532,CoreProteinGroups!B:B,0)),0,1)</f>
        <v>1</v>
      </c>
      <c r="J532" s="6" t="s">
        <v>44</v>
      </c>
    </row>
    <row r="533" spans="1:10" x14ac:dyDescent="0.2">
      <c r="A533" s="1" t="s">
        <v>1012</v>
      </c>
      <c r="B533" t="s">
        <v>1013</v>
      </c>
      <c r="C533" t="s">
        <v>1030</v>
      </c>
      <c r="D533" s="6" t="str">
        <f t="shared" si="8"/>
        <v>PROT:AID46882.1</v>
      </c>
      <c r="E533" t="s">
        <v>1031</v>
      </c>
      <c r="F533" t="s">
        <v>46</v>
      </c>
      <c r="G533">
        <f>IF(ISERROR(MATCH(AllProtiens!F533,Genomes!$C:$C,0)),0,1)</f>
        <v>1</v>
      </c>
      <c r="H533">
        <f>IF(ISERROR(MATCH(AllProtiens!A533,CoreProteinGroups!B:B,0)),0,1)</f>
        <v>1</v>
      </c>
      <c r="J533" s="6" t="s">
        <v>47</v>
      </c>
    </row>
    <row r="534" spans="1:10" x14ac:dyDescent="0.2">
      <c r="A534" s="1" t="s">
        <v>1012</v>
      </c>
      <c r="B534" t="s">
        <v>1013</v>
      </c>
      <c r="C534" t="s">
        <v>1032</v>
      </c>
      <c r="D534" s="6" t="str">
        <f t="shared" si="8"/>
        <v>PROT:AID46653.1</v>
      </c>
      <c r="E534" t="s">
        <v>1031</v>
      </c>
      <c r="F534" t="s">
        <v>49</v>
      </c>
      <c r="G534">
        <f>IF(ISERROR(MATCH(AllProtiens!F534,Genomes!$C:$C,0)),0,1)</f>
        <v>1</v>
      </c>
      <c r="H534">
        <f>IF(ISERROR(MATCH(AllProtiens!A534,CoreProteinGroups!B:B,0)),0,1)</f>
        <v>1</v>
      </c>
      <c r="J534" s="6" t="s">
        <v>50</v>
      </c>
    </row>
    <row r="535" spans="1:10" x14ac:dyDescent="0.2">
      <c r="A535" s="1" t="s">
        <v>1012</v>
      </c>
      <c r="B535" t="s">
        <v>1013</v>
      </c>
      <c r="C535" t="s">
        <v>1033</v>
      </c>
      <c r="D535" s="6" t="str">
        <f t="shared" si="8"/>
        <v>PROT:ALA62484.1</v>
      </c>
      <c r="E535" t="s">
        <v>1034</v>
      </c>
      <c r="F535" t="s">
        <v>53</v>
      </c>
      <c r="G535">
        <f>IF(ISERROR(MATCH(AllProtiens!F535,Genomes!$C:$C,0)),0,1)</f>
        <v>1</v>
      </c>
      <c r="H535">
        <f>IF(ISERROR(MATCH(AllProtiens!A535,CoreProteinGroups!B:B,0)),0,1)</f>
        <v>1</v>
      </c>
      <c r="J535" s="6" t="s">
        <v>54</v>
      </c>
    </row>
    <row r="536" spans="1:10" x14ac:dyDescent="0.2">
      <c r="A536" s="1" t="s">
        <v>1012</v>
      </c>
      <c r="B536" t="s">
        <v>1013</v>
      </c>
      <c r="C536" t="s">
        <v>1035</v>
      </c>
      <c r="D536" s="6" t="str">
        <f t="shared" si="8"/>
        <v>PROT:AAR83538.1</v>
      </c>
      <c r="E536" t="s">
        <v>1036</v>
      </c>
      <c r="F536" t="s">
        <v>57</v>
      </c>
      <c r="G536">
        <f>IF(ISERROR(MATCH(AllProtiens!F536,Genomes!$C:$C,0)),0,1)</f>
        <v>1</v>
      </c>
      <c r="H536">
        <f>IF(ISERROR(MATCH(AllProtiens!A536,CoreProteinGroups!B:B,0)),0,1)</f>
        <v>1</v>
      </c>
      <c r="J536" s="6" t="s">
        <v>58</v>
      </c>
    </row>
    <row r="537" spans="1:10" x14ac:dyDescent="0.2">
      <c r="A537" s="1" t="s">
        <v>1012</v>
      </c>
      <c r="B537" t="s">
        <v>1013</v>
      </c>
      <c r="C537" t="s">
        <v>1037</v>
      </c>
      <c r="D537" s="6" t="str">
        <f t="shared" si="8"/>
        <v>PROT:AAF44490.1</v>
      </c>
      <c r="E537" t="s">
        <v>1038</v>
      </c>
      <c r="F537" t="s">
        <v>61</v>
      </c>
      <c r="G537">
        <f>IF(ISERROR(MATCH(AllProtiens!F537,Genomes!$C:$C,0)),0,1)</f>
        <v>1</v>
      </c>
      <c r="H537">
        <f>IF(ISERROR(MATCH(AllProtiens!A537,CoreProteinGroups!B:B,0)),0,1)</f>
        <v>1</v>
      </c>
      <c r="J537" s="6" t="s">
        <v>62</v>
      </c>
    </row>
    <row r="538" spans="1:10" x14ac:dyDescent="0.2">
      <c r="A538" s="1" t="s">
        <v>1012</v>
      </c>
      <c r="B538" t="s">
        <v>1013</v>
      </c>
      <c r="C538" t="s">
        <v>1039</v>
      </c>
      <c r="D538" s="6" t="str">
        <f t="shared" si="8"/>
        <v>PROT:AAK85040.1</v>
      </c>
      <c r="E538" t="s">
        <v>1040</v>
      </c>
      <c r="F538" t="s">
        <v>65</v>
      </c>
      <c r="G538">
        <f>IF(ISERROR(MATCH(AllProtiens!F538,Genomes!$C:$C,0)),0,1)</f>
        <v>1</v>
      </c>
      <c r="H538">
        <f>IF(ISERROR(MATCH(AllProtiens!A538,CoreProteinGroups!B:B,0)),0,1)</f>
        <v>1</v>
      </c>
      <c r="J538" s="6" t="s">
        <v>66</v>
      </c>
    </row>
    <row r="539" spans="1:10" x14ac:dyDescent="0.2">
      <c r="A539" s="1" t="s">
        <v>1012</v>
      </c>
      <c r="B539" t="s">
        <v>1013</v>
      </c>
      <c r="C539" t="s">
        <v>1041</v>
      </c>
      <c r="D539" s="6" t="str">
        <f t="shared" si="8"/>
        <v>PROT:AST09297.1</v>
      </c>
      <c r="E539" t="s">
        <v>1015</v>
      </c>
      <c r="F539" t="s">
        <v>68</v>
      </c>
      <c r="G539">
        <f>IF(ISERROR(MATCH(AllProtiens!F539,Genomes!$C:$C,0)),0,1)</f>
        <v>1</v>
      </c>
      <c r="H539">
        <f>IF(ISERROR(MATCH(AllProtiens!A539,CoreProteinGroups!B:B,0)),0,1)</f>
        <v>1</v>
      </c>
      <c r="J539" s="6" t="s">
        <v>69</v>
      </c>
    </row>
    <row r="540" spans="1:10" x14ac:dyDescent="0.2">
      <c r="A540" s="1" t="s">
        <v>1012</v>
      </c>
      <c r="B540" t="s">
        <v>1013</v>
      </c>
      <c r="C540" t="s">
        <v>1042</v>
      </c>
      <c r="D540" s="6" t="str">
        <f t="shared" si="8"/>
        <v>PROT:AEN03675.1</v>
      </c>
      <c r="E540" t="s">
        <v>1043</v>
      </c>
      <c r="F540" t="s">
        <v>71</v>
      </c>
      <c r="G540">
        <f>IF(ISERROR(MATCH(AllProtiens!F540,Genomes!$C:$C,0)),0,1)</f>
        <v>1</v>
      </c>
      <c r="H540">
        <f>IF(ISERROR(MATCH(AllProtiens!A540,CoreProteinGroups!B:B,0)),0,1)</f>
        <v>1</v>
      </c>
      <c r="J540" s="6" t="s">
        <v>72</v>
      </c>
    </row>
    <row r="541" spans="1:10" x14ac:dyDescent="0.2">
      <c r="A541" s="1" t="s">
        <v>1012</v>
      </c>
      <c r="B541" t="s">
        <v>1013</v>
      </c>
      <c r="C541" t="s">
        <v>1044</v>
      </c>
      <c r="D541" s="6" t="str">
        <f t="shared" si="8"/>
        <v>PROT:ABI99243.1</v>
      </c>
      <c r="E541" t="s">
        <v>1045</v>
      </c>
      <c r="F541" t="s">
        <v>74</v>
      </c>
      <c r="G541">
        <f>IF(ISERROR(MATCH(AllProtiens!F541,Genomes!$C:$C,0)),0,1)</f>
        <v>1</v>
      </c>
      <c r="H541">
        <f>IF(ISERROR(MATCH(AllProtiens!A541,CoreProteinGroups!B:B,0)),0,1)</f>
        <v>1</v>
      </c>
      <c r="J541" s="6" t="s">
        <v>75</v>
      </c>
    </row>
    <row r="542" spans="1:10" x14ac:dyDescent="0.2">
      <c r="A542" s="1" t="s">
        <v>1012</v>
      </c>
      <c r="B542" t="s">
        <v>1013</v>
      </c>
      <c r="C542" t="s">
        <v>1046</v>
      </c>
      <c r="D542" s="6" t="str">
        <f t="shared" si="8"/>
        <v>PROT:ABJ09000.1</v>
      </c>
      <c r="E542" t="s">
        <v>1015</v>
      </c>
      <c r="F542" t="s">
        <v>77</v>
      </c>
      <c r="G542">
        <f>IF(ISERROR(MATCH(AllProtiens!F542,Genomes!$C:$C,0)),0,1)</f>
        <v>1</v>
      </c>
      <c r="H542">
        <f>IF(ISERROR(MATCH(AllProtiens!A542,CoreProteinGroups!B:B,0)),0,1)</f>
        <v>1</v>
      </c>
      <c r="J542" s="6" t="s">
        <v>78</v>
      </c>
    </row>
    <row r="543" spans="1:10" x14ac:dyDescent="0.2">
      <c r="A543" s="1" t="s">
        <v>1012</v>
      </c>
      <c r="B543" t="s">
        <v>1013</v>
      </c>
      <c r="C543" t="s">
        <v>1047</v>
      </c>
      <c r="D543" s="6" t="str">
        <f t="shared" si="8"/>
        <v>PROT:AAF14964.1</v>
      </c>
      <c r="E543" t="s">
        <v>1048</v>
      </c>
      <c r="F543" t="s">
        <v>81</v>
      </c>
      <c r="G543">
        <f>IF(ISERROR(MATCH(AllProtiens!F543,Genomes!$C:$C,0)),0,1)</f>
        <v>0</v>
      </c>
      <c r="H543">
        <f>IF(ISERROR(MATCH(AllProtiens!A543,CoreProteinGroups!B:B,0)),0,1)</f>
        <v>1</v>
      </c>
      <c r="J543" s="6" t="s">
        <v>82</v>
      </c>
    </row>
    <row r="544" spans="1:10" x14ac:dyDescent="0.2">
      <c r="A544" s="1" t="s">
        <v>1012</v>
      </c>
      <c r="B544" t="s">
        <v>1013</v>
      </c>
      <c r="C544" t="s">
        <v>1049</v>
      </c>
      <c r="D544" s="6" t="str">
        <f t="shared" si="8"/>
        <v>PROT:AFU77340.1</v>
      </c>
      <c r="E544" t="s">
        <v>1048</v>
      </c>
      <c r="F544" t="s">
        <v>81</v>
      </c>
      <c r="G544">
        <f>IF(ISERROR(MATCH(AllProtiens!F544,Genomes!$C:$C,0)),0,1)</f>
        <v>0</v>
      </c>
      <c r="H544">
        <f>IF(ISERROR(MATCH(AllProtiens!A544,CoreProteinGroups!B:B,0)),0,1)</f>
        <v>1</v>
      </c>
      <c r="J544" s="6" t="s">
        <v>82</v>
      </c>
    </row>
    <row r="545" spans="1:10" x14ac:dyDescent="0.2">
      <c r="A545" s="1" t="s">
        <v>1012</v>
      </c>
      <c r="B545" t="s">
        <v>1013</v>
      </c>
      <c r="C545" t="s">
        <v>1050</v>
      </c>
      <c r="D545" s="6" t="str">
        <f t="shared" si="8"/>
        <v>PROT:AAF17958.1</v>
      </c>
      <c r="E545" t="s">
        <v>1051</v>
      </c>
      <c r="F545" t="s">
        <v>86</v>
      </c>
      <c r="G545">
        <f>IF(ISERROR(MATCH(AllProtiens!F545,Genomes!$C:$C,0)),0,1)</f>
        <v>1</v>
      </c>
      <c r="H545">
        <f>IF(ISERROR(MATCH(AllProtiens!A545,CoreProteinGroups!B:B,0)),0,1)</f>
        <v>1</v>
      </c>
      <c r="J545" s="6" t="s">
        <v>87</v>
      </c>
    </row>
    <row r="546" spans="1:10" x14ac:dyDescent="0.2">
      <c r="A546" s="1" t="s">
        <v>1012</v>
      </c>
      <c r="B546" t="s">
        <v>1013</v>
      </c>
      <c r="C546" t="s">
        <v>1052</v>
      </c>
      <c r="D546" s="6" t="str">
        <f t="shared" si="8"/>
        <v>PROT:AAC55218.1</v>
      </c>
      <c r="E546" t="s">
        <v>1053</v>
      </c>
      <c r="F546" t="s">
        <v>90</v>
      </c>
      <c r="G546">
        <f>IF(ISERROR(MATCH(AllProtiens!F546,Genomes!$C:$C,0)),0,1)</f>
        <v>1</v>
      </c>
      <c r="H546">
        <f>IF(ISERROR(MATCH(AllProtiens!A546,CoreProteinGroups!B:B,0)),0,1)</f>
        <v>1</v>
      </c>
      <c r="J546" s="6" t="s">
        <v>91</v>
      </c>
    </row>
    <row r="547" spans="1:10" x14ac:dyDescent="0.2">
      <c r="A547" s="1" t="s">
        <v>1012</v>
      </c>
      <c r="B547" t="s">
        <v>1013</v>
      </c>
      <c r="C547" t="s">
        <v>1054</v>
      </c>
      <c r="D547" s="6" t="str">
        <f t="shared" si="8"/>
        <v>PROT:AYN64672.1</v>
      </c>
      <c r="E547" t="s">
        <v>1055</v>
      </c>
      <c r="F547" t="s">
        <v>94</v>
      </c>
      <c r="G547">
        <f>IF(ISERROR(MATCH(AllProtiens!F547,Genomes!$C:$C,0)),0,1)</f>
        <v>1</v>
      </c>
      <c r="H547">
        <f>IF(ISERROR(MATCH(AllProtiens!A547,CoreProteinGroups!B:B,0)),0,1)</f>
        <v>1</v>
      </c>
      <c r="J547" s="6" t="s">
        <v>95</v>
      </c>
    </row>
    <row r="548" spans="1:10" x14ac:dyDescent="0.2">
      <c r="A548" s="1" t="s">
        <v>1012</v>
      </c>
      <c r="B548" t="s">
        <v>1013</v>
      </c>
      <c r="C548" t="s">
        <v>1056</v>
      </c>
      <c r="D548" s="6" t="str">
        <f t="shared" si="8"/>
        <v>PROT:AXN74900.1</v>
      </c>
      <c r="E548" t="s">
        <v>1015</v>
      </c>
      <c r="F548" t="s">
        <v>97</v>
      </c>
      <c r="G548">
        <f>IF(ISERROR(MATCH(AllProtiens!F548,Genomes!$C:$C,0)),0,1)</f>
        <v>1</v>
      </c>
      <c r="H548">
        <f>IF(ISERROR(MATCH(AllProtiens!A548,CoreProteinGroups!B:B,0)),0,1)</f>
        <v>1</v>
      </c>
      <c r="J548" s="6" t="s">
        <v>98</v>
      </c>
    </row>
    <row r="549" spans="1:10" x14ac:dyDescent="0.2">
      <c r="A549" s="1" t="s">
        <v>1012</v>
      </c>
      <c r="B549" t="s">
        <v>1013</v>
      </c>
      <c r="C549" t="s">
        <v>1057</v>
      </c>
      <c r="D549" s="6" t="str">
        <f t="shared" si="8"/>
        <v>PROT:ABH08213.1</v>
      </c>
      <c r="E549" t="s">
        <v>1058</v>
      </c>
      <c r="F549" t="s">
        <v>101</v>
      </c>
      <c r="G549">
        <f>IF(ISERROR(MATCH(AllProtiens!F549,Genomes!$C:$C,0)),0,1)</f>
        <v>1</v>
      </c>
      <c r="H549">
        <f>IF(ISERROR(MATCH(AllProtiens!A549,CoreProteinGroups!B:B,0)),0,1)</f>
        <v>1</v>
      </c>
      <c r="J549" s="6" t="s">
        <v>102</v>
      </c>
    </row>
    <row r="550" spans="1:10" x14ac:dyDescent="0.2">
      <c r="A550" s="1" t="s">
        <v>1012</v>
      </c>
      <c r="B550" t="s">
        <v>1013</v>
      </c>
      <c r="C550" t="s">
        <v>1059</v>
      </c>
      <c r="D550" s="6" t="str">
        <f t="shared" si="8"/>
        <v>PROT:AAG37576.1</v>
      </c>
      <c r="E550" t="s">
        <v>1060</v>
      </c>
      <c r="F550" t="s">
        <v>105</v>
      </c>
      <c r="G550">
        <f>IF(ISERROR(MATCH(AllProtiens!F550,Genomes!$C:$C,0)),0,1)</f>
        <v>1</v>
      </c>
      <c r="H550">
        <f>IF(ISERROR(MATCH(AllProtiens!A550,CoreProteinGroups!B:B,0)),0,1)</f>
        <v>1</v>
      </c>
      <c r="J550" s="6" t="s">
        <v>106</v>
      </c>
    </row>
    <row r="551" spans="1:10" x14ac:dyDescent="0.2">
      <c r="A551" s="1" t="s">
        <v>1012</v>
      </c>
      <c r="B551" t="s">
        <v>1013</v>
      </c>
      <c r="C551" t="s">
        <v>1061</v>
      </c>
      <c r="D551" s="6" t="str">
        <f t="shared" si="8"/>
        <v>PROT:AAL73811.1</v>
      </c>
      <c r="E551" t="s">
        <v>1015</v>
      </c>
      <c r="F551" t="s">
        <v>109</v>
      </c>
      <c r="G551">
        <f>IF(ISERROR(MATCH(AllProtiens!F551,Genomes!$C:$C,0)),0,1)</f>
        <v>1</v>
      </c>
      <c r="H551">
        <f>IF(ISERROR(MATCH(AllProtiens!A551,CoreProteinGroups!B:B,0)),0,1)</f>
        <v>1</v>
      </c>
      <c r="J551" s="6" t="s">
        <v>110</v>
      </c>
    </row>
    <row r="552" spans="1:10" x14ac:dyDescent="0.2">
      <c r="A552" s="1" t="s">
        <v>1012</v>
      </c>
      <c r="B552" t="s">
        <v>1013</v>
      </c>
      <c r="C552" t="s">
        <v>1062</v>
      </c>
      <c r="D552" s="6" t="str">
        <f t="shared" si="8"/>
        <v>PROT:AAM13560.1</v>
      </c>
      <c r="E552" t="s">
        <v>1063</v>
      </c>
      <c r="F552" t="s">
        <v>113</v>
      </c>
      <c r="G552">
        <f>IF(ISERROR(MATCH(AllProtiens!F552,Genomes!$C:$C,0)),0,1)</f>
        <v>1</v>
      </c>
      <c r="H552">
        <f>IF(ISERROR(MATCH(AllProtiens!A552,CoreProteinGroups!B:B,0)),0,1)</f>
        <v>1</v>
      </c>
      <c r="J552" s="6" t="s">
        <v>114</v>
      </c>
    </row>
    <row r="553" spans="1:10" x14ac:dyDescent="0.2">
      <c r="A553" s="1" t="s">
        <v>1012</v>
      </c>
      <c r="B553" t="s">
        <v>1013</v>
      </c>
      <c r="C553" t="s">
        <v>1064</v>
      </c>
      <c r="D553" s="6" t="str">
        <f t="shared" si="8"/>
        <v>PROT:AAM92394.1</v>
      </c>
      <c r="E553" t="s">
        <v>1065</v>
      </c>
      <c r="F553" t="s">
        <v>117</v>
      </c>
      <c r="G553">
        <f>IF(ISERROR(MATCH(AllProtiens!F553,Genomes!$C:$C,0)),0,1)</f>
        <v>1</v>
      </c>
      <c r="H553">
        <f>IF(ISERROR(MATCH(AllProtiens!A553,CoreProteinGroups!B:B,0)),0,1)</f>
        <v>1</v>
      </c>
      <c r="J553" s="6" t="s">
        <v>118</v>
      </c>
    </row>
    <row r="554" spans="1:10" x14ac:dyDescent="0.2">
      <c r="A554" s="1" t="s">
        <v>1012</v>
      </c>
      <c r="B554" t="s">
        <v>1013</v>
      </c>
      <c r="C554" t="s">
        <v>1066</v>
      </c>
      <c r="D554" s="6" t="str">
        <f t="shared" si="8"/>
        <v>PROT:AFH54653.1</v>
      </c>
      <c r="E554" t="s">
        <v>1013</v>
      </c>
      <c r="F554" t="s">
        <v>120</v>
      </c>
      <c r="G554">
        <f>IF(ISERROR(MATCH(AllProtiens!F554,Genomes!$C:$C,0)),0,1)</f>
        <v>1</v>
      </c>
      <c r="H554">
        <f>IF(ISERROR(MATCH(AllProtiens!A554,CoreProteinGroups!B:B,0)),0,1)</f>
        <v>1</v>
      </c>
      <c r="J554" s="6" t="s">
        <v>121</v>
      </c>
    </row>
    <row r="555" spans="1:10" x14ac:dyDescent="0.2">
      <c r="A555" s="1" t="s">
        <v>1012</v>
      </c>
      <c r="B555" t="s">
        <v>1013</v>
      </c>
      <c r="C555" t="s">
        <v>1067</v>
      </c>
      <c r="D555" s="6" t="str">
        <f t="shared" si="8"/>
        <v>PROT:AAL40556.1</v>
      </c>
      <c r="E555" t="s">
        <v>1068</v>
      </c>
      <c r="F555" t="s">
        <v>124</v>
      </c>
      <c r="G555">
        <f>IF(ISERROR(MATCH(AllProtiens!F555,Genomes!$C:$C,0)),0,1)</f>
        <v>1</v>
      </c>
      <c r="H555">
        <f>IF(ISERROR(MATCH(AllProtiens!A555,CoreProteinGroups!B:B,0)),0,1)</f>
        <v>1</v>
      </c>
      <c r="J555" s="6" t="s">
        <v>125</v>
      </c>
    </row>
    <row r="556" spans="1:10" x14ac:dyDescent="0.2">
      <c r="A556" s="1" t="s">
        <v>1012</v>
      </c>
      <c r="B556" t="s">
        <v>1013</v>
      </c>
      <c r="C556" t="s">
        <v>1069</v>
      </c>
      <c r="D556" s="6" t="str">
        <f t="shared" si="8"/>
        <v>PROT:AAX09193.1</v>
      </c>
      <c r="E556" t="s">
        <v>1070</v>
      </c>
      <c r="F556" t="s">
        <v>128</v>
      </c>
      <c r="G556">
        <f>IF(ISERROR(MATCH(AllProtiens!F556,Genomes!$C:$C,0)),0,1)</f>
        <v>1</v>
      </c>
      <c r="H556">
        <f>IF(ISERROR(MATCH(AllProtiens!A556,CoreProteinGroups!B:B,0)),0,1)</f>
        <v>1</v>
      </c>
      <c r="J556" s="6" t="s">
        <v>129</v>
      </c>
    </row>
    <row r="557" spans="1:10" x14ac:dyDescent="0.2">
      <c r="A557" s="1" t="s">
        <v>1012</v>
      </c>
      <c r="B557" t="s">
        <v>1013</v>
      </c>
      <c r="C557" t="s">
        <v>1071</v>
      </c>
      <c r="D557" s="6" t="str">
        <f t="shared" si="8"/>
        <v>PROT:AKJ93735.1</v>
      </c>
      <c r="E557" t="s">
        <v>1015</v>
      </c>
      <c r="F557" t="s">
        <v>131</v>
      </c>
      <c r="G557">
        <f>IF(ISERROR(MATCH(AllProtiens!F557,Genomes!$C:$C,0)),0,1)</f>
        <v>1</v>
      </c>
      <c r="H557">
        <f>IF(ISERROR(MATCH(AllProtiens!A557,CoreProteinGroups!B:B,0)),0,1)</f>
        <v>1</v>
      </c>
      <c r="J557" s="6" t="s">
        <v>132</v>
      </c>
    </row>
    <row r="558" spans="1:10" x14ac:dyDescent="0.2">
      <c r="A558" s="1" t="s">
        <v>1012</v>
      </c>
      <c r="B558" t="s">
        <v>1013</v>
      </c>
      <c r="C558" t="s">
        <v>1072</v>
      </c>
      <c r="D558" s="6" t="str">
        <f t="shared" si="8"/>
        <v>PROT:AOP31584.1</v>
      </c>
      <c r="E558" t="s">
        <v>1015</v>
      </c>
      <c r="F558" t="s">
        <v>134</v>
      </c>
      <c r="G558">
        <f>IF(ISERROR(MATCH(AllProtiens!F558,Genomes!$C:$C,0)),0,1)</f>
        <v>1</v>
      </c>
      <c r="H558">
        <f>IF(ISERROR(MATCH(AllProtiens!A558,CoreProteinGroups!B:B,0)),0,1)</f>
        <v>1</v>
      </c>
      <c r="J558" s="6" t="s">
        <v>135</v>
      </c>
    </row>
    <row r="559" spans="1:10" x14ac:dyDescent="0.2">
      <c r="A559" s="1" t="s">
        <v>1012</v>
      </c>
      <c r="B559" t="s">
        <v>1013</v>
      </c>
      <c r="C559" t="s">
        <v>1073</v>
      </c>
      <c r="D559" s="6" t="str">
        <f t="shared" si="8"/>
        <v>PROT:ABD97674.1</v>
      </c>
      <c r="E559" t="s">
        <v>1043</v>
      </c>
      <c r="F559" t="s">
        <v>137</v>
      </c>
      <c r="G559">
        <f>IF(ISERROR(MATCH(AllProtiens!F559,Genomes!$C:$C,0)),0,1)</f>
        <v>1</v>
      </c>
      <c r="H559">
        <f>IF(ISERROR(MATCH(AllProtiens!A559,CoreProteinGroups!B:B,0)),0,1)</f>
        <v>1</v>
      </c>
      <c r="J559" s="6" t="s">
        <v>138</v>
      </c>
    </row>
    <row r="560" spans="1:10" x14ac:dyDescent="0.2">
      <c r="A560" s="1" t="s">
        <v>1012</v>
      </c>
      <c r="B560" t="s">
        <v>1013</v>
      </c>
      <c r="C560" t="s">
        <v>1074</v>
      </c>
      <c r="D560" s="6" t="str">
        <f t="shared" si="8"/>
        <v>PROT:AAO89385.1</v>
      </c>
      <c r="E560" t="s">
        <v>1043</v>
      </c>
      <c r="F560" t="s">
        <v>140</v>
      </c>
      <c r="G560">
        <f>IF(ISERROR(MATCH(AllProtiens!F560,Genomes!$C:$C,0)),0,1)</f>
        <v>1</v>
      </c>
      <c r="H560">
        <f>IF(ISERROR(MATCH(AllProtiens!A560,CoreProteinGroups!B:B,0)),0,1)</f>
        <v>1</v>
      </c>
      <c r="J560" s="6" t="s">
        <v>141</v>
      </c>
    </row>
    <row r="561" spans="1:10" x14ac:dyDescent="0.2">
      <c r="A561" s="1" t="s">
        <v>1012</v>
      </c>
      <c r="B561" t="s">
        <v>1013</v>
      </c>
      <c r="C561" t="s">
        <v>1075</v>
      </c>
      <c r="D561" s="6" t="str">
        <f t="shared" si="8"/>
        <v>PROT:CAA49032.1</v>
      </c>
      <c r="E561" t="s">
        <v>1076</v>
      </c>
      <c r="F561" t="s">
        <v>144</v>
      </c>
      <c r="G561">
        <f>IF(ISERROR(MATCH(AllProtiens!F561,Genomes!$C:$C,0)),0,1)</f>
        <v>1</v>
      </c>
      <c r="H561">
        <f>IF(ISERROR(MATCH(AllProtiens!A561,CoreProteinGroups!B:B,0)),0,1)</f>
        <v>1</v>
      </c>
      <c r="J561" s="6" t="s">
        <v>145</v>
      </c>
    </row>
    <row r="562" spans="1:10" x14ac:dyDescent="0.2">
      <c r="A562" s="1" t="s">
        <v>1012</v>
      </c>
      <c r="B562" t="s">
        <v>1013</v>
      </c>
      <c r="C562" t="s">
        <v>1077</v>
      </c>
      <c r="D562" s="6" t="str">
        <f t="shared" si="8"/>
        <v>PROT:CAB54691.1</v>
      </c>
      <c r="E562" t="s">
        <v>1078</v>
      </c>
      <c r="F562" t="s">
        <v>148</v>
      </c>
      <c r="G562">
        <f>IF(ISERROR(MATCH(AllProtiens!F562,Genomes!$C:$C,0)),0,1)</f>
        <v>1</v>
      </c>
      <c r="H562">
        <f>IF(ISERROR(MATCH(AllProtiens!A562,CoreProteinGroups!B:B,0)),0,1)</f>
        <v>1</v>
      </c>
      <c r="J562" s="6" t="s">
        <v>149</v>
      </c>
    </row>
    <row r="563" spans="1:10" x14ac:dyDescent="0.2">
      <c r="A563" s="1" t="s">
        <v>1012</v>
      </c>
      <c r="B563" t="s">
        <v>1013</v>
      </c>
      <c r="C563" t="s">
        <v>1079</v>
      </c>
      <c r="D563" s="6" t="str">
        <f t="shared" si="8"/>
        <v>PROT:AOP31795.1</v>
      </c>
      <c r="E563" t="s">
        <v>1015</v>
      </c>
      <c r="F563" t="s">
        <v>151</v>
      </c>
      <c r="G563">
        <f>IF(ISERROR(MATCH(AllProtiens!F563,Genomes!$C:$C,0)),0,1)</f>
        <v>1</v>
      </c>
      <c r="H563">
        <f>IF(ISERROR(MATCH(AllProtiens!A563,CoreProteinGroups!B:B,0)),0,1)</f>
        <v>1</v>
      </c>
      <c r="J563" s="6" t="s">
        <v>152</v>
      </c>
    </row>
    <row r="564" spans="1:10" x14ac:dyDescent="0.2">
      <c r="A564" s="1" t="s">
        <v>1012</v>
      </c>
      <c r="B564" t="s">
        <v>1013</v>
      </c>
      <c r="C564" t="s">
        <v>1080</v>
      </c>
      <c r="D564" s="6" t="str">
        <f t="shared" si="8"/>
        <v>PROT:ASC55576.1</v>
      </c>
      <c r="E564" t="s">
        <v>1081</v>
      </c>
      <c r="F564" t="s">
        <v>155</v>
      </c>
      <c r="G564">
        <f>IF(ISERROR(MATCH(AllProtiens!F564,Genomes!$C:$C,0)),0,1)</f>
        <v>1</v>
      </c>
      <c r="H564">
        <f>IF(ISERROR(MATCH(AllProtiens!A564,CoreProteinGroups!B:B,0)),0,1)</f>
        <v>1</v>
      </c>
      <c r="J564" s="6" t="s">
        <v>156</v>
      </c>
    </row>
    <row r="565" spans="1:10" x14ac:dyDescent="0.2">
      <c r="A565" s="1" t="s">
        <v>1012</v>
      </c>
      <c r="B565" t="s">
        <v>1013</v>
      </c>
      <c r="C565" t="s">
        <v>1082</v>
      </c>
      <c r="D565" s="6" t="str">
        <f t="shared" si="8"/>
        <v>PROT:AAR98421.1</v>
      </c>
      <c r="E565" t="s">
        <v>1083</v>
      </c>
      <c r="F565" t="s">
        <v>159</v>
      </c>
      <c r="G565">
        <f>IF(ISERROR(MATCH(AllProtiens!F565,Genomes!$C:$C,0)),0,1)</f>
        <v>1</v>
      </c>
      <c r="H565">
        <f>IF(ISERROR(MATCH(AllProtiens!A565,CoreProteinGroups!B:B,0)),0,1)</f>
        <v>1</v>
      </c>
      <c r="J565" s="6" t="s">
        <v>160</v>
      </c>
    </row>
    <row r="566" spans="1:10" x14ac:dyDescent="0.2">
      <c r="A566" s="1" t="s">
        <v>1012</v>
      </c>
      <c r="B566" t="s">
        <v>1013</v>
      </c>
      <c r="C566" t="s">
        <v>1084</v>
      </c>
      <c r="D566" s="6" t="str">
        <f t="shared" si="8"/>
        <v>PROT:AAR98289.1</v>
      </c>
      <c r="E566" t="s">
        <v>1083</v>
      </c>
      <c r="F566" t="s">
        <v>162</v>
      </c>
      <c r="G566">
        <f>IF(ISERROR(MATCH(AllProtiens!F566,Genomes!$C:$C,0)),0,1)</f>
        <v>1</v>
      </c>
      <c r="H566">
        <f>IF(ISERROR(MATCH(AllProtiens!A566,CoreProteinGroups!B:B,0)),0,1)</f>
        <v>1</v>
      </c>
      <c r="J566" s="6" t="s">
        <v>163</v>
      </c>
    </row>
    <row r="567" spans="1:10" x14ac:dyDescent="0.2">
      <c r="A567" s="1" t="s">
        <v>1012</v>
      </c>
      <c r="B567" t="s">
        <v>1013</v>
      </c>
      <c r="C567" t="s">
        <v>1085</v>
      </c>
      <c r="D567" s="6" t="str">
        <f t="shared" si="8"/>
        <v>PROT:ABA00581.1</v>
      </c>
      <c r="E567" t="s">
        <v>1086</v>
      </c>
      <c r="F567" t="s">
        <v>162</v>
      </c>
      <c r="G567">
        <f>IF(ISERROR(MATCH(AllProtiens!F567,Genomes!$C:$C,0)),0,1)</f>
        <v>1</v>
      </c>
      <c r="H567">
        <f>IF(ISERROR(MATCH(AllProtiens!A567,CoreProteinGroups!B:B,0)),0,1)</f>
        <v>1</v>
      </c>
      <c r="J567" s="6" t="s">
        <v>163</v>
      </c>
    </row>
    <row r="568" spans="1:10" x14ac:dyDescent="0.2">
      <c r="A568" s="1" t="s">
        <v>1012</v>
      </c>
      <c r="B568" t="s">
        <v>1013</v>
      </c>
      <c r="C568" t="s">
        <v>1087</v>
      </c>
      <c r="D568" s="6" t="str">
        <f t="shared" si="8"/>
        <v>PROT:AIZ77315.1</v>
      </c>
      <c r="E568" t="s">
        <v>1088</v>
      </c>
      <c r="F568" t="s">
        <v>167</v>
      </c>
      <c r="G568">
        <f>IF(ISERROR(MATCH(AllProtiens!F568,Genomes!$C:$C,0)),0,1)</f>
        <v>1</v>
      </c>
      <c r="H568">
        <f>IF(ISERROR(MATCH(AllProtiens!A568,CoreProteinGroups!B:B,0)),0,1)</f>
        <v>1</v>
      </c>
      <c r="J568" s="6" t="s">
        <v>168</v>
      </c>
    </row>
    <row r="569" spans="1:10" x14ac:dyDescent="0.2">
      <c r="A569" s="1" t="s">
        <v>1012</v>
      </c>
      <c r="B569" t="s">
        <v>1013</v>
      </c>
      <c r="C569" t="s">
        <v>1089</v>
      </c>
      <c r="D569" s="6" t="str">
        <f t="shared" si="8"/>
        <v>PROT:ADC53965.1</v>
      </c>
      <c r="E569" t="s">
        <v>1086</v>
      </c>
      <c r="F569" t="s">
        <v>170</v>
      </c>
      <c r="G569">
        <f>IF(ISERROR(MATCH(AllProtiens!F569,Genomes!$C:$C,0)),0,1)</f>
        <v>1</v>
      </c>
      <c r="H569">
        <f>IF(ISERROR(MATCH(AllProtiens!A569,CoreProteinGroups!B:B,0)),0,1)</f>
        <v>1</v>
      </c>
      <c r="J569" s="6" t="s">
        <v>171</v>
      </c>
    </row>
    <row r="570" spans="1:10" x14ac:dyDescent="0.2">
      <c r="A570" s="1" t="s">
        <v>1012</v>
      </c>
      <c r="B570" t="s">
        <v>1013</v>
      </c>
      <c r="C570" t="s">
        <v>1090</v>
      </c>
      <c r="D570" s="6" t="str">
        <f t="shared" si="8"/>
        <v>PROT:AAL69815.1</v>
      </c>
      <c r="E570" t="s">
        <v>1091</v>
      </c>
      <c r="F570" t="s">
        <v>174</v>
      </c>
      <c r="G570">
        <f>IF(ISERROR(MATCH(AllProtiens!F570,Genomes!$C:$C,0)),0,1)</f>
        <v>1</v>
      </c>
      <c r="H570">
        <f>IF(ISERROR(MATCH(AllProtiens!A570,CoreProteinGroups!B:B,0)),0,1)</f>
        <v>1</v>
      </c>
      <c r="J570" s="6" t="s">
        <v>175</v>
      </c>
    </row>
    <row r="571" spans="1:10" x14ac:dyDescent="0.2">
      <c r="A571" s="1" t="s">
        <v>1012</v>
      </c>
      <c r="B571" t="s">
        <v>1013</v>
      </c>
      <c r="C571" t="s">
        <v>1092</v>
      </c>
      <c r="D571" s="6" t="str">
        <f t="shared" si="8"/>
        <v>PROT:CAC21317.1</v>
      </c>
      <c r="E571" t="s">
        <v>1093</v>
      </c>
      <c r="F571" t="s">
        <v>178</v>
      </c>
      <c r="G571">
        <f>IF(ISERROR(MATCH(AllProtiens!F571,Genomes!$C:$C,0)),0,1)</f>
        <v>1</v>
      </c>
      <c r="H571">
        <f>IF(ISERROR(MATCH(AllProtiens!A571,CoreProteinGroups!B:B,0)),0,1)</f>
        <v>1</v>
      </c>
      <c r="J571" s="6" t="s">
        <v>179</v>
      </c>
    </row>
    <row r="572" spans="1:10" x14ac:dyDescent="0.2">
      <c r="A572" s="1" t="s">
        <v>1012</v>
      </c>
      <c r="B572" t="s">
        <v>1013</v>
      </c>
      <c r="C572" t="s">
        <v>1094</v>
      </c>
      <c r="D572" s="6" t="str">
        <f t="shared" si="8"/>
        <v>PROT:AAR07435.1</v>
      </c>
      <c r="E572" t="s">
        <v>1095</v>
      </c>
      <c r="F572" t="s">
        <v>182</v>
      </c>
      <c r="G572">
        <f>IF(ISERROR(MATCH(AllProtiens!F572,Genomes!$C:$C,0)),0,1)</f>
        <v>1</v>
      </c>
      <c r="H572">
        <f>IF(ISERROR(MATCH(AllProtiens!A572,CoreProteinGroups!B:B,0)),0,1)</f>
        <v>1</v>
      </c>
      <c r="J572" s="6" t="s">
        <v>183</v>
      </c>
    </row>
    <row r="573" spans="1:10" x14ac:dyDescent="0.2">
      <c r="A573" s="1" t="s">
        <v>1012</v>
      </c>
      <c r="B573" t="s">
        <v>1013</v>
      </c>
      <c r="C573" t="s">
        <v>1096</v>
      </c>
      <c r="D573" s="6" t="str">
        <f t="shared" si="8"/>
        <v>PROT:AAC97815.1</v>
      </c>
      <c r="E573" t="s">
        <v>1097</v>
      </c>
      <c r="F573" t="s">
        <v>186</v>
      </c>
      <c r="G573">
        <f>IF(ISERROR(MATCH(AllProtiens!F573,Genomes!$C:$C,0)),0,1)</f>
        <v>1</v>
      </c>
      <c r="H573">
        <f>IF(ISERROR(MATCH(AllProtiens!A573,CoreProteinGroups!B:B,0)),0,1)</f>
        <v>1</v>
      </c>
      <c r="J573" s="6" t="s">
        <v>187</v>
      </c>
    </row>
    <row r="574" spans="1:10" x14ac:dyDescent="0.2">
      <c r="A574" s="1" t="s">
        <v>1012</v>
      </c>
      <c r="B574" t="s">
        <v>1013</v>
      </c>
      <c r="C574" t="s">
        <v>1098</v>
      </c>
      <c r="D574" s="6" t="str">
        <f t="shared" si="8"/>
        <v>PROT:BAO49500.1</v>
      </c>
      <c r="E574" t="s">
        <v>1088</v>
      </c>
      <c r="F574" t="s">
        <v>190</v>
      </c>
      <c r="G574">
        <f>IF(ISERROR(MATCH(AllProtiens!F574,Genomes!$C:$C,0)),0,1)</f>
        <v>1</v>
      </c>
      <c r="H574">
        <f>IF(ISERROR(MATCH(AllProtiens!A574,CoreProteinGroups!B:B,0)),0,1)</f>
        <v>1</v>
      </c>
      <c r="J574" s="6" t="s">
        <v>191</v>
      </c>
    </row>
    <row r="575" spans="1:10" x14ac:dyDescent="0.2">
      <c r="A575" s="1" t="s">
        <v>1012</v>
      </c>
      <c r="B575" t="s">
        <v>1013</v>
      </c>
      <c r="C575" t="s">
        <v>1099</v>
      </c>
      <c r="D575" s="6" t="str">
        <f t="shared" si="8"/>
        <v>PROT:CCU55511.1</v>
      </c>
      <c r="E575" t="s">
        <v>1015</v>
      </c>
      <c r="F575" t="s">
        <v>193</v>
      </c>
      <c r="G575">
        <f>IF(ISERROR(MATCH(AllProtiens!F575,Genomes!$C:$C,0)),0,1)</f>
        <v>1</v>
      </c>
      <c r="H575">
        <f>IF(ISERROR(MATCH(AllProtiens!A575,CoreProteinGroups!B:B,0)),0,1)</f>
        <v>1</v>
      </c>
      <c r="J575" s="6" t="s">
        <v>194</v>
      </c>
    </row>
    <row r="576" spans="1:10" x14ac:dyDescent="0.2">
      <c r="A576" s="1" t="s">
        <v>1012</v>
      </c>
      <c r="B576" t="s">
        <v>1013</v>
      </c>
      <c r="C576" t="s">
        <v>1100</v>
      </c>
      <c r="D576" s="6" t="str">
        <f t="shared" si="8"/>
        <v>PROT:AAG02841.1</v>
      </c>
      <c r="E576" t="s">
        <v>1101</v>
      </c>
      <c r="F576" t="s">
        <v>197</v>
      </c>
      <c r="G576">
        <f>IF(ISERROR(MATCH(AllProtiens!F576,Genomes!$C:$C,0)),0,1)</f>
        <v>1</v>
      </c>
      <c r="H576">
        <f>IF(ISERROR(MATCH(AllProtiens!A576,CoreProteinGroups!B:B,0)),0,1)</f>
        <v>1</v>
      </c>
      <c r="J576" s="6" t="s">
        <v>198</v>
      </c>
    </row>
    <row r="577" spans="1:10" x14ac:dyDescent="0.2">
      <c r="A577" s="1" t="s">
        <v>1012</v>
      </c>
      <c r="B577" t="s">
        <v>1013</v>
      </c>
      <c r="C577" t="s">
        <v>1102</v>
      </c>
      <c r="D577" s="6" t="str">
        <f t="shared" si="8"/>
        <v>PROT:CCU55754.1</v>
      </c>
      <c r="E577" t="s">
        <v>1015</v>
      </c>
      <c r="F577" t="s">
        <v>200</v>
      </c>
      <c r="G577">
        <f>IF(ISERROR(MATCH(AllProtiens!F577,Genomes!$C:$C,0)),0,1)</f>
        <v>1</v>
      </c>
      <c r="H577">
        <f>IF(ISERROR(MATCH(AllProtiens!A577,CoreProteinGroups!B:B,0)),0,1)</f>
        <v>1</v>
      </c>
      <c r="J577" s="6" t="s">
        <v>201</v>
      </c>
    </row>
    <row r="578" spans="1:10" x14ac:dyDescent="0.2">
      <c r="A578" s="1" t="s">
        <v>1012</v>
      </c>
      <c r="B578" t="s">
        <v>1013</v>
      </c>
      <c r="C578" t="s">
        <v>1103</v>
      </c>
      <c r="D578" s="6" t="str">
        <f t="shared" ref="D578:D641" si="9">HYPERLINK(_xlfn.CONCAT("https://www.ncbi.nlm.nih.gov/protein/",C578),_xlfn.CONCAT("PROT:",C578))</f>
        <v>PROT:CCU56056.1</v>
      </c>
      <c r="E578" t="s">
        <v>1015</v>
      </c>
      <c r="F578" t="s">
        <v>203</v>
      </c>
      <c r="G578">
        <f>IF(ISERROR(MATCH(AllProtiens!F578,Genomes!$C:$C,0)),0,1)</f>
        <v>1</v>
      </c>
      <c r="H578">
        <f>IF(ISERROR(MATCH(AllProtiens!A578,CoreProteinGroups!B:B,0)),0,1)</f>
        <v>1</v>
      </c>
      <c r="J578" s="6" t="s">
        <v>204</v>
      </c>
    </row>
    <row r="579" spans="1:10" x14ac:dyDescent="0.2">
      <c r="A579" s="1" t="s">
        <v>1012</v>
      </c>
      <c r="B579" t="s">
        <v>1013</v>
      </c>
      <c r="C579" t="s">
        <v>1104</v>
      </c>
      <c r="D579" s="6" t="str">
        <f t="shared" si="9"/>
        <v>PROT:CCU56376.1</v>
      </c>
      <c r="E579" t="s">
        <v>1015</v>
      </c>
      <c r="F579" t="s">
        <v>206</v>
      </c>
      <c r="G579">
        <f>IF(ISERROR(MATCH(AllProtiens!F579,Genomes!$C:$C,0)),0,1)</f>
        <v>1</v>
      </c>
      <c r="H579">
        <f>IF(ISERROR(MATCH(AllProtiens!A579,CoreProteinGroups!B:B,0)),0,1)</f>
        <v>1</v>
      </c>
      <c r="J579" s="6" t="s">
        <v>207</v>
      </c>
    </row>
    <row r="580" spans="1:10" x14ac:dyDescent="0.2">
      <c r="A580" s="1" t="s">
        <v>1012</v>
      </c>
      <c r="B580" t="s">
        <v>1013</v>
      </c>
      <c r="C580" t="s">
        <v>1105</v>
      </c>
      <c r="D580" s="6" t="str">
        <f t="shared" si="9"/>
        <v>PROT:NP_659651.1</v>
      </c>
      <c r="E580" t="s">
        <v>1031</v>
      </c>
      <c r="F580" t="s">
        <v>210</v>
      </c>
      <c r="G580">
        <f>IF(ISERROR(MATCH(AllProtiens!F580,Genomes!$C:$C,0)),0,1)</f>
        <v>1</v>
      </c>
      <c r="H580">
        <f>IF(ISERROR(MATCH(AllProtiens!A580,CoreProteinGroups!B:B,0)),0,1)</f>
        <v>1</v>
      </c>
      <c r="J580" s="6" t="s">
        <v>211</v>
      </c>
    </row>
    <row r="581" spans="1:10" x14ac:dyDescent="0.2">
      <c r="A581" s="1" t="s">
        <v>1012</v>
      </c>
      <c r="B581" t="s">
        <v>1013</v>
      </c>
      <c r="C581" t="s">
        <v>1106</v>
      </c>
      <c r="D581" s="6" t="str">
        <f t="shared" si="9"/>
        <v>PROT:YP_001293270.1</v>
      </c>
      <c r="E581" t="s">
        <v>1107</v>
      </c>
      <c r="F581" t="s">
        <v>214</v>
      </c>
      <c r="G581">
        <f>IF(ISERROR(MATCH(AllProtiens!F581,Genomes!$C:$C,0)),0,1)</f>
        <v>1</v>
      </c>
      <c r="H581">
        <f>IF(ISERROR(MATCH(AllProtiens!A581,CoreProteinGroups!B:B,0)),0,1)</f>
        <v>1</v>
      </c>
      <c r="J581" s="6" t="s">
        <v>215</v>
      </c>
    </row>
    <row r="582" spans="1:10" x14ac:dyDescent="0.2">
      <c r="A582" s="1" t="s">
        <v>1108</v>
      </c>
      <c r="B582" t="s">
        <v>1109</v>
      </c>
      <c r="C582" t="s">
        <v>1110</v>
      </c>
      <c r="D582" s="6" t="str">
        <f t="shared" si="9"/>
        <v>PROT:ATI21197.1</v>
      </c>
      <c r="E582" t="s">
        <v>1111</v>
      </c>
      <c r="F582" t="s">
        <v>14</v>
      </c>
      <c r="G582">
        <f>IF(ISERROR(MATCH(AllProtiens!F582,Genomes!$C:$C,0)),0,1)</f>
        <v>1</v>
      </c>
      <c r="H582">
        <f>IF(ISERROR(MATCH(AllProtiens!A582,CoreProteinGroups!B:B,0)),0,1)</f>
        <v>1</v>
      </c>
      <c r="J582" s="6" t="s">
        <v>15</v>
      </c>
    </row>
    <row r="583" spans="1:10" x14ac:dyDescent="0.2">
      <c r="A583" s="1" t="s">
        <v>1108</v>
      </c>
      <c r="B583" t="s">
        <v>1109</v>
      </c>
      <c r="C583" t="s">
        <v>1112</v>
      </c>
      <c r="D583" s="6" t="str">
        <f t="shared" si="9"/>
        <v>PROT:AWU47131.1</v>
      </c>
      <c r="E583" t="s">
        <v>844</v>
      </c>
      <c r="F583" t="s">
        <v>17</v>
      </c>
      <c r="G583">
        <f>IF(ISERROR(MATCH(AllProtiens!F583,Genomes!$C:$C,0)),0,1)</f>
        <v>1</v>
      </c>
      <c r="H583">
        <f>IF(ISERROR(MATCH(AllProtiens!A583,CoreProteinGroups!B:B,0)),0,1)</f>
        <v>1</v>
      </c>
      <c r="J583" s="6" t="s">
        <v>18</v>
      </c>
    </row>
    <row r="584" spans="1:10" x14ac:dyDescent="0.2">
      <c r="A584" s="1" t="s">
        <v>1108</v>
      </c>
      <c r="B584" t="s">
        <v>1109</v>
      </c>
      <c r="C584" t="s">
        <v>1113</v>
      </c>
      <c r="D584" s="6" t="str">
        <f t="shared" si="9"/>
        <v>PROT:APG58306.1</v>
      </c>
      <c r="E584" t="s">
        <v>1114</v>
      </c>
      <c r="F584" t="s">
        <v>21</v>
      </c>
      <c r="G584">
        <f>IF(ISERROR(MATCH(AllProtiens!F584,Genomes!$C:$C,0)),0,1)</f>
        <v>1</v>
      </c>
      <c r="H584">
        <f>IF(ISERROR(MATCH(AllProtiens!A584,CoreProteinGroups!B:B,0)),0,1)</f>
        <v>1</v>
      </c>
      <c r="J584" s="6" t="s">
        <v>22</v>
      </c>
    </row>
    <row r="585" spans="1:10" x14ac:dyDescent="0.2">
      <c r="A585" s="1" t="s">
        <v>1108</v>
      </c>
      <c r="B585" t="s">
        <v>1109</v>
      </c>
      <c r="C585" t="s">
        <v>1115</v>
      </c>
      <c r="D585" s="6" t="str">
        <f t="shared" si="9"/>
        <v>PROT:ADT91117.1</v>
      </c>
      <c r="E585" t="s">
        <v>1109</v>
      </c>
      <c r="F585" t="s">
        <v>25</v>
      </c>
      <c r="G585">
        <f>IF(ISERROR(MATCH(AllProtiens!F585,Genomes!$C:$C,0)),0,1)</f>
        <v>1</v>
      </c>
      <c r="H585">
        <f>IF(ISERROR(MATCH(AllProtiens!A585,CoreProteinGroups!B:B,0)),0,1)</f>
        <v>1</v>
      </c>
      <c r="J585" s="6" t="s">
        <v>26</v>
      </c>
    </row>
    <row r="586" spans="1:10" x14ac:dyDescent="0.2">
      <c r="A586" s="1" t="s">
        <v>1108</v>
      </c>
      <c r="B586" t="s">
        <v>1109</v>
      </c>
      <c r="C586" t="s">
        <v>1116</v>
      </c>
      <c r="D586" s="6" t="str">
        <f t="shared" si="9"/>
        <v>PROT:ANS71175.1</v>
      </c>
      <c r="E586" t="s">
        <v>844</v>
      </c>
      <c r="F586" t="s">
        <v>28</v>
      </c>
      <c r="G586">
        <f>IF(ISERROR(MATCH(AllProtiens!F586,Genomes!$C:$C,0)),0,1)</f>
        <v>1</v>
      </c>
      <c r="H586">
        <f>IF(ISERROR(MATCH(AllProtiens!A586,CoreProteinGroups!B:B,0)),0,1)</f>
        <v>1</v>
      </c>
      <c r="J586" s="6" t="s">
        <v>29</v>
      </c>
    </row>
    <row r="587" spans="1:10" x14ac:dyDescent="0.2">
      <c r="A587" s="1" t="s">
        <v>1108</v>
      </c>
      <c r="B587" t="s">
        <v>1109</v>
      </c>
      <c r="C587" t="s">
        <v>1117</v>
      </c>
      <c r="D587" s="6" t="str">
        <f t="shared" si="9"/>
        <v>PROT:AKR04262.1</v>
      </c>
      <c r="E587" t="s">
        <v>1118</v>
      </c>
      <c r="F587" t="s">
        <v>32</v>
      </c>
      <c r="G587">
        <f>IF(ISERROR(MATCH(AllProtiens!F587,Genomes!$C:$C,0)),0,1)</f>
        <v>1</v>
      </c>
      <c r="H587">
        <f>IF(ISERROR(MATCH(AllProtiens!A587,CoreProteinGroups!B:B,0)),0,1)</f>
        <v>1</v>
      </c>
      <c r="J587" s="6" t="s">
        <v>33</v>
      </c>
    </row>
    <row r="588" spans="1:10" x14ac:dyDescent="0.2">
      <c r="A588" s="1" t="s">
        <v>1108</v>
      </c>
      <c r="B588" t="s">
        <v>1109</v>
      </c>
      <c r="C588" t="s">
        <v>1119</v>
      </c>
      <c r="D588" s="6" t="str">
        <f t="shared" si="9"/>
        <v>PROT:CCD83265.1</v>
      </c>
      <c r="E588" t="s">
        <v>1120</v>
      </c>
      <c r="F588" t="s">
        <v>36</v>
      </c>
      <c r="G588">
        <f>IF(ISERROR(MATCH(AllProtiens!F588,Genomes!$C:$C,0)),0,1)</f>
        <v>1</v>
      </c>
      <c r="H588">
        <f>IF(ISERROR(MATCH(AllProtiens!A588,CoreProteinGroups!B:B,0)),0,1)</f>
        <v>1</v>
      </c>
      <c r="J588" s="6" t="s">
        <v>37</v>
      </c>
    </row>
    <row r="589" spans="1:10" x14ac:dyDescent="0.2">
      <c r="A589" s="1" t="s">
        <v>1108</v>
      </c>
      <c r="B589" t="s">
        <v>1109</v>
      </c>
      <c r="C589" t="s">
        <v>1121</v>
      </c>
      <c r="D589" s="6" t="str">
        <f t="shared" si="9"/>
        <v>PROT:ASK51294.1</v>
      </c>
      <c r="E589" t="s">
        <v>1122</v>
      </c>
      <c r="F589" t="s">
        <v>40</v>
      </c>
      <c r="G589">
        <f>IF(ISERROR(MATCH(AllProtiens!F589,Genomes!$C:$C,0)),0,1)</f>
        <v>1</v>
      </c>
      <c r="H589">
        <f>IF(ISERROR(MATCH(AllProtiens!A589,CoreProteinGroups!B:B,0)),0,1)</f>
        <v>1</v>
      </c>
      <c r="J589" s="6" t="s">
        <v>41</v>
      </c>
    </row>
    <row r="590" spans="1:10" x14ac:dyDescent="0.2">
      <c r="A590" s="1" t="s">
        <v>1108</v>
      </c>
      <c r="B590" t="s">
        <v>1109</v>
      </c>
      <c r="C590" t="s">
        <v>1123</v>
      </c>
      <c r="D590" s="6" t="str">
        <f t="shared" si="9"/>
        <v>PROT:AUD40154.1</v>
      </c>
      <c r="E590" t="s">
        <v>1124</v>
      </c>
      <c r="F590" t="s">
        <v>43</v>
      </c>
      <c r="G590">
        <f>IF(ISERROR(MATCH(AllProtiens!F590,Genomes!$C:$C,0)),0,1)</f>
        <v>1</v>
      </c>
      <c r="H590">
        <f>IF(ISERROR(MATCH(AllProtiens!A590,CoreProteinGroups!B:B,0)),0,1)</f>
        <v>1</v>
      </c>
      <c r="J590" s="6" t="s">
        <v>44</v>
      </c>
    </row>
    <row r="591" spans="1:10" x14ac:dyDescent="0.2">
      <c r="A591" s="1" t="s">
        <v>1108</v>
      </c>
      <c r="B591" t="s">
        <v>1109</v>
      </c>
      <c r="C591" t="s">
        <v>1125</v>
      </c>
      <c r="D591" s="6" t="str">
        <f t="shared" si="9"/>
        <v>PROT:AID46794.1</v>
      </c>
      <c r="E591" t="s">
        <v>1124</v>
      </c>
      <c r="F591" t="s">
        <v>46</v>
      </c>
      <c r="G591">
        <f>IF(ISERROR(MATCH(AllProtiens!F591,Genomes!$C:$C,0)),0,1)</f>
        <v>1</v>
      </c>
      <c r="H591">
        <f>IF(ISERROR(MATCH(AllProtiens!A591,CoreProteinGroups!B:B,0)),0,1)</f>
        <v>1</v>
      </c>
      <c r="J591" s="6" t="s">
        <v>47</v>
      </c>
    </row>
    <row r="592" spans="1:10" x14ac:dyDescent="0.2">
      <c r="A592" s="1" t="s">
        <v>1108</v>
      </c>
      <c r="B592" t="s">
        <v>1109</v>
      </c>
      <c r="C592" t="s">
        <v>1126</v>
      </c>
      <c r="D592" s="6" t="str">
        <f t="shared" si="9"/>
        <v>PROT:AID46565.1</v>
      </c>
      <c r="E592" t="s">
        <v>1124</v>
      </c>
      <c r="F592" t="s">
        <v>49</v>
      </c>
      <c r="G592">
        <f>IF(ISERROR(MATCH(AllProtiens!F592,Genomes!$C:$C,0)),0,1)</f>
        <v>1</v>
      </c>
      <c r="H592">
        <f>IF(ISERROR(MATCH(AllProtiens!A592,CoreProteinGroups!B:B,0)),0,1)</f>
        <v>1</v>
      </c>
      <c r="J592" s="6" t="s">
        <v>50</v>
      </c>
    </row>
    <row r="593" spans="1:10" x14ac:dyDescent="0.2">
      <c r="A593" s="1" t="s">
        <v>1108</v>
      </c>
      <c r="B593" t="s">
        <v>1109</v>
      </c>
      <c r="C593" t="s">
        <v>1127</v>
      </c>
      <c r="D593" s="6" t="str">
        <f t="shared" si="9"/>
        <v>PROT:ALA62404.1</v>
      </c>
      <c r="E593" t="s">
        <v>1128</v>
      </c>
      <c r="F593" t="s">
        <v>53</v>
      </c>
      <c r="G593">
        <f>IF(ISERROR(MATCH(AllProtiens!F593,Genomes!$C:$C,0)),0,1)</f>
        <v>1</v>
      </c>
      <c r="H593">
        <f>IF(ISERROR(MATCH(AllProtiens!A593,CoreProteinGroups!B:B,0)),0,1)</f>
        <v>1</v>
      </c>
      <c r="J593" s="6" t="s">
        <v>54</v>
      </c>
    </row>
    <row r="594" spans="1:10" x14ac:dyDescent="0.2">
      <c r="A594" s="1" t="s">
        <v>1108</v>
      </c>
      <c r="B594" t="s">
        <v>1109</v>
      </c>
      <c r="C594" t="s">
        <v>1129</v>
      </c>
      <c r="D594" s="6" t="str">
        <f t="shared" si="9"/>
        <v>PROT:AAR83420.1</v>
      </c>
      <c r="E594" t="s">
        <v>1130</v>
      </c>
      <c r="F594" t="s">
        <v>57</v>
      </c>
      <c r="G594">
        <f>IF(ISERROR(MATCH(AllProtiens!F594,Genomes!$C:$C,0)),0,1)</f>
        <v>1</v>
      </c>
      <c r="H594">
        <f>IF(ISERROR(MATCH(AllProtiens!A594,CoreProteinGroups!B:B,0)),0,1)</f>
        <v>1</v>
      </c>
      <c r="J594" s="6" t="s">
        <v>58</v>
      </c>
    </row>
    <row r="595" spans="1:10" x14ac:dyDescent="0.2">
      <c r="A595" s="1" t="s">
        <v>1108</v>
      </c>
      <c r="B595" t="s">
        <v>1109</v>
      </c>
      <c r="C595" t="s">
        <v>1131</v>
      </c>
      <c r="D595" s="6" t="str">
        <f t="shared" si="9"/>
        <v>PROT:AAF44396.1</v>
      </c>
      <c r="E595" t="s">
        <v>1132</v>
      </c>
      <c r="F595" t="s">
        <v>61</v>
      </c>
      <c r="G595">
        <f>IF(ISERROR(MATCH(AllProtiens!F595,Genomes!$C:$C,0)),0,1)</f>
        <v>1</v>
      </c>
      <c r="H595">
        <f>IF(ISERROR(MATCH(AllProtiens!A595,CoreProteinGroups!B:B,0)),0,1)</f>
        <v>1</v>
      </c>
      <c r="J595" s="6" t="s">
        <v>62</v>
      </c>
    </row>
    <row r="596" spans="1:10" x14ac:dyDescent="0.2">
      <c r="A596" s="1" t="s">
        <v>1108</v>
      </c>
      <c r="B596" t="s">
        <v>1109</v>
      </c>
      <c r="C596" t="s">
        <v>1133</v>
      </c>
      <c r="D596" s="6" t="str">
        <f t="shared" si="9"/>
        <v>PROT:YP_001293279.1</v>
      </c>
      <c r="E596" t="s">
        <v>1134</v>
      </c>
      <c r="F596" t="s">
        <v>214</v>
      </c>
      <c r="G596">
        <f>IF(ISERROR(MATCH(AllProtiens!F596,Genomes!$C:$C,0)),0,1)</f>
        <v>1</v>
      </c>
      <c r="H596">
        <f>IF(ISERROR(MATCH(AllProtiens!A596,CoreProteinGroups!B:B,0)),0,1)</f>
        <v>1</v>
      </c>
      <c r="J596" s="6" t="s">
        <v>215</v>
      </c>
    </row>
    <row r="597" spans="1:10" x14ac:dyDescent="0.2">
      <c r="A597" s="1" t="s">
        <v>1108</v>
      </c>
      <c r="B597" t="s">
        <v>1109</v>
      </c>
      <c r="C597" t="s">
        <v>1135</v>
      </c>
      <c r="D597" s="6" t="str">
        <f t="shared" si="9"/>
        <v>PROT:AAK85049.1</v>
      </c>
      <c r="E597" t="s">
        <v>1136</v>
      </c>
      <c r="F597" t="s">
        <v>65</v>
      </c>
      <c r="G597">
        <f>IF(ISERROR(MATCH(AllProtiens!F597,Genomes!$C:$C,0)),0,1)</f>
        <v>1</v>
      </c>
      <c r="H597">
        <f>IF(ISERROR(MATCH(AllProtiens!A597,CoreProteinGroups!B:B,0)),0,1)</f>
        <v>1</v>
      </c>
      <c r="J597" s="6" t="s">
        <v>66</v>
      </c>
    </row>
    <row r="598" spans="1:10" x14ac:dyDescent="0.2">
      <c r="A598" s="1" t="s">
        <v>1108</v>
      </c>
      <c r="B598" t="s">
        <v>1109</v>
      </c>
      <c r="C598" t="s">
        <v>1137</v>
      </c>
      <c r="D598" s="6" t="str">
        <f t="shared" si="9"/>
        <v>PROT:NP_659660.1</v>
      </c>
      <c r="E598" t="s">
        <v>1138</v>
      </c>
      <c r="F598" t="s">
        <v>210</v>
      </c>
      <c r="G598">
        <f>IF(ISERROR(MATCH(AllProtiens!F598,Genomes!$C:$C,0)),0,1)</f>
        <v>1</v>
      </c>
      <c r="H598">
        <f>IF(ISERROR(MATCH(AllProtiens!A598,CoreProteinGroups!B:B,0)),0,1)</f>
        <v>1</v>
      </c>
      <c r="J598" s="6" t="s">
        <v>211</v>
      </c>
    </row>
    <row r="599" spans="1:10" x14ac:dyDescent="0.2">
      <c r="A599" s="1" t="s">
        <v>1108</v>
      </c>
      <c r="B599" t="s">
        <v>1109</v>
      </c>
      <c r="C599" t="s">
        <v>1139</v>
      </c>
      <c r="D599" s="6" t="str">
        <f t="shared" si="9"/>
        <v>PROT:AST09307.1</v>
      </c>
      <c r="E599" t="s">
        <v>1140</v>
      </c>
      <c r="F599" t="s">
        <v>68</v>
      </c>
      <c r="G599">
        <f>IF(ISERROR(MATCH(AllProtiens!F599,Genomes!$C:$C,0)),0,1)</f>
        <v>1</v>
      </c>
      <c r="H599">
        <f>IF(ISERROR(MATCH(AllProtiens!A599,CoreProteinGroups!B:B,0)),0,1)</f>
        <v>1</v>
      </c>
      <c r="J599" s="6" t="s">
        <v>69</v>
      </c>
    </row>
    <row r="600" spans="1:10" x14ac:dyDescent="0.2">
      <c r="A600" s="1" t="s">
        <v>1108</v>
      </c>
      <c r="B600" t="s">
        <v>1109</v>
      </c>
      <c r="C600" t="s">
        <v>1141</v>
      </c>
      <c r="D600" s="6" t="str">
        <f t="shared" si="9"/>
        <v>PROT:AEN03686.1</v>
      </c>
      <c r="E600" t="s">
        <v>1140</v>
      </c>
      <c r="F600" t="s">
        <v>71</v>
      </c>
      <c r="G600">
        <f>IF(ISERROR(MATCH(AllProtiens!F600,Genomes!$C:$C,0)),0,1)</f>
        <v>1</v>
      </c>
      <c r="H600">
        <f>IF(ISERROR(MATCH(AllProtiens!A600,CoreProteinGroups!B:B,0)),0,1)</f>
        <v>1</v>
      </c>
      <c r="J600" s="6" t="s">
        <v>72</v>
      </c>
    </row>
    <row r="601" spans="1:10" x14ac:dyDescent="0.2">
      <c r="A601" s="1" t="s">
        <v>1108</v>
      </c>
      <c r="B601" t="s">
        <v>1109</v>
      </c>
      <c r="C601" t="s">
        <v>1142</v>
      </c>
      <c r="D601" s="6" t="str">
        <f t="shared" si="9"/>
        <v>PROT:ABI99252.1</v>
      </c>
      <c r="E601" t="s">
        <v>1128</v>
      </c>
      <c r="F601" t="s">
        <v>74</v>
      </c>
      <c r="G601">
        <f>IF(ISERROR(MATCH(AllProtiens!F601,Genomes!$C:$C,0)),0,1)</f>
        <v>1</v>
      </c>
      <c r="H601">
        <f>IF(ISERROR(MATCH(AllProtiens!A601,CoreProteinGroups!B:B,0)),0,1)</f>
        <v>1</v>
      </c>
      <c r="J601" s="6" t="s">
        <v>75</v>
      </c>
    </row>
    <row r="602" spans="1:10" x14ac:dyDescent="0.2">
      <c r="A602" s="1" t="s">
        <v>1108</v>
      </c>
      <c r="B602" t="s">
        <v>1109</v>
      </c>
      <c r="C602" t="s">
        <v>1143</v>
      </c>
      <c r="D602" s="6" t="str">
        <f t="shared" si="9"/>
        <v>PROT:ABJ09009.1</v>
      </c>
      <c r="E602" t="s">
        <v>1144</v>
      </c>
      <c r="F602" t="s">
        <v>77</v>
      </c>
      <c r="G602">
        <f>IF(ISERROR(MATCH(AllProtiens!F602,Genomes!$C:$C,0)),0,1)</f>
        <v>1</v>
      </c>
      <c r="H602">
        <f>IF(ISERROR(MATCH(AllProtiens!A602,CoreProteinGroups!B:B,0)),0,1)</f>
        <v>1</v>
      </c>
      <c r="J602" s="6" t="s">
        <v>78</v>
      </c>
    </row>
    <row r="603" spans="1:10" x14ac:dyDescent="0.2">
      <c r="A603" s="1" t="s">
        <v>1108</v>
      </c>
      <c r="B603" t="s">
        <v>1109</v>
      </c>
      <c r="C603" t="s">
        <v>1145</v>
      </c>
      <c r="D603" s="6" t="str">
        <f t="shared" si="9"/>
        <v>PROT:AAF14974.1</v>
      </c>
      <c r="E603" t="s">
        <v>1146</v>
      </c>
      <c r="F603" t="s">
        <v>81</v>
      </c>
      <c r="G603">
        <f>IF(ISERROR(MATCH(AllProtiens!F603,Genomes!$C:$C,0)),0,1)</f>
        <v>0</v>
      </c>
      <c r="H603">
        <f>IF(ISERROR(MATCH(AllProtiens!A603,CoreProteinGroups!B:B,0)),0,1)</f>
        <v>1</v>
      </c>
      <c r="J603" s="6" t="s">
        <v>82</v>
      </c>
    </row>
    <row r="604" spans="1:10" x14ac:dyDescent="0.2">
      <c r="A604" s="1" t="s">
        <v>1108</v>
      </c>
      <c r="B604" t="s">
        <v>1109</v>
      </c>
      <c r="C604" t="s">
        <v>1147</v>
      </c>
      <c r="D604" s="6" t="str">
        <f t="shared" si="9"/>
        <v>PROT:AFU77350.1</v>
      </c>
      <c r="E604" t="s">
        <v>1146</v>
      </c>
      <c r="F604" t="s">
        <v>81</v>
      </c>
      <c r="G604">
        <f>IF(ISERROR(MATCH(AllProtiens!F604,Genomes!$C:$C,0)),0,1)</f>
        <v>0</v>
      </c>
      <c r="H604">
        <f>IF(ISERROR(MATCH(AllProtiens!A604,CoreProteinGroups!B:B,0)),0,1)</f>
        <v>1</v>
      </c>
      <c r="J604" s="6" t="s">
        <v>82</v>
      </c>
    </row>
    <row r="605" spans="1:10" x14ac:dyDescent="0.2">
      <c r="A605" s="1" t="s">
        <v>1108</v>
      </c>
      <c r="B605" t="s">
        <v>1109</v>
      </c>
      <c r="C605" t="s">
        <v>1148</v>
      </c>
      <c r="D605" s="6" t="str">
        <f t="shared" si="9"/>
        <v>PROT:AAF17970.1</v>
      </c>
      <c r="E605" t="s">
        <v>1149</v>
      </c>
      <c r="F605" t="s">
        <v>86</v>
      </c>
      <c r="G605">
        <f>IF(ISERROR(MATCH(AllProtiens!F605,Genomes!$C:$C,0)),0,1)</f>
        <v>1</v>
      </c>
      <c r="H605">
        <f>IF(ISERROR(MATCH(AllProtiens!A605,CoreProteinGroups!B:B,0)),0,1)</f>
        <v>1</v>
      </c>
      <c r="J605" s="6" t="s">
        <v>87</v>
      </c>
    </row>
    <row r="606" spans="1:10" x14ac:dyDescent="0.2">
      <c r="A606" s="1" t="s">
        <v>1108</v>
      </c>
      <c r="B606" t="s">
        <v>1109</v>
      </c>
      <c r="C606" t="s">
        <v>1150</v>
      </c>
      <c r="D606" s="6" t="str">
        <f t="shared" si="9"/>
        <v>PROT:AAC55228.1</v>
      </c>
      <c r="E606" t="s">
        <v>1151</v>
      </c>
      <c r="F606" t="s">
        <v>90</v>
      </c>
      <c r="G606">
        <f>IF(ISERROR(MATCH(AllProtiens!F606,Genomes!$C:$C,0)),0,1)</f>
        <v>1</v>
      </c>
      <c r="H606">
        <f>IF(ISERROR(MATCH(AllProtiens!A606,CoreProteinGroups!B:B,0)),0,1)</f>
        <v>1</v>
      </c>
      <c r="J606" s="6" t="s">
        <v>91</v>
      </c>
    </row>
    <row r="607" spans="1:10" x14ac:dyDescent="0.2">
      <c r="A607" s="1" t="s">
        <v>1108</v>
      </c>
      <c r="B607" t="s">
        <v>1109</v>
      </c>
      <c r="C607" t="s">
        <v>1152</v>
      </c>
      <c r="D607" s="6" t="str">
        <f t="shared" si="9"/>
        <v>PROT:AYN64682.1</v>
      </c>
      <c r="E607" t="s">
        <v>1153</v>
      </c>
      <c r="F607" t="s">
        <v>94</v>
      </c>
      <c r="G607">
        <f>IF(ISERROR(MATCH(AllProtiens!F607,Genomes!$C:$C,0)),0,1)</f>
        <v>1</v>
      </c>
      <c r="H607">
        <f>IF(ISERROR(MATCH(AllProtiens!A607,CoreProteinGroups!B:B,0)),0,1)</f>
        <v>1</v>
      </c>
      <c r="J607" s="6" t="s">
        <v>95</v>
      </c>
    </row>
    <row r="608" spans="1:10" x14ac:dyDescent="0.2">
      <c r="A608" s="1" t="s">
        <v>1108</v>
      </c>
      <c r="B608" t="s">
        <v>1109</v>
      </c>
      <c r="C608" t="s">
        <v>1154</v>
      </c>
      <c r="D608" s="6" t="str">
        <f t="shared" si="9"/>
        <v>PROT:AXN74910.1</v>
      </c>
      <c r="E608" t="s">
        <v>1155</v>
      </c>
      <c r="F608" t="s">
        <v>97</v>
      </c>
      <c r="G608">
        <f>IF(ISERROR(MATCH(AllProtiens!F608,Genomes!$C:$C,0)),0,1)</f>
        <v>1</v>
      </c>
      <c r="H608">
        <f>IF(ISERROR(MATCH(AllProtiens!A608,CoreProteinGroups!B:B,0)),0,1)</f>
        <v>1</v>
      </c>
      <c r="J608" s="6" t="s">
        <v>98</v>
      </c>
    </row>
    <row r="609" spans="1:10" x14ac:dyDescent="0.2">
      <c r="A609" s="1" t="s">
        <v>1108</v>
      </c>
      <c r="B609" t="s">
        <v>1109</v>
      </c>
      <c r="C609" t="s">
        <v>1156</v>
      </c>
      <c r="D609" s="6" t="str">
        <f t="shared" si="9"/>
        <v>PROT:ABH08223.1</v>
      </c>
      <c r="E609" t="s">
        <v>1157</v>
      </c>
      <c r="F609" t="s">
        <v>101</v>
      </c>
      <c r="G609">
        <f>IF(ISERROR(MATCH(AllProtiens!F609,Genomes!$C:$C,0)),0,1)</f>
        <v>1</v>
      </c>
      <c r="H609">
        <f>IF(ISERROR(MATCH(AllProtiens!A609,CoreProteinGroups!B:B,0)),0,1)</f>
        <v>1</v>
      </c>
      <c r="J609" s="6" t="s">
        <v>102</v>
      </c>
    </row>
    <row r="610" spans="1:10" x14ac:dyDescent="0.2">
      <c r="A610" s="1" t="s">
        <v>1108</v>
      </c>
      <c r="B610" t="s">
        <v>1109</v>
      </c>
      <c r="C610" t="s">
        <v>1158</v>
      </c>
      <c r="D610" s="6" t="str">
        <f t="shared" si="9"/>
        <v>PROT:AAL73821.1</v>
      </c>
      <c r="E610" t="s">
        <v>1159</v>
      </c>
      <c r="F610" t="s">
        <v>109</v>
      </c>
      <c r="G610">
        <f>IF(ISERROR(MATCH(AllProtiens!F610,Genomes!$C:$C,0)),0,1)</f>
        <v>1</v>
      </c>
      <c r="H610">
        <f>IF(ISERROR(MATCH(AllProtiens!A610,CoreProteinGroups!B:B,0)),0,1)</f>
        <v>1</v>
      </c>
      <c r="J610" s="6" t="s">
        <v>110</v>
      </c>
    </row>
    <row r="611" spans="1:10" x14ac:dyDescent="0.2">
      <c r="A611" s="1" t="s">
        <v>1108</v>
      </c>
      <c r="B611" t="s">
        <v>1109</v>
      </c>
      <c r="C611" t="s">
        <v>1160</v>
      </c>
      <c r="D611" s="6" t="str">
        <f t="shared" si="9"/>
        <v>PROT:AAG37591.1</v>
      </c>
      <c r="E611" t="s">
        <v>1161</v>
      </c>
      <c r="F611" t="s">
        <v>105</v>
      </c>
      <c r="G611">
        <f>IF(ISERROR(MATCH(AllProtiens!F611,Genomes!$C:$C,0)),0,1)</f>
        <v>1</v>
      </c>
      <c r="H611">
        <f>IF(ISERROR(MATCH(AllProtiens!A611,CoreProteinGroups!B:B,0)),0,1)</f>
        <v>1</v>
      </c>
      <c r="J611" s="6" t="s">
        <v>106</v>
      </c>
    </row>
    <row r="612" spans="1:10" x14ac:dyDescent="0.2">
      <c r="A612" s="1" t="s">
        <v>1108</v>
      </c>
      <c r="B612" t="s">
        <v>1109</v>
      </c>
      <c r="C612" t="s">
        <v>1162</v>
      </c>
      <c r="D612" s="6" t="str">
        <f t="shared" si="9"/>
        <v>PROT:AAM13570.1</v>
      </c>
      <c r="E612" t="s">
        <v>1163</v>
      </c>
      <c r="F612" t="s">
        <v>113</v>
      </c>
      <c r="G612">
        <f>IF(ISERROR(MATCH(AllProtiens!F612,Genomes!$C:$C,0)),0,1)</f>
        <v>1</v>
      </c>
      <c r="H612">
        <f>IF(ISERROR(MATCH(AllProtiens!A612,CoreProteinGroups!B:B,0)),0,1)</f>
        <v>1</v>
      </c>
      <c r="J612" s="6" t="s">
        <v>114</v>
      </c>
    </row>
    <row r="613" spans="1:10" x14ac:dyDescent="0.2">
      <c r="A613" s="1" t="s">
        <v>1108</v>
      </c>
      <c r="B613" t="s">
        <v>1109</v>
      </c>
      <c r="C613" t="s">
        <v>1164</v>
      </c>
      <c r="D613" s="6" t="str">
        <f t="shared" si="9"/>
        <v>PROT:AAM92404.1</v>
      </c>
      <c r="E613" t="s">
        <v>1165</v>
      </c>
      <c r="F613" t="s">
        <v>117</v>
      </c>
      <c r="G613">
        <f>IF(ISERROR(MATCH(AllProtiens!F613,Genomes!$C:$C,0)),0,1)</f>
        <v>1</v>
      </c>
      <c r="H613">
        <f>IF(ISERROR(MATCH(AllProtiens!A613,CoreProteinGroups!B:B,0)),0,1)</f>
        <v>1</v>
      </c>
      <c r="J613" s="6" t="s">
        <v>118</v>
      </c>
    </row>
    <row r="614" spans="1:10" x14ac:dyDescent="0.2">
      <c r="A614" s="1" t="s">
        <v>1108</v>
      </c>
      <c r="B614" t="s">
        <v>1109</v>
      </c>
      <c r="C614" t="s">
        <v>1166</v>
      </c>
      <c r="D614" s="6" t="str">
        <f t="shared" si="9"/>
        <v>PROT:AFH54663.1</v>
      </c>
      <c r="E614" t="s">
        <v>1167</v>
      </c>
      <c r="F614" t="s">
        <v>120</v>
      </c>
      <c r="G614">
        <f>IF(ISERROR(MATCH(AllProtiens!F614,Genomes!$C:$C,0)),0,1)</f>
        <v>1</v>
      </c>
      <c r="H614">
        <f>IF(ISERROR(MATCH(AllProtiens!A614,CoreProteinGroups!B:B,0)),0,1)</f>
        <v>1</v>
      </c>
      <c r="J614" s="6" t="s">
        <v>121</v>
      </c>
    </row>
    <row r="615" spans="1:10" x14ac:dyDescent="0.2">
      <c r="A615" s="1" t="s">
        <v>1108</v>
      </c>
      <c r="B615" t="s">
        <v>1109</v>
      </c>
      <c r="C615" t="s">
        <v>1168</v>
      </c>
      <c r="D615" s="6" t="str">
        <f t="shared" si="9"/>
        <v>PROT:AAL40566.1</v>
      </c>
      <c r="E615" t="s">
        <v>1169</v>
      </c>
      <c r="F615" t="s">
        <v>124</v>
      </c>
      <c r="G615">
        <f>IF(ISERROR(MATCH(AllProtiens!F615,Genomes!$C:$C,0)),0,1)</f>
        <v>1</v>
      </c>
      <c r="H615">
        <f>IF(ISERROR(MATCH(AllProtiens!A615,CoreProteinGroups!B:B,0)),0,1)</f>
        <v>1</v>
      </c>
      <c r="J615" s="6" t="s">
        <v>125</v>
      </c>
    </row>
    <row r="616" spans="1:10" x14ac:dyDescent="0.2">
      <c r="A616" s="1" t="s">
        <v>1108</v>
      </c>
      <c r="B616" t="s">
        <v>1109</v>
      </c>
      <c r="C616" t="s">
        <v>1170</v>
      </c>
      <c r="D616" s="6" t="str">
        <f t="shared" si="9"/>
        <v>PROT:AAX09203.1</v>
      </c>
      <c r="E616" t="s">
        <v>1171</v>
      </c>
      <c r="F616" t="s">
        <v>128</v>
      </c>
      <c r="G616">
        <f>IF(ISERROR(MATCH(AllProtiens!F616,Genomes!$C:$C,0)),0,1)</f>
        <v>1</v>
      </c>
      <c r="H616">
        <f>IF(ISERROR(MATCH(AllProtiens!A616,CoreProteinGroups!B:B,0)),0,1)</f>
        <v>1</v>
      </c>
      <c r="J616" s="6" t="s">
        <v>129</v>
      </c>
    </row>
    <row r="617" spans="1:10" x14ac:dyDescent="0.2">
      <c r="A617" s="1" t="s">
        <v>1108</v>
      </c>
      <c r="B617" t="s">
        <v>1109</v>
      </c>
      <c r="C617" t="s">
        <v>1172</v>
      </c>
      <c r="D617" s="6" t="str">
        <f t="shared" si="9"/>
        <v>PROT:AKJ93745.1</v>
      </c>
      <c r="E617" t="s">
        <v>1173</v>
      </c>
      <c r="F617" t="s">
        <v>131</v>
      </c>
      <c r="G617">
        <f>IF(ISERROR(MATCH(AllProtiens!F617,Genomes!$C:$C,0)),0,1)</f>
        <v>1</v>
      </c>
      <c r="H617">
        <f>IF(ISERROR(MATCH(AllProtiens!A617,CoreProteinGroups!B:B,0)),0,1)</f>
        <v>1</v>
      </c>
      <c r="J617" s="6" t="s">
        <v>132</v>
      </c>
    </row>
    <row r="618" spans="1:10" x14ac:dyDescent="0.2">
      <c r="A618" s="1" t="s">
        <v>1108</v>
      </c>
      <c r="B618" t="s">
        <v>1109</v>
      </c>
      <c r="C618" t="s">
        <v>1174</v>
      </c>
      <c r="D618" s="6" t="str">
        <f t="shared" si="9"/>
        <v>PROT:AOP31594.1</v>
      </c>
      <c r="E618" t="s">
        <v>844</v>
      </c>
      <c r="F618" t="s">
        <v>134</v>
      </c>
      <c r="G618">
        <f>IF(ISERROR(MATCH(AllProtiens!F618,Genomes!$C:$C,0)),0,1)</f>
        <v>1</v>
      </c>
      <c r="H618">
        <f>IF(ISERROR(MATCH(AllProtiens!A618,CoreProteinGroups!B:B,0)),0,1)</f>
        <v>1</v>
      </c>
      <c r="J618" s="6" t="s">
        <v>135</v>
      </c>
    </row>
    <row r="619" spans="1:10" x14ac:dyDescent="0.2">
      <c r="A619" s="1" t="s">
        <v>1108</v>
      </c>
      <c r="B619" t="s">
        <v>1109</v>
      </c>
      <c r="C619" t="s">
        <v>1175</v>
      </c>
      <c r="D619" s="6" t="str">
        <f t="shared" si="9"/>
        <v>PROT:ABD97684.1</v>
      </c>
      <c r="E619" t="s">
        <v>844</v>
      </c>
      <c r="F619" t="s">
        <v>137</v>
      </c>
      <c r="G619">
        <f>IF(ISERROR(MATCH(AllProtiens!F619,Genomes!$C:$C,0)),0,1)</f>
        <v>1</v>
      </c>
      <c r="H619">
        <f>IF(ISERROR(MATCH(AllProtiens!A619,CoreProteinGroups!B:B,0)),0,1)</f>
        <v>1</v>
      </c>
      <c r="J619" s="6" t="s">
        <v>138</v>
      </c>
    </row>
    <row r="620" spans="1:10" x14ac:dyDescent="0.2">
      <c r="A620" s="1" t="s">
        <v>1108</v>
      </c>
      <c r="B620" t="s">
        <v>1109</v>
      </c>
      <c r="C620" t="s">
        <v>1176</v>
      </c>
      <c r="D620" s="6" t="str">
        <f t="shared" si="9"/>
        <v>PROT:AAO89395.1</v>
      </c>
      <c r="E620" t="s">
        <v>1177</v>
      </c>
      <c r="F620" t="s">
        <v>140</v>
      </c>
      <c r="G620">
        <f>IF(ISERROR(MATCH(AllProtiens!F620,Genomes!$C:$C,0)),0,1)</f>
        <v>1</v>
      </c>
      <c r="H620">
        <f>IF(ISERROR(MATCH(AllProtiens!A620,CoreProteinGroups!B:B,0)),0,1)</f>
        <v>1</v>
      </c>
      <c r="J620" s="6" t="s">
        <v>141</v>
      </c>
    </row>
    <row r="621" spans="1:10" x14ac:dyDescent="0.2">
      <c r="A621" s="1" t="s">
        <v>1108</v>
      </c>
      <c r="B621" t="s">
        <v>1109</v>
      </c>
      <c r="C621" t="s">
        <v>1178</v>
      </c>
      <c r="D621" s="6" t="str">
        <f t="shared" si="9"/>
        <v>PROT:CAA49042.1</v>
      </c>
      <c r="E621" t="s">
        <v>1179</v>
      </c>
      <c r="F621" t="s">
        <v>144</v>
      </c>
      <c r="G621">
        <f>IF(ISERROR(MATCH(AllProtiens!F621,Genomes!$C:$C,0)),0,1)</f>
        <v>1</v>
      </c>
      <c r="H621">
        <f>IF(ISERROR(MATCH(AllProtiens!A621,CoreProteinGroups!B:B,0)),0,1)</f>
        <v>1</v>
      </c>
      <c r="J621" s="6" t="s">
        <v>145</v>
      </c>
    </row>
    <row r="622" spans="1:10" x14ac:dyDescent="0.2">
      <c r="A622" s="1" t="s">
        <v>1108</v>
      </c>
      <c r="B622" t="s">
        <v>1109</v>
      </c>
      <c r="C622" t="s">
        <v>1180</v>
      </c>
      <c r="D622" s="6" t="str">
        <f t="shared" si="9"/>
        <v>PROT:CAB54701.1</v>
      </c>
      <c r="E622" t="s">
        <v>1181</v>
      </c>
      <c r="F622" t="s">
        <v>148</v>
      </c>
      <c r="G622">
        <f>IF(ISERROR(MATCH(AllProtiens!F622,Genomes!$C:$C,0)),0,1)</f>
        <v>1</v>
      </c>
      <c r="H622">
        <f>IF(ISERROR(MATCH(AllProtiens!A622,CoreProteinGroups!B:B,0)),0,1)</f>
        <v>1</v>
      </c>
      <c r="J622" s="6" t="s">
        <v>149</v>
      </c>
    </row>
    <row r="623" spans="1:10" x14ac:dyDescent="0.2">
      <c r="A623" s="1" t="s">
        <v>1108</v>
      </c>
      <c r="B623" t="s">
        <v>1109</v>
      </c>
      <c r="C623" t="s">
        <v>1182</v>
      </c>
      <c r="D623" s="6" t="str">
        <f t="shared" si="9"/>
        <v>PROT:AOP31805.1</v>
      </c>
      <c r="E623" t="s">
        <v>844</v>
      </c>
      <c r="F623" t="s">
        <v>151</v>
      </c>
      <c r="G623">
        <f>IF(ISERROR(MATCH(AllProtiens!F623,Genomes!$C:$C,0)),0,1)</f>
        <v>1</v>
      </c>
      <c r="H623">
        <f>IF(ISERROR(MATCH(AllProtiens!A623,CoreProteinGroups!B:B,0)),0,1)</f>
        <v>1</v>
      </c>
      <c r="J623" s="6" t="s">
        <v>152</v>
      </c>
    </row>
    <row r="624" spans="1:10" x14ac:dyDescent="0.2">
      <c r="A624" s="1" t="s">
        <v>1108</v>
      </c>
      <c r="B624" t="s">
        <v>1109</v>
      </c>
      <c r="C624" t="s">
        <v>1183</v>
      </c>
      <c r="D624" s="6" t="str">
        <f t="shared" si="9"/>
        <v>PROT:ASC55568.1</v>
      </c>
      <c r="E624" t="s">
        <v>1184</v>
      </c>
      <c r="F624" t="s">
        <v>155</v>
      </c>
      <c r="G624">
        <f>IF(ISERROR(MATCH(AllProtiens!F624,Genomes!$C:$C,0)),0,1)</f>
        <v>1</v>
      </c>
      <c r="H624">
        <f>IF(ISERROR(MATCH(AllProtiens!A624,CoreProteinGroups!B:B,0)),0,1)</f>
        <v>1</v>
      </c>
      <c r="J624" s="6" t="s">
        <v>156</v>
      </c>
    </row>
    <row r="625" spans="1:10" x14ac:dyDescent="0.2">
      <c r="A625" s="1" t="s">
        <v>1108</v>
      </c>
      <c r="B625" t="s">
        <v>1109</v>
      </c>
      <c r="C625" t="s">
        <v>1185</v>
      </c>
      <c r="D625" s="6" t="str">
        <f t="shared" si="9"/>
        <v>PROT:AAR98429.1</v>
      </c>
      <c r="E625" t="s">
        <v>1128</v>
      </c>
      <c r="F625" t="s">
        <v>159</v>
      </c>
      <c r="G625">
        <f>IF(ISERROR(MATCH(AllProtiens!F625,Genomes!$C:$C,0)),0,1)</f>
        <v>1</v>
      </c>
      <c r="H625">
        <f>IF(ISERROR(MATCH(AllProtiens!A625,CoreProteinGroups!B:B,0)),0,1)</f>
        <v>1</v>
      </c>
      <c r="J625" s="6" t="s">
        <v>160</v>
      </c>
    </row>
    <row r="626" spans="1:10" x14ac:dyDescent="0.2">
      <c r="A626" s="1" t="s">
        <v>1108</v>
      </c>
      <c r="B626" t="s">
        <v>1109</v>
      </c>
      <c r="C626" t="s">
        <v>1186</v>
      </c>
      <c r="D626" s="6" t="str">
        <f t="shared" si="9"/>
        <v>PROT:AAR98297.1</v>
      </c>
      <c r="E626" t="s">
        <v>1187</v>
      </c>
      <c r="F626" t="s">
        <v>162</v>
      </c>
      <c r="G626">
        <f>IF(ISERROR(MATCH(AllProtiens!F626,Genomes!$C:$C,0)),0,1)</f>
        <v>1</v>
      </c>
      <c r="H626">
        <f>IF(ISERROR(MATCH(AllProtiens!A626,CoreProteinGroups!B:B,0)),0,1)</f>
        <v>1</v>
      </c>
      <c r="J626" s="6" t="s">
        <v>163</v>
      </c>
    </row>
    <row r="627" spans="1:10" x14ac:dyDescent="0.2">
      <c r="A627" s="1" t="s">
        <v>1108</v>
      </c>
      <c r="B627" t="s">
        <v>1109</v>
      </c>
      <c r="C627" t="s">
        <v>1188</v>
      </c>
      <c r="D627" s="6" t="str">
        <f t="shared" si="9"/>
        <v>PROT:ABA00589.1</v>
      </c>
      <c r="E627" t="s">
        <v>1144</v>
      </c>
      <c r="F627" t="s">
        <v>162</v>
      </c>
      <c r="G627">
        <f>IF(ISERROR(MATCH(AllProtiens!F627,Genomes!$C:$C,0)),0,1)</f>
        <v>1</v>
      </c>
      <c r="H627">
        <f>IF(ISERROR(MATCH(AllProtiens!A627,CoreProteinGroups!B:B,0)),0,1)</f>
        <v>1</v>
      </c>
      <c r="J627" s="6" t="s">
        <v>163</v>
      </c>
    </row>
    <row r="628" spans="1:10" x14ac:dyDescent="0.2">
      <c r="A628" s="1" t="s">
        <v>1108</v>
      </c>
      <c r="B628" t="s">
        <v>1109</v>
      </c>
      <c r="C628" t="s">
        <v>1189</v>
      </c>
      <c r="D628" s="6" t="str">
        <f t="shared" si="9"/>
        <v>PROT:AIZ77323.1</v>
      </c>
      <c r="E628" t="s">
        <v>1190</v>
      </c>
      <c r="F628" t="s">
        <v>167</v>
      </c>
      <c r="G628">
        <f>IF(ISERROR(MATCH(AllProtiens!F628,Genomes!$C:$C,0)),0,1)</f>
        <v>1</v>
      </c>
      <c r="H628">
        <f>IF(ISERROR(MATCH(AllProtiens!A628,CoreProteinGroups!B:B,0)),0,1)</f>
        <v>1</v>
      </c>
      <c r="J628" s="6" t="s">
        <v>168</v>
      </c>
    </row>
    <row r="629" spans="1:10" x14ac:dyDescent="0.2">
      <c r="A629" s="1" t="s">
        <v>1108</v>
      </c>
      <c r="B629" t="s">
        <v>1109</v>
      </c>
      <c r="C629" t="s">
        <v>1191</v>
      </c>
      <c r="D629" s="6" t="str">
        <f t="shared" si="9"/>
        <v>PROT:ADC53973.1</v>
      </c>
      <c r="E629" t="s">
        <v>1144</v>
      </c>
      <c r="F629" t="s">
        <v>170</v>
      </c>
      <c r="G629">
        <f>IF(ISERROR(MATCH(AllProtiens!F629,Genomes!$C:$C,0)),0,1)</f>
        <v>1</v>
      </c>
      <c r="H629">
        <f>IF(ISERROR(MATCH(AllProtiens!A629,CoreProteinGroups!B:B,0)),0,1)</f>
        <v>1</v>
      </c>
      <c r="J629" s="6" t="s">
        <v>171</v>
      </c>
    </row>
    <row r="630" spans="1:10" x14ac:dyDescent="0.2">
      <c r="A630" s="1" t="s">
        <v>1108</v>
      </c>
      <c r="B630" t="s">
        <v>1109</v>
      </c>
      <c r="C630" t="s">
        <v>1192</v>
      </c>
      <c r="D630" s="6" t="str">
        <f t="shared" si="9"/>
        <v>PROT:AAL69824.1</v>
      </c>
      <c r="E630" t="s">
        <v>1193</v>
      </c>
      <c r="F630" t="s">
        <v>174</v>
      </c>
      <c r="G630">
        <f>IF(ISERROR(MATCH(AllProtiens!F630,Genomes!$C:$C,0)),0,1)</f>
        <v>1</v>
      </c>
      <c r="H630">
        <f>IF(ISERROR(MATCH(AllProtiens!A630,CoreProteinGroups!B:B,0)),0,1)</f>
        <v>1</v>
      </c>
      <c r="J630" s="6" t="s">
        <v>175</v>
      </c>
    </row>
    <row r="631" spans="1:10" x14ac:dyDescent="0.2">
      <c r="A631" s="1" t="s">
        <v>1108</v>
      </c>
      <c r="B631" t="s">
        <v>1109</v>
      </c>
      <c r="C631" t="s">
        <v>1194</v>
      </c>
      <c r="D631" s="6" t="str">
        <f t="shared" si="9"/>
        <v>PROT:CAC21326.1</v>
      </c>
      <c r="E631" t="s">
        <v>1195</v>
      </c>
      <c r="F631" t="s">
        <v>178</v>
      </c>
      <c r="G631">
        <f>IF(ISERROR(MATCH(AllProtiens!F631,Genomes!$C:$C,0)),0,1)</f>
        <v>1</v>
      </c>
      <c r="H631">
        <f>IF(ISERROR(MATCH(AllProtiens!A631,CoreProteinGroups!B:B,0)),0,1)</f>
        <v>1</v>
      </c>
      <c r="J631" s="6" t="s">
        <v>179</v>
      </c>
    </row>
    <row r="632" spans="1:10" x14ac:dyDescent="0.2">
      <c r="A632" s="1" t="s">
        <v>1108</v>
      </c>
      <c r="B632" t="s">
        <v>1109</v>
      </c>
      <c r="C632" t="s">
        <v>1196</v>
      </c>
      <c r="D632" s="6" t="str">
        <f t="shared" si="9"/>
        <v>PROT:AAR07444.1</v>
      </c>
      <c r="E632" t="s">
        <v>1197</v>
      </c>
      <c r="F632" t="s">
        <v>182</v>
      </c>
      <c r="G632">
        <f>IF(ISERROR(MATCH(AllProtiens!F632,Genomes!$C:$C,0)),0,1)</f>
        <v>1</v>
      </c>
      <c r="H632">
        <f>IF(ISERROR(MATCH(AllProtiens!A632,CoreProteinGroups!B:B,0)),0,1)</f>
        <v>1</v>
      </c>
      <c r="J632" s="6" t="s">
        <v>183</v>
      </c>
    </row>
    <row r="633" spans="1:10" x14ac:dyDescent="0.2">
      <c r="A633" s="1" t="s">
        <v>1108</v>
      </c>
      <c r="B633" t="s">
        <v>1109</v>
      </c>
      <c r="C633" t="s">
        <v>1198</v>
      </c>
      <c r="D633" s="6" t="str">
        <f t="shared" si="9"/>
        <v>PROT:AAC97824.1</v>
      </c>
      <c r="E633" t="s">
        <v>1199</v>
      </c>
      <c r="F633" t="s">
        <v>186</v>
      </c>
      <c r="G633">
        <f>IF(ISERROR(MATCH(AllProtiens!F633,Genomes!$C:$C,0)),0,1)</f>
        <v>1</v>
      </c>
      <c r="H633">
        <f>IF(ISERROR(MATCH(AllProtiens!A633,CoreProteinGroups!B:B,0)),0,1)</f>
        <v>1</v>
      </c>
      <c r="J633" s="6" t="s">
        <v>187</v>
      </c>
    </row>
    <row r="634" spans="1:10" x14ac:dyDescent="0.2">
      <c r="A634" s="1" t="s">
        <v>1108</v>
      </c>
      <c r="B634" t="s">
        <v>1109</v>
      </c>
      <c r="C634" t="s">
        <v>1200</v>
      </c>
      <c r="D634" s="6" t="str">
        <f t="shared" si="9"/>
        <v>PROT:BAO49434.1</v>
      </c>
      <c r="E634" t="s">
        <v>1201</v>
      </c>
      <c r="F634" t="s">
        <v>190</v>
      </c>
      <c r="G634">
        <f>IF(ISERROR(MATCH(AllProtiens!F634,Genomes!$C:$C,0)),0,1)</f>
        <v>1</v>
      </c>
      <c r="H634">
        <f>IF(ISERROR(MATCH(AllProtiens!A634,CoreProteinGroups!B:B,0)),0,1)</f>
        <v>1</v>
      </c>
      <c r="J634" s="6" t="s">
        <v>191</v>
      </c>
    </row>
    <row r="635" spans="1:10" x14ac:dyDescent="0.2">
      <c r="A635" s="1" t="s">
        <v>1108</v>
      </c>
      <c r="B635" t="s">
        <v>1109</v>
      </c>
      <c r="C635" t="s">
        <v>1202</v>
      </c>
      <c r="D635" s="6" t="str">
        <f t="shared" si="9"/>
        <v>PROT:CCU55471.1</v>
      </c>
      <c r="E635" t="s">
        <v>1122</v>
      </c>
      <c r="F635" t="s">
        <v>193</v>
      </c>
      <c r="G635">
        <f>IF(ISERROR(MATCH(AllProtiens!F635,Genomes!$C:$C,0)),0,1)</f>
        <v>1</v>
      </c>
      <c r="H635">
        <f>IF(ISERROR(MATCH(AllProtiens!A635,CoreProteinGroups!B:B,0)),0,1)</f>
        <v>1</v>
      </c>
      <c r="J635" s="6" t="s">
        <v>194</v>
      </c>
    </row>
    <row r="636" spans="1:10" x14ac:dyDescent="0.2">
      <c r="A636" s="1" t="s">
        <v>1108</v>
      </c>
      <c r="B636" t="s">
        <v>1109</v>
      </c>
      <c r="C636" t="s">
        <v>1203</v>
      </c>
      <c r="D636" s="6" t="str">
        <f t="shared" si="9"/>
        <v>PROT:AAG02898.1</v>
      </c>
      <c r="E636" t="s">
        <v>1204</v>
      </c>
      <c r="F636" t="s">
        <v>197</v>
      </c>
      <c r="G636">
        <f>IF(ISERROR(MATCH(AllProtiens!F636,Genomes!$C:$C,0)),0,1)</f>
        <v>1</v>
      </c>
      <c r="H636">
        <f>IF(ISERROR(MATCH(AllProtiens!A636,CoreProteinGroups!B:B,0)),0,1)</f>
        <v>1</v>
      </c>
      <c r="J636" s="6" t="s">
        <v>198</v>
      </c>
    </row>
    <row r="637" spans="1:10" x14ac:dyDescent="0.2">
      <c r="A637" s="1" t="s">
        <v>1108</v>
      </c>
      <c r="B637" t="s">
        <v>1109</v>
      </c>
      <c r="C637" t="s">
        <v>1205</v>
      </c>
      <c r="D637" s="6" t="str">
        <f t="shared" si="9"/>
        <v>PROT:CCU55796.1</v>
      </c>
      <c r="E637" t="s">
        <v>1122</v>
      </c>
      <c r="F637" t="s">
        <v>200</v>
      </c>
      <c r="G637">
        <f>IF(ISERROR(MATCH(AllProtiens!F637,Genomes!$C:$C,0)),0,1)</f>
        <v>1</v>
      </c>
      <c r="H637">
        <f>IF(ISERROR(MATCH(AllProtiens!A637,CoreProteinGroups!B:B,0)),0,1)</f>
        <v>1</v>
      </c>
      <c r="J637" s="6" t="s">
        <v>201</v>
      </c>
    </row>
    <row r="638" spans="1:10" x14ac:dyDescent="0.2">
      <c r="A638" s="1" t="s">
        <v>1108</v>
      </c>
      <c r="B638" t="s">
        <v>1109</v>
      </c>
      <c r="C638" t="s">
        <v>1206</v>
      </c>
      <c r="D638" s="6" t="str">
        <f t="shared" si="9"/>
        <v>PROT:CCU56098.1</v>
      </c>
      <c r="E638" t="s">
        <v>1122</v>
      </c>
      <c r="F638" t="s">
        <v>203</v>
      </c>
      <c r="G638">
        <f>IF(ISERROR(MATCH(AllProtiens!F638,Genomes!$C:$C,0)),0,1)</f>
        <v>1</v>
      </c>
      <c r="H638">
        <f>IF(ISERROR(MATCH(AllProtiens!A638,CoreProteinGroups!B:B,0)),0,1)</f>
        <v>1</v>
      </c>
      <c r="J638" s="6" t="s">
        <v>204</v>
      </c>
    </row>
    <row r="639" spans="1:10" x14ac:dyDescent="0.2">
      <c r="A639" s="1" t="s">
        <v>1108</v>
      </c>
      <c r="B639" t="s">
        <v>1109</v>
      </c>
      <c r="C639" t="s">
        <v>1207</v>
      </c>
      <c r="D639" s="6" t="str">
        <f t="shared" si="9"/>
        <v>PROT:CCU56420.1</v>
      </c>
      <c r="E639" t="s">
        <v>1122</v>
      </c>
      <c r="F639" t="s">
        <v>206</v>
      </c>
      <c r="G639">
        <f>IF(ISERROR(MATCH(AllProtiens!F639,Genomes!$C:$C,0)),0,1)</f>
        <v>1</v>
      </c>
      <c r="H639">
        <f>IF(ISERROR(MATCH(AllProtiens!A639,CoreProteinGroups!B:B,0)),0,1)</f>
        <v>1</v>
      </c>
      <c r="J639" s="6" t="s">
        <v>207</v>
      </c>
    </row>
    <row r="640" spans="1:10" x14ac:dyDescent="0.2">
      <c r="A640" s="1" t="s">
        <v>1208</v>
      </c>
      <c r="B640" t="s">
        <v>1209</v>
      </c>
      <c r="C640" t="s">
        <v>1210</v>
      </c>
      <c r="D640" s="6" t="str">
        <f t="shared" si="9"/>
        <v>PROT:ATI21198.1</v>
      </c>
      <c r="E640" t="s">
        <v>1211</v>
      </c>
      <c r="F640" t="s">
        <v>14</v>
      </c>
      <c r="G640">
        <f>IF(ISERROR(MATCH(AllProtiens!F640,Genomes!$C:$C,0)),0,1)</f>
        <v>1</v>
      </c>
      <c r="H640">
        <f>IF(ISERROR(MATCH(AllProtiens!A640,CoreProteinGroups!B:B,0)),0,1)</f>
        <v>1</v>
      </c>
      <c r="J640" s="6" t="s">
        <v>15</v>
      </c>
    </row>
    <row r="641" spans="1:10" x14ac:dyDescent="0.2">
      <c r="A641" s="1" t="s">
        <v>1208</v>
      </c>
      <c r="B641" t="s">
        <v>1209</v>
      </c>
      <c r="C641" t="s">
        <v>1212</v>
      </c>
      <c r="D641" s="6" t="str">
        <f t="shared" si="9"/>
        <v>PROT:AWU47132.1</v>
      </c>
      <c r="E641" t="s">
        <v>1017</v>
      </c>
      <c r="F641" t="s">
        <v>17</v>
      </c>
      <c r="G641">
        <f>IF(ISERROR(MATCH(AllProtiens!F641,Genomes!$C:$C,0)),0,1)</f>
        <v>1</v>
      </c>
      <c r="H641">
        <f>IF(ISERROR(MATCH(AllProtiens!A641,CoreProteinGroups!B:B,0)),0,1)</f>
        <v>1</v>
      </c>
      <c r="J641" s="6" t="s">
        <v>18</v>
      </c>
    </row>
    <row r="642" spans="1:10" x14ac:dyDescent="0.2">
      <c r="A642" s="1" t="s">
        <v>1208</v>
      </c>
      <c r="B642" t="s">
        <v>1209</v>
      </c>
      <c r="C642" t="s">
        <v>1213</v>
      </c>
      <c r="D642" s="6" t="str">
        <f t="shared" ref="D642:D705" si="10">HYPERLINK(_xlfn.CONCAT("https://www.ncbi.nlm.nih.gov/protein/",C642),_xlfn.CONCAT("PROT:",C642))</f>
        <v>PROT:APG58308.1</v>
      </c>
      <c r="E642" t="s">
        <v>1214</v>
      </c>
      <c r="F642" t="s">
        <v>21</v>
      </c>
      <c r="G642">
        <f>IF(ISERROR(MATCH(AllProtiens!F642,Genomes!$C:$C,0)),0,1)</f>
        <v>1</v>
      </c>
      <c r="H642">
        <f>IF(ISERROR(MATCH(AllProtiens!A642,CoreProteinGroups!B:B,0)),0,1)</f>
        <v>1</v>
      </c>
      <c r="J642" s="6" t="s">
        <v>22</v>
      </c>
    </row>
    <row r="643" spans="1:10" x14ac:dyDescent="0.2">
      <c r="A643" s="1" t="s">
        <v>1208</v>
      </c>
      <c r="B643" t="s">
        <v>1209</v>
      </c>
      <c r="C643" t="s">
        <v>1215</v>
      </c>
      <c r="D643" s="6" t="str">
        <f t="shared" si="10"/>
        <v>PROT:ADT91118.1</v>
      </c>
      <c r="E643" t="s">
        <v>1216</v>
      </c>
      <c r="F643" t="s">
        <v>25</v>
      </c>
      <c r="G643">
        <f>IF(ISERROR(MATCH(AllProtiens!F643,Genomes!$C:$C,0)),0,1)</f>
        <v>1</v>
      </c>
      <c r="H643">
        <f>IF(ISERROR(MATCH(AllProtiens!A643,CoreProteinGroups!B:B,0)),0,1)</f>
        <v>1</v>
      </c>
      <c r="J643" s="6" t="s">
        <v>26</v>
      </c>
    </row>
    <row r="644" spans="1:10" x14ac:dyDescent="0.2">
      <c r="A644" s="1" t="s">
        <v>1208</v>
      </c>
      <c r="B644" t="s">
        <v>1209</v>
      </c>
      <c r="C644" t="s">
        <v>1217</v>
      </c>
      <c r="D644" s="6" t="str">
        <f t="shared" si="10"/>
        <v>PROT:ANS71176.1</v>
      </c>
      <c r="E644" t="s">
        <v>1218</v>
      </c>
      <c r="F644" t="s">
        <v>28</v>
      </c>
      <c r="G644">
        <f>IF(ISERROR(MATCH(AllProtiens!F644,Genomes!$C:$C,0)),0,1)</f>
        <v>1</v>
      </c>
      <c r="H644">
        <f>IF(ISERROR(MATCH(AllProtiens!A644,CoreProteinGroups!B:B,0)),0,1)</f>
        <v>1</v>
      </c>
      <c r="J644" s="6" t="s">
        <v>29</v>
      </c>
    </row>
    <row r="645" spans="1:10" x14ac:dyDescent="0.2">
      <c r="A645" s="1" t="s">
        <v>1208</v>
      </c>
      <c r="B645" t="s">
        <v>1209</v>
      </c>
      <c r="C645" t="s">
        <v>1219</v>
      </c>
      <c r="D645" s="6" t="str">
        <f t="shared" si="10"/>
        <v>PROT:AKR04264.1</v>
      </c>
      <c r="E645" t="s">
        <v>1220</v>
      </c>
      <c r="F645" t="s">
        <v>32</v>
      </c>
      <c r="G645">
        <f>IF(ISERROR(MATCH(AllProtiens!F645,Genomes!$C:$C,0)),0,1)</f>
        <v>1</v>
      </c>
      <c r="H645">
        <f>IF(ISERROR(MATCH(AllProtiens!A645,CoreProteinGroups!B:B,0)),0,1)</f>
        <v>1</v>
      </c>
      <c r="J645" s="6" t="s">
        <v>33</v>
      </c>
    </row>
    <row r="646" spans="1:10" x14ac:dyDescent="0.2">
      <c r="A646" s="1" t="s">
        <v>1208</v>
      </c>
      <c r="B646" t="s">
        <v>1209</v>
      </c>
      <c r="C646" t="s">
        <v>1221</v>
      </c>
      <c r="D646" s="6" t="str">
        <f t="shared" si="10"/>
        <v>PROT:CCD83269.1</v>
      </c>
      <c r="E646" t="s">
        <v>1222</v>
      </c>
      <c r="F646" t="s">
        <v>36</v>
      </c>
      <c r="G646">
        <f>IF(ISERROR(MATCH(AllProtiens!F646,Genomes!$C:$C,0)),0,1)</f>
        <v>1</v>
      </c>
      <c r="H646">
        <f>IF(ISERROR(MATCH(AllProtiens!A646,CoreProteinGroups!B:B,0)),0,1)</f>
        <v>1</v>
      </c>
      <c r="J646" s="6" t="s">
        <v>37</v>
      </c>
    </row>
    <row r="647" spans="1:10" x14ac:dyDescent="0.2">
      <c r="A647" s="1" t="s">
        <v>1208</v>
      </c>
      <c r="B647" t="s">
        <v>1209</v>
      </c>
      <c r="C647" t="s">
        <v>1223</v>
      </c>
      <c r="D647" s="6" t="str">
        <f t="shared" si="10"/>
        <v>PROT:ASK51295.1</v>
      </c>
      <c r="E647" t="s">
        <v>1211</v>
      </c>
      <c r="F647" t="s">
        <v>40</v>
      </c>
      <c r="G647">
        <f>IF(ISERROR(MATCH(AllProtiens!F647,Genomes!$C:$C,0)),0,1)</f>
        <v>1</v>
      </c>
      <c r="H647">
        <f>IF(ISERROR(MATCH(AllProtiens!A647,CoreProteinGroups!B:B,0)),0,1)</f>
        <v>1</v>
      </c>
      <c r="J647" s="6" t="s">
        <v>41</v>
      </c>
    </row>
    <row r="648" spans="1:10" x14ac:dyDescent="0.2">
      <c r="A648" s="1" t="s">
        <v>1208</v>
      </c>
      <c r="B648" t="s">
        <v>1209</v>
      </c>
      <c r="C648" t="s">
        <v>1224</v>
      </c>
      <c r="D648" s="6" t="str">
        <f t="shared" si="10"/>
        <v>PROT:AUD40153.1</v>
      </c>
      <c r="E648" t="s">
        <v>1211</v>
      </c>
      <c r="F648" t="s">
        <v>43</v>
      </c>
      <c r="G648">
        <f>IF(ISERROR(MATCH(AllProtiens!F648,Genomes!$C:$C,0)),0,1)</f>
        <v>1</v>
      </c>
      <c r="H648">
        <f>IF(ISERROR(MATCH(AllProtiens!A648,CoreProteinGroups!B:B,0)),0,1)</f>
        <v>1</v>
      </c>
      <c r="J648" s="6" t="s">
        <v>44</v>
      </c>
    </row>
    <row r="649" spans="1:10" x14ac:dyDescent="0.2">
      <c r="A649" s="1" t="s">
        <v>1208</v>
      </c>
      <c r="B649" t="s">
        <v>1209</v>
      </c>
      <c r="C649" t="s">
        <v>1225</v>
      </c>
      <c r="D649" s="6" t="str">
        <f t="shared" si="10"/>
        <v>PROT:AID46793.1</v>
      </c>
      <c r="E649" t="s">
        <v>1017</v>
      </c>
      <c r="F649" t="s">
        <v>46</v>
      </c>
      <c r="G649">
        <f>IF(ISERROR(MATCH(AllProtiens!F649,Genomes!$C:$C,0)),0,1)</f>
        <v>1</v>
      </c>
      <c r="H649">
        <f>IF(ISERROR(MATCH(AllProtiens!A649,CoreProteinGroups!B:B,0)),0,1)</f>
        <v>1</v>
      </c>
      <c r="J649" s="6" t="s">
        <v>47</v>
      </c>
    </row>
    <row r="650" spans="1:10" x14ac:dyDescent="0.2">
      <c r="A650" s="1" t="s">
        <v>1208</v>
      </c>
      <c r="B650" t="s">
        <v>1209</v>
      </c>
      <c r="C650" t="s">
        <v>1226</v>
      </c>
      <c r="D650" s="6" t="str">
        <f t="shared" si="10"/>
        <v>PROT:AID46564.1</v>
      </c>
      <c r="E650" t="s">
        <v>1017</v>
      </c>
      <c r="F650" t="s">
        <v>49</v>
      </c>
      <c r="G650">
        <f>IF(ISERROR(MATCH(AllProtiens!F650,Genomes!$C:$C,0)),0,1)</f>
        <v>1</v>
      </c>
      <c r="H650">
        <f>IF(ISERROR(MATCH(AllProtiens!A650,CoreProteinGroups!B:B,0)),0,1)</f>
        <v>1</v>
      </c>
      <c r="J650" s="6" t="s">
        <v>50</v>
      </c>
    </row>
    <row r="651" spans="1:10" x14ac:dyDescent="0.2">
      <c r="A651" s="1" t="s">
        <v>1208</v>
      </c>
      <c r="B651" t="s">
        <v>1209</v>
      </c>
      <c r="C651" t="s">
        <v>1227</v>
      </c>
      <c r="D651" s="6" t="str">
        <f t="shared" si="10"/>
        <v>PROT:ALA62403.1</v>
      </c>
      <c r="E651" t="s">
        <v>1214</v>
      </c>
      <c r="F651" t="s">
        <v>53</v>
      </c>
      <c r="G651">
        <f>IF(ISERROR(MATCH(AllProtiens!F651,Genomes!$C:$C,0)),0,1)</f>
        <v>1</v>
      </c>
      <c r="H651">
        <f>IF(ISERROR(MATCH(AllProtiens!A651,CoreProteinGroups!B:B,0)),0,1)</f>
        <v>1</v>
      </c>
      <c r="J651" s="6" t="s">
        <v>54</v>
      </c>
    </row>
    <row r="652" spans="1:10" x14ac:dyDescent="0.2">
      <c r="A652" s="1" t="s">
        <v>1208</v>
      </c>
      <c r="B652" t="s">
        <v>1209</v>
      </c>
      <c r="C652" t="s">
        <v>1228</v>
      </c>
      <c r="D652" s="6" t="str">
        <f t="shared" si="10"/>
        <v>PROT:AAR83417.1</v>
      </c>
      <c r="E652" t="s">
        <v>1229</v>
      </c>
      <c r="F652" t="s">
        <v>57</v>
      </c>
      <c r="G652">
        <f>IF(ISERROR(MATCH(AllProtiens!F652,Genomes!$C:$C,0)),0,1)</f>
        <v>1</v>
      </c>
      <c r="H652">
        <f>IF(ISERROR(MATCH(AllProtiens!A652,CoreProteinGroups!B:B,0)),0,1)</f>
        <v>1</v>
      </c>
      <c r="J652" s="6" t="s">
        <v>58</v>
      </c>
    </row>
    <row r="653" spans="1:10" x14ac:dyDescent="0.2">
      <c r="A653" s="1" t="s">
        <v>1208</v>
      </c>
      <c r="B653" t="s">
        <v>1209</v>
      </c>
      <c r="C653" t="s">
        <v>1230</v>
      </c>
      <c r="D653" s="6" t="str">
        <f t="shared" si="10"/>
        <v>PROT:AAF44395.1</v>
      </c>
      <c r="E653" t="s">
        <v>1231</v>
      </c>
      <c r="F653" t="s">
        <v>61</v>
      </c>
      <c r="G653">
        <f>IF(ISERROR(MATCH(AllProtiens!F653,Genomes!$C:$C,0)),0,1)</f>
        <v>1</v>
      </c>
      <c r="H653">
        <f>IF(ISERROR(MATCH(AllProtiens!A653,CoreProteinGroups!B:B,0)),0,1)</f>
        <v>1</v>
      </c>
      <c r="J653" s="6" t="s">
        <v>62</v>
      </c>
    </row>
    <row r="654" spans="1:10" x14ac:dyDescent="0.2">
      <c r="A654" s="1" t="s">
        <v>1208</v>
      </c>
      <c r="B654" t="s">
        <v>1209</v>
      </c>
      <c r="C654" t="s">
        <v>1232</v>
      </c>
      <c r="D654" s="6" t="str">
        <f t="shared" si="10"/>
        <v>PROT:YP_001293280.1</v>
      </c>
      <c r="E654" t="s">
        <v>1233</v>
      </c>
      <c r="F654" t="s">
        <v>214</v>
      </c>
      <c r="G654">
        <f>IF(ISERROR(MATCH(AllProtiens!F654,Genomes!$C:$C,0)),0,1)</f>
        <v>1</v>
      </c>
      <c r="H654">
        <f>IF(ISERROR(MATCH(AllProtiens!A654,CoreProteinGroups!B:B,0)),0,1)</f>
        <v>1</v>
      </c>
      <c r="J654" s="6" t="s">
        <v>215</v>
      </c>
    </row>
    <row r="655" spans="1:10" x14ac:dyDescent="0.2">
      <c r="A655" s="1" t="s">
        <v>1208</v>
      </c>
      <c r="B655" t="s">
        <v>1209</v>
      </c>
      <c r="C655" t="s">
        <v>1234</v>
      </c>
      <c r="D655" s="6" t="str">
        <f t="shared" si="10"/>
        <v>PROT:AAK85050.1</v>
      </c>
      <c r="E655" t="s">
        <v>1235</v>
      </c>
      <c r="F655" t="s">
        <v>65</v>
      </c>
      <c r="G655">
        <f>IF(ISERROR(MATCH(AllProtiens!F655,Genomes!$C:$C,0)),0,1)</f>
        <v>1</v>
      </c>
      <c r="H655">
        <f>IF(ISERROR(MATCH(AllProtiens!A655,CoreProteinGroups!B:B,0)),0,1)</f>
        <v>1</v>
      </c>
      <c r="J655" s="6" t="s">
        <v>66</v>
      </c>
    </row>
    <row r="656" spans="1:10" x14ac:dyDescent="0.2">
      <c r="A656" s="1" t="s">
        <v>1208</v>
      </c>
      <c r="B656" t="s">
        <v>1209</v>
      </c>
      <c r="C656" t="s">
        <v>1236</v>
      </c>
      <c r="D656" s="6" t="str">
        <f t="shared" si="10"/>
        <v>PROT:NP_659661.1</v>
      </c>
      <c r="E656" t="s">
        <v>1220</v>
      </c>
      <c r="F656" t="s">
        <v>210</v>
      </c>
      <c r="G656">
        <f>IF(ISERROR(MATCH(AllProtiens!F656,Genomes!$C:$C,0)),0,1)</f>
        <v>1</v>
      </c>
      <c r="H656">
        <f>IF(ISERROR(MATCH(AllProtiens!A656,CoreProteinGroups!B:B,0)),0,1)</f>
        <v>1</v>
      </c>
      <c r="J656" s="6" t="s">
        <v>211</v>
      </c>
    </row>
    <row r="657" spans="1:10" x14ac:dyDescent="0.2">
      <c r="A657" s="1" t="s">
        <v>1208</v>
      </c>
      <c r="B657" t="s">
        <v>1209</v>
      </c>
      <c r="C657" t="s">
        <v>1237</v>
      </c>
      <c r="D657" s="6" t="str">
        <f t="shared" si="10"/>
        <v>PROT:AST09308.1</v>
      </c>
      <c r="E657" t="s">
        <v>1211</v>
      </c>
      <c r="F657" t="s">
        <v>68</v>
      </c>
      <c r="G657">
        <f>IF(ISERROR(MATCH(AllProtiens!F657,Genomes!$C:$C,0)),0,1)</f>
        <v>1</v>
      </c>
      <c r="H657">
        <f>IF(ISERROR(MATCH(AllProtiens!A657,CoreProteinGroups!B:B,0)),0,1)</f>
        <v>1</v>
      </c>
      <c r="J657" s="6" t="s">
        <v>69</v>
      </c>
    </row>
    <row r="658" spans="1:10" x14ac:dyDescent="0.2">
      <c r="A658" s="1" t="s">
        <v>1208</v>
      </c>
      <c r="B658" t="s">
        <v>1209</v>
      </c>
      <c r="C658" t="s">
        <v>1238</v>
      </c>
      <c r="D658" s="6" t="str">
        <f t="shared" si="10"/>
        <v>PROT:AEN03688.1</v>
      </c>
      <c r="E658" t="s">
        <v>1239</v>
      </c>
      <c r="F658" t="s">
        <v>71</v>
      </c>
      <c r="G658">
        <f>IF(ISERROR(MATCH(AllProtiens!F658,Genomes!$C:$C,0)),0,1)</f>
        <v>1</v>
      </c>
      <c r="H658">
        <f>IF(ISERROR(MATCH(AllProtiens!A658,CoreProteinGroups!B:B,0)),0,1)</f>
        <v>1</v>
      </c>
      <c r="J658" s="6" t="s">
        <v>72</v>
      </c>
    </row>
    <row r="659" spans="1:10" x14ac:dyDescent="0.2">
      <c r="A659" s="1" t="s">
        <v>1208</v>
      </c>
      <c r="B659" t="s">
        <v>1209</v>
      </c>
      <c r="C659" t="s">
        <v>1240</v>
      </c>
      <c r="D659" s="6" t="str">
        <f t="shared" si="10"/>
        <v>PROT:ABI99253.1</v>
      </c>
      <c r="E659" t="s">
        <v>1241</v>
      </c>
      <c r="F659" t="s">
        <v>74</v>
      </c>
      <c r="G659">
        <f>IF(ISERROR(MATCH(AllProtiens!F659,Genomes!$C:$C,0)),0,1)</f>
        <v>1</v>
      </c>
      <c r="H659">
        <f>IF(ISERROR(MATCH(AllProtiens!A659,CoreProteinGroups!B:B,0)),0,1)</f>
        <v>1</v>
      </c>
      <c r="J659" s="6" t="s">
        <v>75</v>
      </c>
    </row>
    <row r="660" spans="1:10" x14ac:dyDescent="0.2">
      <c r="A660" s="1" t="s">
        <v>1208</v>
      </c>
      <c r="B660" t="s">
        <v>1209</v>
      </c>
      <c r="C660" t="s">
        <v>1242</v>
      </c>
      <c r="D660" s="6" t="str">
        <f t="shared" si="10"/>
        <v>PROT:ABJ09010.1</v>
      </c>
      <c r="E660" t="s">
        <v>1211</v>
      </c>
      <c r="F660" t="s">
        <v>77</v>
      </c>
      <c r="G660">
        <f>IF(ISERROR(MATCH(AllProtiens!F660,Genomes!$C:$C,0)),0,1)</f>
        <v>1</v>
      </c>
      <c r="H660">
        <f>IF(ISERROR(MATCH(AllProtiens!A660,CoreProteinGroups!B:B,0)),0,1)</f>
        <v>1</v>
      </c>
      <c r="J660" s="6" t="s">
        <v>78</v>
      </c>
    </row>
    <row r="661" spans="1:10" x14ac:dyDescent="0.2">
      <c r="A661" s="1" t="s">
        <v>1208</v>
      </c>
      <c r="B661" t="s">
        <v>1209</v>
      </c>
      <c r="C661" t="s">
        <v>1243</v>
      </c>
      <c r="D661" s="6" t="str">
        <f t="shared" si="10"/>
        <v>PROT:AAF14975.1</v>
      </c>
      <c r="E661" t="s">
        <v>1244</v>
      </c>
      <c r="F661" t="s">
        <v>81</v>
      </c>
      <c r="G661">
        <f>IF(ISERROR(MATCH(AllProtiens!F661,Genomes!$C:$C,0)),0,1)</f>
        <v>0</v>
      </c>
      <c r="H661">
        <f>IF(ISERROR(MATCH(AllProtiens!A661,CoreProteinGroups!B:B,0)),0,1)</f>
        <v>1</v>
      </c>
      <c r="J661" s="6" t="s">
        <v>82</v>
      </c>
    </row>
    <row r="662" spans="1:10" x14ac:dyDescent="0.2">
      <c r="A662" s="1" t="s">
        <v>1208</v>
      </c>
      <c r="B662" t="s">
        <v>1209</v>
      </c>
      <c r="C662" t="s">
        <v>1245</v>
      </c>
      <c r="D662" s="6" t="str">
        <f t="shared" si="10"/>
        <v>PROT:AFU77351.1</v>
      </c>
      <c r="E662" t="s">
        <v>1244</v>
      </c>
      <c r="F662" t="s">
        <v>81</v>
      </c>
      <c r="G662">
        <f>IF(ISERROR(MATCH(AllProtiens!F662,Genomes!$C:$C,0)),0,1)</f>
        <v>0</v>
      </c>
      <c r="H662">
        <f>IF(ISERROR(MATCH(AllProtiens!A662,CoreProteinGroups!B:B,0)),0,1)</f>
        <v>1</v>
      </c>
      <c r="J662" s="6" t="s">
        <v>82</v>
      </c>
    </row>
    <row r="663" spans="1:10" x14ac:dyDescent="0.2">
      <c r="A663" s="1" t="s">
        <v>1208</v>
      </c>
      <c r="B663" t="s">
        <v>1209</v>
      </c>
      <c r="C663" t="s">
        <v>1246</v>
      </c>
      <c r="D663" s="6" t="str">
        <f t="shared" si="10"/>
        <v>PROT:AAF17971.1</v>
      </c>
      <c r="E663" t="s">
        <v>1247</v>
      </c>
      <c r="F663" t="s">
        <v>86</v>
      </c>
      <c r="G663">
        <f>IF(ISERROR(MATCH(AllProtiens!F663,Genomes!$C:$C,0)),0,1)</f>
        <v>1</v>
      </c>
      <c r="H663">
        <f>IF(ISERROR(MATCH(AllProtiens!A663,CoreProteinGroups!B:B,0)),0,1)</f>
        <v>1</v>
      </c>
      <c r="J663" s="6" t="s">
        <v>87</v>
      </c>
    </row>
    <row r="664" spans="1:10" x14ac:dyDescent="0.2">
      <c r="A664" s="1" t="s">
        <v>1208</v>
      </c>
      <c r="B664" t="s">
        <v>1209</v>
      </c>
      <c r="C664" t="s">
        <v>1248</v>
      </c>
      <c r="D664" s="6" t="str">
        <f t="shared" si="10"/>
        <v>PROT:AAC55229.1</v>
      </c>
      <c r="E664" t="s">
        <v>1249</v>
      </c>
      <c r="F664" t="s">
        <v>90</v>
      </c>
      <c r="G664">
        <f>IF(ISERROR(MATCH(AllProtiens!F664,Genomes!$C:$C,0)),0,1)</f>
        <v>1</v>
      </c>
      <c r="H664">
        <f>IF(ISERROR(MATCH(AllProtiens!A664,CoreProteinGroups!B:B,0)),0,1)</f>
        <v>1</v>
      </c>
      <c r="J664" s="6" t="s">
        <v>91</v>
      </c>
    </row>
    <row r="665" spans="1:10" x14ac:dyDescent="0.2">
      <c r="A665" s="1" t="s">
        <v>1208</v>
      </c>
      <c r="B665" t="s">
        <v>1209</v>
      </c>
      <c r="C665" t="s">
        <v>1250</v>
      </c>
      <c r="D665" s="6" t="str">
        <f t="shared" si="10"/>
        <v>PROT:AYN64683.1</v>
      </c>
      <c r="E665" t="s">
        <v>1251</v>
      </c>
      <c r="F665" t="s">
        <v>94</v>
      </c>
      <c r="G665">
        <f>IF(ISERROR(MATCH(AllProtiens!F665,Genomes!$C:$C,0)),0,1)</f>
        <v>1</v>
      </c>
      <c r="H665">
        <f>IF(ISERROR(MATCH(AllProtiens!A665,CoreProteinGroups!B:B,0)),0,1)</f>
        <v>1</v>
      </c>
      <c r="J665" s="6" t="s">
        <v>95</v>
      </c>
    </row>
    <row r="666" spans="1:10" x14ac:dyDescent="0.2">
      <c r="A666" s="1" t="s">
        <v>1208</v>
      </c>
      <c r="B666" t="s">
        <v>1209</v>
      </c>
      <c r="C666" t="s">
        <v>1252</v>
      </c>
      <c r="D666" s="6" t="str">
        <f t="shared" si="10"/>
        <v>PROT:AXN74911.1</v>
      </c>
      <c r="E666" t="s">
        <v>1211</v>
      </c>
      <c r="F666" t="s">
        <v>97</v>
      </c>
      <c r="G666">
        <f>IF(ISERROR(MATCH(AllProtiens!F666,Genomes!$C:$C,0)),0,1)</f>
        <v>1</v>
      </c>
      <c r="H666">
        <f>IF(ISERROR(MATCH(AllProtiens!A666,CoreProteinGroups!B:B,0)),0,1)</f>
        <v>1</v>
      </c>
      <c r="J666" s="6" t="s">
        <v>98</v>
      </c>
    </row>
    <row r="667" spans="1:10" x14ac:dyDescent="0.2">
      <c r="A667" s="1" t="s">
        <v>1208</v>
      </c>
      <c r="B667" t="s">
        <v>1209</v>
      </c>
      <c r="C667" t="s">
        <v>1253</v>
      </c>
      <c r="D667" s="6" t="str">
        <f t="shared" si="10"/>
        <v>PROT:ABH08224.1</v>
      </c>
      <c r="E667" t="s">
        <v>1254</v>
      </c>
      <c r="F667" t="s">
        <v>101</v>
      </c>
      <c r="G667">
        <f>IF(ISERROR(MATCH(AllProtiens!F667,Genomes!$C:$C,0)),0,1)</f>
        <v>1</v>
      </c>
      <c r="H667">
        <f>IF(ISERROR(MATCH(AllProtiens!A667,CoreProteinGroups!B:B,0)),0,1)</f>
        <v>1</v>
      </c>
      <c r="J667" s="6" t="s">
        <v>102</v>
      </c>
    </row>
    <row r="668" spans="1:10" x14ac:dyDescent="0.2">
      <c r="A668" s="1" t="s">
        <v>1208</v>
      </c>
      <c r="B668" t="s">
        <v>1209</v>
      </c>
      <c r="C668" t="s">
        <v>1255</v>
      </c>
      <c r="D668" s="6" t="str">
        <f t="shared" si="10"/>
        <v>PROT:AAL73822.1</v>
      </c>
      <c r="E668" t="s">
        <v>1211</v>
      </c>
      <c r="F668" t="s">
        <v>109</v>
      </c>
      <c r="G668">
        <f>IF(ISERROR(MATCH(AllProtiens!F668,Genomes!$C:$C,0)),0,1)</f>
        <v>1</v>
      </c>
      <c r="H668">
        <f>IF(ISERROR(MATCH(AllProtiens!A668,CoreProteinGroups!B:B,0)),0,1)</f>
        <v>1</v>
      </c>
      <c r="J668" s="6" t="s">
        <v>110</v>
      </c>
    </row>
    <row r="669" spans="1:10" x14ac:dyDescent="0.2">
      <c r="A669" s="1" t="s">
        <v>1208</v>
      </c>
      <c r="B669" t="s">
        <v>1209</v>
      </c>
      <c r="C669" t="s">
        <v>1256</v>
      </c>
      <c r="D669" s="6" t="str">
        <f t="shared" si="10"/>
        <v>PROT:AAG37595.1</v>
      </c>
      <c r="E669" t="s">
        <v>1257</v>
      </c>
      <c r="F669" t="s">
        <v>105</v>
      </c>
      <c r="G669">
        <f>IF(ISERROR(MATCH(AllProtiens!F669,Genomes!$C:$C,0)),0,1)</f>
        <v>1</v>
      </c>
      <c r="H669">
        <f>IF(ISERROR(MATCH(AllProtiens!A669,CoreProteinGroups!B:B,0)),0,1)</f>
        <v>1</v>
      </c>
      <c r="J669" s="6" t="s">
        <v>106</v>
      </c>
    </row>
    <row r="670" spans="1:10" x14ac:dyDescent="0.2">
      <c r="A670" s="1" t="s">
        <v>1208</v>
      </c>
      <c r="B670" t="s">
        <v>1209</v>
      </c>
      <c r="C670" t="s">
        <v>1258</v>
      </c>
      <c r="D670" s="6" t="str">
        <f t="shared" si="10"/>
        <v>PROT:AAM13571.1</v>
      </c>
      <c r="E670" t="s">
        <v>1259</v>
      </c>
      <c r="F670" t="s">
        <v>113</v>
      </c>
      <c r="G670">
        <f>IF(ISERROR(MATCH(AllProtiens!F670,Genomes!$C:$C,0)),0,1)</f>
        <v>1</v>
      </c>
      <c r="H670">
        <f>IF(ISERROR(MATCH(AllProtiens!A670,CoreProteinGroups!B:B,0)),0,1)</f>
        <v>1</v>
      </c>
      <c r="J670" s="6" t="s">
        <v>114</v>
      </c>
    </row>
    <row r="671" spans="1:10" x14ac:dyDescent="0.2">
      <c r="A671" s="1" t="s">
        <v>1208</v>
      </c>
      <c r="B671" t="s">
        <v>1209</v>
      </c>
      <c r="C671" t="s">
        <v>1260</v>
      </c>
      <c r="D671" s="6" t="str">
        <f t="shared" si="10"/>
        <v>PROT:AAM92405.1</v>
      </c>
      <c r="E671" t="s">
        <v>1261</v>
      </c>
      <c r="F671" t="s">
        <v>117</v>
      </c>
      <c r="G671">
        <f>IF(ISERROR(MATCH(AllProtiens!F671,Genomes!$C:$C,0)),0,1)</f>
        <v>1</v>
      </c>
      <c r="H671">
        <f>IF(ISERROR(MATCH(AllProtiens!A671,CoreProteinGroups!B:B,0)),0,1)</f>
        <v>1</v>
      </c>
      <c r="J671" s="6" t="s">
        <v>118</v>
      </c>
    </row>
    <row r="672" spans="1:10" x14ac:dyDescent="0.2">
      <c r="A672" s="1" t="s">
        <v>1208</v>
      </c>
      <c r="B672" t="s">
        <v>1209</v>
      </c>
      <c r="C672" t="s">
        <v>1262</v>
      </c>
      <c r="D672" s="6" t="str">
        <f t="shared" si="10"/>
        <v>PROT:AFH54664.1</v>
      </c>
      <c r="E672" t="s">
        <v>1209</v>
      </c>
      <c r="F672" t="s">
        <v>120</v>
      </c>
      <c r="G672">
        <f>IF(ISERROR(MATCH(AllProtiens!F672,Genomes!$C:$C,0)),0,1)</f>
        <v>1</v>
      </c>
      <c r="H672">
        <f>IF(ISERROR(MATCH(AllProtiens!A672,CoreProteinGroups!B:B,0)),0,1)</f>
        <v>1</v>
      </c>
      <c r="J672" s="6" t="s">
        <v>121</v>
      </c>
    </row>
    <row r="673" spans="1:10" x14ac:dyDescent="0.2">
      <c r="A673" s="1" t="s">
        <v>1208</v>
      </c>
      <c r="B673" t="s">
        <v>1209</v>
      </c>
      <c r="C673" t="s">
        <v>1263</v>
      </c>
      <c r="D673" s="6" t="str">
        <f t="shared" si="10"/>
        <v>PROT:AAL40567.1</v>
      </c>
      <c r="E673" t="s">
        <v>1264</v>
      </c>
      <c r="F673" t="s">
        <v>124</v>
      </c>
      <c r="G673">
        <f>IF(ISERROR(MATCH(AllProtiens!F673,Genomes!$C:$C,0)),0,1)</f>
        <v>1</v>
      </c>
      <c r="H673">
        <f>IF(ISERROR(MATCH(AllProtiens!A673,CoreProteinGroups!B:B,0)),0,1)</f>
        <v>1</v>
      </c>
      <c r="J673" s="6" t="s">
        <v>125</v>
      </c>
    </row>
    <row r="674" spans="1:10" x14ac:dyDescent="0.2">
      <c r="A674" s="1" t="s">
        <v>1208</v>
      </c>
      <c r="B674" t="s">
        <v>1209</v>
      </c>
      <c r="C674" t="s">
        <v>1265</v>
      </c>
      <c r="D674" s="6" t="str">
        <f t="shared" si="10"/>
        <v>PROT:AAX09204.1</v>
      </c>
      <c r="E674" t="s">
        <v>1266</v>
      </c>
      <c r="F674" t="s">
        <v>128</v>
      </c>
      <c r="G674">
        <f>IF(ISERROR(MATCH(AllProtiens!F674,Genomes!$C:$C,0)),0,1)</f>
        <v>1</v>
      </c>
      <c r="H674">
        <f>IF(ISERROR(MATCH(AllProtiens!A674,CoreProteinGroups!B:B,0)),0,1)</f>
        <v>1</v>
      </c>
      <c r="J674" s="6" t="s">
        <v>129</v>
      </c>
    </row>
    <row r="675" spans="1:10" x14ac:dyDescent="0.2">
      <c r="A675" s="1" t="s">
        <v>1208</v>
      </c>
      <c r="B675" t="s">
        <v>1209</v>
      </c>
      <c r="C675" t="s">
        <v>1267</v>
      </c>
      <c r="D675" s="6" t="str">
        <f t="shared" si="10"/>
        <v>PROT:AKJ93746.1</v>
      </c>
      <c r="E675" t="s">
        <v>1268</v>
      </c>
      <c r="F675" t="s">
        <v>131</v>
      </c>
      <c r="G675">
        <f>IF(ISERROR(MATCH(AllProtiens!F675,Genomes!$C:$C,0)),0,1)</f>
        <v>1</v>
      </c>
      <c r="H675">
        <f>IF(ISERROR(MATCH(AllProtiens!A675,CoreProteinGroups!B:B,0)),0,1)</f>
        <v>1</v>
      </c>
      <c r="J675" s="6" t="s">
        <v>132</v>
      </c>
    </row>
    <row r="676" spans="1:10" x14ac:dyDescent="0.2">
      <c r="A676" s="1" t="s">
        <v>1208</v>
      </c>
      <c r="B676" t="s">
        <v>1209</v>
      </c>
      <c r="C676" t="s">
        <v>1269</v>
      </c>
      <c r="D676" s="6" t="str">
        <f t="shared" si="10"/>
        <v>PROT:AOP31595.1</v>
      </c>
      <c r="E676" t="s">
        <v>1211</v>
      </c>
      <c r="F676" t="s">
        <v>134</v>
      </c>
      <c r="G676">
        <f>IF(ISERROR(MATCH(AllProtiens!F676,Genomes!$C:$C,0)),0,1)</f>
        <v>1</v>
      </c>
      <c r="H676">
        <f>IF(ISERROR(MATCH(AllProtiens!A676,CoreProteinGroups!B:B,0)),0,1)</f>
        <v>1</v>
      </c>
      <c r="J676" s="6" t="s">
        <v>135</v>
      </c>
    </row>
    <row r="677" spans="1:10" x14ac:dyDescent="0.2">
      <c r="A677" s="1" t="s">
        <v>1208</v>
      </c>
      <c r="B677" t="s">
        <v>1209</v>
      </c>
      <c r="C677" t="s">
        <v>1270</v>
      </c>
      <c r="D677" s="6" t="str">
        <f t="shared" si="10"/>
        <v>PROT:ABD97685.1</v>
      </c>
      <c r="E677" t="s">
        <v>1239</v>
      </c>
      <c r="F677" t="s">
        <v>137</v>
      </c>
      <c r="G677">
        <f>IF(ISERROR(MATCH(AllProtiens!F677,Genomes!$C:$C,0)),0,1)</f>
        <v>1</v>
      </c>
      <c r="H677">
        <f>IF(ISERROR(MATCH(AllProtiens!A677,CoreProteinGroups!B:B,0)),0,1)</f>
        <v>1</v>
      </c>
      <c r="J677" s="6" t="s">
        <v>138</v>
      </c>
    </row>
    <row r="678" spans="1:10" x14ac:dyDescent="0.2">
      <c r="A678" s="1" t="s">
        <v>1208</v>
      </c>
      <c r="B678" t="s">
        <v>1209</v>
      </c>
      <c r="C678" t="s">
        <v>1271</v>
      </c>
      <c r="D678" s="6" t="str">
        <f t="shared" si="10"/>
        <v>PROT:AAO89396.1</v>
      </c>
      <c r="E678" t="s">
        <v>1239</v>
      </c>
      <c r="F678" t="s">
        <v>140</v>
      </c>
      <c r="G678">
        <f>IF(ISERROR(MATCH(AllProtiens!F678,Genomes!$C:$C,0)),0,1)</f>
        <v>1</v>
      </c>
      <c r="H678">
        <f>IF(ISERROR(MATCH(AllProtiens!A678,CoreProteinGroups!B:B,0)),0,1)</f>
        <v>1</v>
      </c>
      <c r="J678" s="6" t="s">
        <v>141</v>
      </c>
    </row>
    <row r="679" spans="1:10" x14ac:dyDescent="0.2">
      <c r="A679" s="1" t="s">
        <v>1208</v>
      </c>
      <c r="B679" t="s">
        <v>1209</v>
      </c>
      <c r="C679" t="s">
        <v>1272</v>
      </c>
      <c r="D679" s="6" t="str">
        <f t="shared" si="10"/>
        <v>PROT:CAA49043.1</v>
      </c>
      <c r="E679" t="s">
        <v>1273</v>
      </c>
      <c r="F679" t="s">
        <v>144</v>
      </c>
      <c r="G679">
        <f>IF(ISERROR(MATCH(AllProtiens!F679,Genomes!$C:$C,0)),0,1)</f>
        <v>1</v>
      </c>
      <c r="H679">
        <f>IF(ISERROR(MATCH(AllProtiens!A679,CoreProteinGroups!B:B,0)),0,1)</f>
        <v>1</v>
      </c>
      <c r="J679" s="6" t="s">
        <v>145</v>
      </c>
    </row>
    <row r="680" spans="1:10" x14ac:dyDescent="0.2">
      <c r="A680" s="1" t="s">
        <v>1208</v>
      </c>
      <c r="B680" t="s">
        <v>1209</v>
      </c>
      <c r="C680" t="s">
        <v>1274</v>
      </c>
      <c r="D680" s="6" t="str">
        <f t="shared" si="10"/>
        <v>PROT:CAB54702.1</v>
      </c>
      <c r="E680" t="s">
        <v>1275</v>
      </c>
      <c r="F680" t="s">
        <v>148</v>
      </c>
      <c r="G680">
        <f>IF(ISERROR(MATCH(AllProtiens!F680,Genomes!$C:$C,0)),0,1)</f>
        <v>1</v>
      </c>
      <c r="H680">
        <f>IF(ISERROR(MATCH(AllProtiens!A680,CoreProteinGroups!B:B,0)),0,1)</f>
        <v>1</v>
      </c>
      <c r="J680" s="6" t="s">
        <v>149</v>
      </c>
    </row>
    <row r="681" spans="1:10" x14ac:dyDescent="0.2">
      <c r="A681" s="1" t="s">
        <v>1208</v>
      </c>
      <c r="B681" t="s">
        <v>1209</v>
      </c>
      <c r="C681" t="s">
        <v>1276</v>
      </c>
      <c r="D681" s="6" t="str">
        <f t="shared" si="10"/>
        <v>PROT:AOP31806.1</v>
      </c>
      <c r="E681" t="s">
        <v>1211</v>
      </c>
      <c r="F681" t="s">
        <v>151</v>
      </c>
      <c r="G681">
        <f>IF(ISERROR(MATCH(AllProtiens!F681,Genomes!$C:$C,0)),0,1)</f>
        <v>1</v>
      </c>
      <c r="H681">
        <f>IF(ISERROR(MATCH(AllProtiens!A681,CoreProteinGroups!B:B,0)),0,1)</f>
        <v>1</v>
      </c>
      <c r="J681" s="6" t="s">
        <v>152</v>
      </c>
    </row>
    <row r="682" spans="1:10" x14ac:dyDescent="0.2">
      <c r="A682" s="1" t="s">
        <v>1208</v>
      </c>
      <c r="B682" t="s">
        <v>1209</v>
      </c>
      <c r="C682" t="s">
        <v>1277</v>
      </c>
      <c r="D682" s="6" t="str">
        <f t="shared" si="10"/>
        <v>PROT:ASC55566.1</v>
      </c>
      <c r="E682" t="s">
        <v>1278</v>
      </c>
      <c r="F682" t="s">
        <v>155</v>
      </c>
      <c r="G682">
        <f>IF(ISERROR(MATCH(AllProtiens!F682,Genomes!$C:$C,0)),0,1)</f>
        <v>1</v>
      </c>
      <c r="H682">
        <f>IF(ISERROR(MATCH(AllProtiens!A682,CoreProteinGroups!B:B,0)),0,1)</f>
        <v>1</v>
      </c>
      <c r="J682" s="6" t="s">
        <v>156</v>
      </c>
    </row>
    <row r="683" spans="1:10" x14ac:dyDescent="0.2">
      <c r="A683" s="1" t="s">
        <v>1208</v>
      </c>
      <c r="B683" t="s">
        <v>1209</v>
      </c>
      <c r="C683" t="s">
        <v>1279</v>
      </c>
      <c r="D683" s="6" t="str">
        <f t="shared" si="10"/>
        <v>PROT:AAR98431.1</v>
      </c>
      <c r="E683" t="s">
        <v>1280</v>
      </c>
      <c r="F683" t="s">
        <v>159</v>
      </c>
      <c r="G683">
        <f>IF(ISERROR(MATCH(AllProtiens!F683,Genomes!$C:$C,0)),0,1)</f>
        <v>1</v>
      </c>
      <c r="H683">
        <f>IF(ISERROR(MATCH(AllProtiens!A683,CoreProteinGroups!B:B,0)),0,1)</f>
        <v>1</v>
      </c>
      <c r="J683" s="6" t="s">
        <v>160</v>
      </c>
    </row>
    <row r="684" spans="1:10" x14ac:dyDescent="0.2">
      <c r="A684" s="1" t="s">
        <v>1208</v>
      </c>
      <c r="B684" t="s">
        <v>1209</v>
      </c>
      <c r="C684" t="s">
        <v>1281</v>
      </c>
      <c r="D684" s="6" t="str">
        <f t="shared" si="10"/>
        <v>PROT:AAR98299.1</v>
      </c>
      <c r="E684" t="s">
        <v>1280</v>
      </c>
      <c r="F684" t="s">
        <v>162</v>
      </c>
      <c r="G684">
        <f>IF(ISERROR(MATCH(AllProtiens!F684,Genomes!$C:$C,0)),0,1)</f>
        <v>1</v>
      </c>
      <c r="H684">
        <f>IF(ISERROR(MATCH(AllProtiens!A684,CoreProteinGroups!B:B,0)),0,1)</f>
        <v>1</v>
      </c>
      <c r="J684" s="6" t="s">
        <v>163</v>
      </c>
    </row>
    <row r="685" spans="1:10" x14ac:dyDescent="0.2">
      <c r="A685" s="1" t="s">
        <v>1208</v>
      </c>
      <c r="B685" t="s">
        <v>1209</v>
      </c>
      <c r="C685" t="s">
        <v>1282</v>
      </c>
      <c r="D685" s="6" t="str">
        <f t="shared" si="10"/>
        <v>PROT:ABA00591.1</v>
      </c>
      <c r="E685" t="s">
        <v>1017</v>
      </c>
      <c r="F685" t="s">
        <v>162</v>
      </c>
      <c r="G685">
        <f>IF(ISERROR(MATCH(AllProtiens!F685,Genomes!$C:$C,0)),0,1)</f>
        <v>1</v>
      </c>
      <c r="H685">
        <f>IF(ISERROR(MATCH(AllProtiens!A685,CoreProteinGroups!B:B,0)),0,1)</f>
        <v>1</v>
      </c>
      <c r="J685" s="6" t="s">
        <v>163</v>
      </c>
    </row>
    <row r="686" spans="1:10" x14ac:dyDescent="0.2">
      <c r="A686" s="1" t="s">
        <v>1208</v>
      </c>
      <c r="B686" t="s">
        <v>1209</v>
      </c>
      <c r="C686" t="s">
        <v>1283</v>
      </c>
      <c r="D686" s="6" t="str">
        <f t="shared" si="10"/>
        <v>PROT:AIZ77325.1</v>
      </c>
      <c r="E686" t="s">
        <v>1284</v>
      </c>
      <c r="F686" t="s">
        <v>167</v>
      </c>
      <c r="G686">
        <f>IF(ISERROR(MATCH(AllProtiens!F686,Genomes!$C:$C,0)),0,1)</f>
        <v>1</v>
      </c>
      <c r="H686">
        <f>IF(ISERROR(MATCH(AllProtiens!A686,CoreProteinGroups!B:B,0)),0,1)</f>
        <v>1</v>
      </c>
      <c r="J686" s="6" t="s">
        <v>168</v>
      </c>
    </row>
    <row r="687" spans="1:10" x14ac:dyDescent="0.2">
      <c r="A687" s="1" t="s">
        <v>1208</v>
      </c>
      <c r="B687" t="s">
        <v>1209</v>
      </c>
      <c r="C687" t="s">
        <v>1285</v>
      </c>
      <c r="D687" s="6" t="str">
        <f t="shared" si="10"/>
        <v>PROT:ADC53976.1</v>
      </c>
      <c r="E687" t="s">
        <v>1017</v>
      </c>
      <c r="F687" t="s">
        <v>170</v>
      </c>
      <c r="G687">
        <f>IF(ISERROR(MATCH(AllProtiens!F687,Genomes!$C:$C,0)),0,1)</f>
        <v>1</v>
      </c>
      <c r="H687">
        <f>IF(ISERROR(MATCH(AllProtiens!A687,CoreProteinGroups!B:B,0)),0,1)</f>
        <v>1</v>
      </c>
      <c r="J687" s="6" t="s">
        <v>171</v>
      </c>
    </row>
    <row r="688" spans="1:10" x14ac:dyDescent="0.2">
      <c r="A688" s="1" t="s">
        <v>1208</v>
      </c>
      <c r="B688" t="s">
        <v>1209</v>
      </c>
      <c r="C688" t="s">
        <v>1286</v>
      </c>
      <c r="D688" s="6" t="str">
        <f t="shared" si="10"/>
        <v>PROT:AAL69825.1</v>
      </c>
      <c r="E688" t="s">
        <v>1287</v>
      </c>
      <c r="F688" t="s">
        <v>174</v>
      </c>
      <c r="G688">
        <f>IF(ISERROR(MATCH(AllProtiens!F688,Genomes!$C:$C,0)),0,1)</f>
        <v>1</v>
      </c>
      <c r="H688">
        <f>IF(ISERROR(MATCH(AllProtiens!A688,CoreProteinGroups!B:B,0)),0,1)</f>
        <v>1</v>
      </c>
      <c r="J688" s="6" t="s">
        <v>175</v>
      </c>
    </row>
    <row r="689" spans="1:10" x14ac:dyDescent="0.2">
      <c r="A689" s="1" t="s">
        <v>1208</v>
      </c>
      <c r="B689" t="s">
        <v>1209</v>
      </c>
      <c r="C689" t="s">
        <v>1288</v>
      </c>
      <c r="D689" s="6" t="str">
        <f t="shared" si="10"/>
        <v>PROT:CAC21327.1</v>
      </c>
      <c r="E689" t="s">
        <v>1289</v>
      </c>
      <c r="F689" t="s">
        <v>178</v>
      </c>
      <c r="G689">
        <f>IF(ISERROR(MATCH(AllProtiens!F689,Genomes!$C:$C,0)),0,1)</f>
        <v>1</v>
      </c>
      <c r="H689">
        <f>IF(ISERROR(MATCH(AllProtiens!A689,CoreProteinGroups!B:B,0)),0,1)</f>
        <v>1</v>
      </c>
      <c r="J689" s="6" t="s">
        <v>179</v>
      </c>
    </row>
    <row r="690" spans="1:10" x14ac:dyDescent="0.2">
      <c r="A690" s="1" t="s">
        <v>1208</v>
      </c>
      <c r="B690" t="s">
        <v>1209</v>
      </c>
      <c r="C690" t="s">
        <v>1290</v>
      </c>
      <c r="D690" s="6" t="str">
        <f t="shared" si="10"/>
        <v>PROT:AAR07445.1</v>
      </c>
      <c r="E690" t="s">
        <v>1291</v>
      </c>
      <c r="F690" t="s">
        <v>182</v>
      </c>
      <c r="G690">
        <f>IF(ISERROR(MATCH(AllProtiens!F690,Genomes!$C:$C,0)),0,1)</f>
        <v>1</v>
      </c>
      <c r="H690">
        <f>IF(ISERROR(MATCH(AllProtiens!A690,CoreProteinGroups!B:B,0)),0,1)</f>
        <v>1</v>
      </c>
      <c r="J690" s="6" t="s">
        <v>183</v>
      </c>
    </row>
    <row r="691" spans="1:10" x14ac:dyDescent="0.2">
      <c r="A691" s="1" t="s">
        <v>1208</v>
      </c>
      <c r="B691" t="s">
        <v>1209</v>
      </c>
      <c r="C691" t="s">
        <v>1292</v>
      </c>
      <c r="D691" s="6" t="str">
        <f t="shared" si="10"/>
        <v>PROT:AAC97664.1</v>
      </c>
      <c r="E691" t="s">
        <v>1293</v>
      </c>
      <c r="F691" t="s">
        <v>186</v>
      </c>
      <c r="G691">
        <f>IF(ISERROR(MATCH(AllProtiens!F691,Genomes!$C:$C,0)),0,1)</f>
        <v>1</v>
      </c>
      <c r="H691">
        <f>IF(ISERROR(MATCH(AllProtiens!A691,CoreProteinGroups!B:B,0)),0,1)</f>
        <v>1</v>
      </c>
      <c r="J691" s="6" t="s">
        <v>187</v>
      </c>
    </row>
    <row r="692" spans="1:10" x14ac:dyDescent="0.2">
      <c r="A692" s="1" t="s">
        <v>1208</v>
      </c>
      <c r="B692" t="s">
        <v>1209</v>
      </c>
      <c r="C692" t="s">
        <v>1294</v>
      </c>
      <c r="D692" s="6" t="str">
        <f t="shared" si="10"/>
        <v>PROT:BAO49409.1</v>
      </c>
      <c r="E692" t="s">
        <v>1284</v>
      </c>
      <c r="F692" t="s">
        <v>190</v>
      </c>
      <c r="G692">
        <f>IF(ISERROR(MATCH(AllProtiens!F692,Genomes!$C:$C,0)),0,1)</f>
        <v>1</v>
      </c>
      <c r="H692">
        <f>IF(ISERROR(MATCH(AllProtiens!A692,CoreProteinGroups!B:B,0)),0,1)</f>
        <v>1</v>
      </c>
      <c r="J692" s="6" t="s">
        <v>191</v>
      </c>
    </row>
    <row r="693" spans="1:10" x14ac:dyDescent="0.2">
      <c r="A693" s="1" t="s">
        <v>1208</v>
      </c>
      <c r="B693" t="s">
        <v>1209</v>
      </c>
      <c r="C693" t="s">
        <v>1295</v>
      </c>
      <c r="D693" s="6" t="str">
        <f t="shared" si="10"/>
        <v>PROT:CCU55411.1</v>
      </c>
      <c r="E693" t="s">
        <v>1211</v>
      </c>
      <c r="F693" t="s">
        <v>193</v>
      </c>
      <c r="G693">
        <f>IF(ISERROR(MATCH(AllProtiens!F693,Genomes!$C:$C,0)),0,1)</f>
        <v>1</v>
      </c>
      <c r="H693">
        <f>IF(ISERROR(MATCH(AllProtiens!A693,CoreProteinGroups!B:B,0)),0,1)</f>
        <v>1</v>
      </c>
      <c r="J693" s="6" t="s">
        <v>194</v>
      </c>
    </row>
    <row r="694" spans="1:10" x14ac:dyDescent="0.2">
      <c r="A694" s="1" t="s">
        <v>1208</v>
      </c>
      <c r="B694" t="s">
        <v>1209</v>
      </c>
      <c r="C694" t="s">
        <v>1296</v>
      </c>
      <c r="D694" s="6" t="str">
        <f t="shared" si="10"/>
        <v>PROT:AAG02799.1</v>
      </c>
      <c r="E694" t="s">
        <v>1297</v>
      </c>
      <c r="F694" t="s">
        <v>197</v>
      </c>
      <c r="G694">
        <f>IF(ISERROR(MATCH(AllProtiens!F694,Genomes!$C:$C,0)),0,1)</f>
        <v>1</v>
      </c>
      <c r="H694">
        <f>IF(ISERROR(MATCH(AllProtiens!A694,CoreProteinGroups!B:B,0)),0,1)</f>
        <v>1</v>
      </c>
      <c r="J694" s="6" t="s">
        <v>198</v>
      </c>
    </row>
    <row r="695" spans="1:10" x14ac:dyDescent="0.2">
      <c r="A695" s="1" t="s">
        <v>1208</v>
      </c>
      <c r="B695" t="s">
        <v>1209</v>
      </c>
      <c r="C695" t="s">
        <v>1298</v>
      </c>
      <c r="D695" s="6" t="str">
        <f t="shared" si="10"/>
        <v>PROT:CCU55717.1</v>
      </c>
      <c r="E695" t="s">
        <v>1211</v>
      </c>
      <c r="F695" t="s">
        <v>200</v>
      </c>
      <c r="G695">
        <f>IF(ISERROR(MATCH(AllProtiens!F695,Genomes!$C:$C,0)),0,1)</f>
        <v>1</v>
      </c>
      <c r="H695">
        <f>IF(ISERROR(MATCH(AllProtiens!A695,CoreProteinGroups!B:B,0)),0,1)</f>
        <v>1</v>
      </c>
      <c r="J695" s="6" t="s">
        <v>201</v>
      </c>
    </row>
    <row r="696" spans="1:10" x14ac:dyDescent="0.2">
      <c r="A696" s="1" t="s">
        <v>1208</v>
      </c>
      <c r="B696" t="s">
        <v>1209</v>
      </c>
      <c r="C696" t="s">
        <v>1299</v>
      </c>
      <c r="D696" s="6" t="str">
        <f t="shared" si="10"/>
        <v>PROT:CCU56019.1</v>
      </c>
      <c r="E696" t="s">
        <v>1211</v>
      </c>
      <c r="F696" t="s">
        <v>203</v>
      </c>
      <c r="G696">
        <f>IF(ISERROR(MATCH(AllProtiens!F696,Genomes!$C:$C,0)),0,1)</f>
        <v>1</v>
      </c>
      <c r="H696">
        <f>IF(ISERROR(MATCH(AllProtiens!A696,CoreProteinGroups!B:B,0)),0,1)</f>
        <v>1</v>
      </c>
      <c r="J696" s="6" t="s">
        <v>204</v>
      </c>
    </row>
    <row r="697" spans="1:10" x14ac:dyDescent="0.2">
      <c r="A697" s="1" t="s">
        <v>1208</v>
      </c>
      <c r="B697" t="s">
        <v>1209</v>
      </c>
      <c r="C697" t="s">
        <v>1300</v>
      </c>
      <c r="D697" s="6" t="str">
        <f t="shared" si="10"/>
        <v>PROT:CCU56313.1</v>
      </c>
      <c r="E697" t="s">
        <v>1211</v>
      </c>
      <c r="F697" t="s">
        <v>206</v>
      </c>
      <c r="G697">
        <f>IF(ISERROR(MATCH(AllProtiens!F697,Genomes!$C:$C,0)),0,1)</f>
        <v>1</v>
      </c>
      <c r="H697">
        <f>IF(ISERROR(MATCH(AllProtiens!A697,CoreProteinGroups!B:B,0)),0,1)</f>
        <v>1</v>
      </c>
      <c r="J697" s="6" t="s">
        <v>207</v>
      </c>
    </row>
    <row r="698" spans="1:10" x14ac:dyDescent="0.2">
      <c r="A698" s="1" t="s">
        <v>1301</v>
      </c>
      <c r="B698" t="s">
        <v>1302</v>
      </c>
      <c r="C698" t="s">
        <v>1303</v>
      </c>
      <c r="D698" s="6" t="str">
        <f t="shared" si="10"/>
        <v>PROT:ATI21192.1</v>
      </c>
      <c r="E698" t="s">
        <v>1304</v>
      </c>
      <c r="F698" t="s">
        <v>14</v>
      </c>
      <c r="G698">
        <f>IF(ISERROR(MATCH(AllProtiens!F698,Genomes!$C:$C,0)),0,1)</f>
        <v>1</v>
      </c>
      <c r="H698">
        <f>IF(ISERROR(MATCH(AllProtiens!A698,CoreProteinGroups!B:B,0)),0,1)</f>
        <v>1</v>
      </c>
      <c r="J698" s="6" t="s">
        <v>15</v>
      </c>
    </row>
    <row r="699" spans="1:10" x14ac:dyDescent="0.2">
      <c r="A699" s="1" t="s">
        <v>1301</v>
      </c>
      <c r="B699" t="s">
        <v>1302</v>
      </c>
      <c r="C699" t="s">
        <v>1305</v>
      </c>
      <c r="D699" s="6" t="str">
        <f t="shared" si="10"/>
        <v>PROT:AWU47126.1</v>
      </c>
      <c r="E699" t="s">
        <v>1302</v>
      </c>
      <c r="F699" t="s">
        <v>17</v>
      </c>
      <c r="G699">
        <f>IF(ISERROR(MATCH(AllProtiens!F699,Genomes!$C:$C,0)),0,1)</f>
        <v>1</v>
      </c>
      <c r="H699">
        <f>IF(ISERROR(MATCH(AllProtiens!A699,CoreProteinGroups!B:B,0)),0,1)</f>
        <v>1</v>
      </c>
      <c r="J699" s="6" t="s">
        <v>18</v>
      </c>
    </row>
    <row r="700" spans="1:10" x14ac:dyDescent="0.2">
      <c r="A700" s="1" t="s">
        <v>1301</v>
      </c>
      <c r="B700" t="s">
        <v>1302</v>
      </c>
      <c r="C700" t="s">
        <v>1306</v>
      </c>
      <c r="D700" s="6" t="str">
        <f t="shared" si="10"/>
        <v>PROT:APG58301.1</v>
      </c>
      <c r="E700" t="s">
        <v>1307</v>
      </c>
      <c r="F700" t="s">
        <v>21</v>
      </c>
      <c r="G700">
        <f>IF(ISERROR(MATCH(AllProtiens!F700,Genomes!$C:$C,0)),0,1)</f>
        <v>1</v>
      </c>
      <c r="H700">
        <f>IF(ISERROR(MATCH(AllProtiens!A700,CoreProteinGroups!B:B,0)),0,1)</f>
        <v>1</v>
      </c>
      <c r="J700" s="6" t="s">
        <v>22</v>
      </c>
    </row>
    <row r="701" spans="1:10" x14ac:dyDescent="0.2">
      <c r="A701" s="1" t="s">
        <v>1301</v>
      </c>
      <c r="B701" t="s">
        <v>1302</v>
      </c>
      <c r="C701" t="s">
        <v>1308</v>
      </c>
      <c r="D701" s="6" t="str">
        <f t="shared" si="10"/>
        <v>PROT:ADT91113.1</v>
      </c>
      <c r="E701" t="s">
        <v>1309</v>
      </c>
      <c r="F701" t="s">
        <v>25</v>
      </c>
      <c r="G701">
        <f>IF(ISERROR(MATCH(AllProtiens!F701,Genomes!$C:$C,0)),0,1)</f>
        <v>1</v>
      </c>
      <c r="H701">
        <f>IF(ISERROR(MATCH(AllProtiens!A701,CoreProteinGroups!B:B,0)),0,1)</f>
        <v>1</v>
      </c>
      <c r="J701" s="6" t="s">
        <v>26</v>
      </c>
    </row>
    <row r="702" spans="1:10" x14ac:dyDescent="0.2">
      <c r="A702" s="1" t="s">
        <v>1301</v>
      </c>
      <c r="B702" t="s">
        <v>1302</v>
      </c>
      <c r="C702" t="s">
        <v>1310</v>
      </c>
      <c r="D702" s="6" t="str">
        <f t="shared" si="10"/>
        <v>PROT:ANS71170.1</v>
      </c>
      <c r="E702" t="s">
        <v>1311</v>
      </c>
      <c r="F702" t="s">
        <v>28</v>
      </c>
      <c r="G702">
        <f>IF(ISERROR(MATCH(AllProtiens!F702,Genomes!$C:$C,0)),0,1)</f>
        <v>1</v>
      </c>
      <c r="H702">
        <f>IF(ISERROR(MATCH(AllProtiens!A702,CoreProteinGroups!B:B,0)),0,1)</f>
        <v>1</v>
      </c>
      <c r="J702" s="6" t="s">
        <v>29</v>
      </c>
    </row>
    <row r="703" spans="1:10" x14ac:dyDescent="0.2">
      <c r="A703" s="1" t="s">
        <v>1301</v>
      </c>
      <c r="B703" t="s">
        <v>1302</v>
      </c>
      <c r="C703" t="s">
        <v>1312</v>
      </c>
      <c r="D703" s="6" t="str">
        <f t="shared" si="10"/>
        <v>PROT:AKR04215.1</v>
      </c>
      <c r="E703" t="s">
        <v>1313</v>
      </c>
      <c r="F703" t="s">
        <v>32</v>
      </c>
      <c r="G703">
        <f>IF(ISERROR(MATCH(AllProtiens!F703,Genomes!$C:$C,0)),0,1)</f>
        <v>1</v>
      </c>
      <c r="H703">
        <f>IF(ISERROR(MATCH(AllProtiens!A703,CoreProteinGroups!B:B,0)),0,1)</f>
        <v>1</v>
      </c>
      <c r="J703" s="6" t="s">
        <v>33</v>
      </c>
    </row>
    <row r="704" spans="1:10" x14ac:dyDescent="0.2">
      <c r="A704" s="1" t="s">
        <v>1301</v>
      </c>
      <c r="B704" t="s">
        <v>1302</v>
      </c>
      <c r="C704" t="s">
        <v>1314</v>
      </c>
      <c r="D704" s="6" t="str">
        <f t="shared" si="10"/>
        <v>PROT:CCD83259.1</v>
      </c>
      <c r="E704" t="s">
        <v>1302</v>
      </c>
      <c r="F704" t="s">
        <v>36</v>
      </c>
      <c r="G704">
        <f>IF(ISERROR(MATCH(AllProtiens!F704,Genomes!$C:$C,0)),0,1)</f>
        <v>1</v>
      </c>
      <c r="H704">
        <f>IF(ISERROR(MATCH(AllProtiens!A704,CoreProteinGroups!B:B,0)),0,1)</f>
        <v>1</v>
      </c>
      <c r="J704" s="6" t="s">
        <v>37</v>
      </c>
    </row>
    <row r="705" spans="1:10" x14ac:dyDescent="0.2">
      <c r="A705" s="1" t="s">
        <v>1301</v>
      </c>
      <c r="B705" t="s">
        <v>1302</v>
      </c>
      <c r="C705" t="s">
        <v>1315</v>
      </c>
      <c r="D705" s="6" t="str">
        <f t="shared" si="10"/>
        <v>PROT:ASK51288.1</v>
      </c>
      <c r="E705" t="s">
        <v>1316</v>
      </c>
      <c r="F705" t="s">
        <v>40</v>
      </c>
      <c r="G705">
        <f>IF(ISERROR(MATCH(AllProtiens!F705,Genomes!$C:$C,0)),0,1)</f>
        <v>1</v>
      </c>
      <c r="H705">
        <f>IF(ISERROR(MATCH(AllProtiens!A705,CoreProteinGroups!B:B,0)),0,1)</f>
        <v>1</v>
      </c>
      <c r="J705" s="6" t="s">
        <v>41</v>
      </c>
    </row>
    <row r="706" spans="1:10" x14ac:dyDescent="0.2">
      <c r="A706" s="1" t="s">
        <v>1301</v>
      </c>
      <c r="B706" t="s">
        <v>1302</v>
      </c>
      <c r="C706" t="s">
        <v>1317</v>
      </c>
      <c r="D706" s="6" t="str">
        <f t="shared" ref="D706:D769" si="11">HYPERLINK(_xlfn.CONCAT("https://www.ncbi.nlm.nih.gov/protein/",C706),_xlfn.CONCAT("PROT:",C706))</f>
        <v>PROT:AUD40160.1</v>
      </c>
      <c r="E706" t="s">
        <v>1302</v>
      </c>
      <c r="F706" t="s">
        <v>43</v>
      </c>
      <c r="G706">
        <f>IF(ISERROR(MATCH(AllProtiens!F706,Genomes!$C:$C,0)),0,1)</f>
        <v>1</v>
      </c>
      <c r="H706">
        <f>IF(ISERROR(MATCH(AllProtiens!A706,CoreProteinGroups!B:B,0)),0,1)</f>
        <v>1</v>
      </c>
      <c r="J706" s="6" t="s">
        <v>44</v>
      </c>
    </row>
    <row r="707" spans="1:10" x14ac:dyDescent="0.2">
      <c r="A707" s="1" t="s">
        <v>1301</v>
      </c>
      <c r="B707" t="s">
        <v>1302</v>
      </c>
      <c r="C707" t="s">
        <v>1318</v>
      </c>
      <c r="D707" s="6" t="str">
        <f t="shared" si="11"/>
        <v>PROT:AID46800.1</v>
      </c>
      <c r="E707" t="s">
        <v>1302</v>
      </c>
      <c r="F707" t="s">
        <v>46</v>
      </c>
      <c r="G707">
        <f>IF(ISERROR(MATCH(AllProtiens!F707,Genomes!$C:$C,0)),0,1)</f>
        <v>1</v>
      </c>
      <c r="H707">
        <f>IF(ISERROR(MATCH(AllProtiens!A707,CoreProteinGroups!B:B,0)),0,1)</f>
        <v>1</v>
      </c>
      <c r="J707" s="6" t="s">
        <v>47</v>
      </c>
    </row>
    <row r="708" spans="1:10" x14ac:dyDescent="0.2">
      <c r="A708" s="1" t="s">
        <v>1301</v>
      </c>
      <c r="B708" t="s">
        <v>1302</v>
      </c>
      <c r="C708" t="s">
        <v>1319</v>
      </c>
      <c r="D708" s="6" t="str">
        <f t="shared" si="11"/>
        <v>PROT:AID46571.1</v>
      </c>
      <c r="E708" t="s">
        <v>1302</v>
      </c>
      <c r="F708" t="s">
        <v>49</v>
      </c>
      <c r="G708">
        <f>IF(ISERROR(MATCH(AllProtiens!F708,Genomes!$C:$C,0)),0,1)</f>
        <v>1</v>
      </c>
      <c r="H708">
        <f>IF(ISERROR(MATCH(AllProtiens!A708,CoreProteinGroups!B:B,0)),0,1)</f>
        <v>1</v>
      </c>
      <c r="J708" s="6" t="s">
        <v>50</v>
      </c>
    </row>
    <row r="709" spans="1:10" x14ac:dyDescent="0.2">
      <c r="A709" s="1" t="s">
        <v>1301</v>
      </c>
      <c r="B709" t="s">
        <v>1302</v>
      </c>
      <c r="C709" t="s">
        <v>1320</v>
      </c>
      <c r="D709" s="6" t="str">
        <f t="shared" si="11"/>
        <v>PROT:ALA62409.1</v>
      </c>
      <c r="E709" t="s">
        <v>1321</v>
      </c>
      <c r="F709" t="s">
        <v>53</v>
      </c>
      <c r="G709">
        <f>IF(ISERROR(MATCH(AllProtiens!F709,Genomes!$C:$C,0)),0,1)</f>
        <v>1</v>
      </c>
      <c r="H709">
        <f>IF(ISERROR(MATCH(AllProtiens!A709,CoreProteinGroups!B:B,0)),0,1)</f>
        <v>1</v>
      </c>
      <c r="J709" s="6" t="s">
        <v>54</v>
      </c>
    </row>
    <row r="710" spans="1:10" x14ac:dyDescent="0.2">
      <c r="A710" s="1" t="s">
        <v>1301</v>
      </c>
      <c r="B710" t="s">
        <v>1302</v>
      </c>
      <c r="C710" t="s">
        <v>1322</v>
      </c>
      <c r="D710" s="6" t="str">
        <f t="shared" si="11"/>
        <v>PROT:AAR83428.1</v>
      </c>
      <c r="E710" t="s">
        <v>1323</v>
      </c>
      <c r="F710" t="s">
        <v>57</v>
      </c>
      <c r="G710">
        <f>IF(ISERROR(MATCH(AllProtiens!F710,Genomes!$C:$C,0)),0,1)</f>
        <v>1</v>
      </c>
      <c r="H710">
        <f>IF(ISERROR(MATCH(AllProtiens!A710,CoreProteinGroups!B:B,0)),0,1)</f>
        <v>1</v>
      </c>
      <c r="J710" s="6" t="s">
        <v>58</v>
      </c>
    </row>
    <row r="711" spans="1:10" x14ac:dyDescent="0.2">
      <c r="A711" s="1" t="s">
        <v>1301</v>
      </c>
      <c r="B711" t="s">
        <v>1302</v>
      </c>
      <c r="C711" t="s">
        <v>1324</v>
      </c>
      <c r="D711" s="6" t="str">
        <f t="shared" si="11"/>
        <v>PROT:AAF44402.1</v>
      </c>
      <c r="E711" t="s">
        <v>1325</v>
      </c>
      <c r="F711" t="s">
        <v>61</v>
      </c>
      <c r="G711">
        <f>IF(ISERROR(MATCH(AllProtiens!F711,Genomes!$C:$C,0)),0,1)</f>
        <v>1</v>
      </c>
      <c r="H711">
        <f>IF(ISERROR(MATCH(AllProtiens!A711,CoreProteinGroups!B:B,0)),0,1)</f>
        <v>1</v>
      </c>
      <c r="J711" s="6" t="s">
        <v>62</v>
      </c>
    </row>
    <row r="712" spans="1:10" x14ac:dyDescent="0.2">
      <c r="A712" s="1" t="s">
        <v>1301</v>
      </c>
      <c r="B712" t="s">
        <v>1302</v>
      </c>
      <c r="C712" t="s">
        <v>1326</v>
      </c>
      <c r="D712" s="6" t="str">
        <f t="shared" si="11"/>
        <v>PROT:AAK85044.1</v>
      </c>
      <c r="E712" t="s">
        <v>1327</v>
      </c>
      <c r="F712" t="s">
        <v>65</v>
      </c>
      <c r="G712">
        <f>IF(ISERROR(MATCH(AllProtiens!F712,Genomes!$C:$C,0)),0,1)</f>
        <v>1</v>
      </c>
      <c r="H712">
        <f>IF(ISERROR(MATCH(AllProtiens!A712,CoreProteinGroups!B:B,0)),0,1)</f>
        <v>1</v>
      </c>
      <c r="J712" s="6" t="s">
        <v>66</v>
      </c>
    </row>
    <row r="713" spans="1:10" x14ac:dyDescent="0.2">
      <c r="A713" s="1" t="s">
        <v>1301</v>
      </c>
      <c r="B713" t="s">
        <v>1302</v>
      </c>
      <c r="C713" t="s">
        <v>1328</v>
      </c>
      <c r="D713" s="6" t="str">
        <f t="shared" si="11"/>
        <v>PROT:AST09301.1</v>
      </c>
      <c r="E713" t="s">
        <v>1302</v>
      </c>
      <c r="F713" t="s">
        <v>68</v>
      </c>
      <c r="G713">
        <f>IF(ISERROR(MATCH(AllProtiens!F713,Genomes!$C:$C,0)),0,1)</f>
        <v>1</v>
      </c>
      <c r="H713">
        <f>IF(ISERROR(MATCH(AllProtiens!A713,CoreProteinGroups!B:B,0)),0,1)</f>
        <v>1</v>
      </c>
      <c r="J713" s="6" t="s">
        <v>69</v>
      </c>
    </row>
    <row r="714" spans="1:10" x14ac:dyDescent="0.2">
      <c r="A714" s="1" t="s">
        <v>1301</v>
      </c>
      <c r="B714" t="s">
        <v>1302</v>
      </c>
      <c r="C714" t="s">
        <v>1329</v>
      </c>
      <c r="D714" s="6" t="str">
        <f t="shared" si="11"/>
        <v>PROT:AEN03679.1</v>
      </c>
      <c r="E714" t="s">
        <v>1302</v>
      </c>
      <c r="F714" t="s">
        <v>71</v>
      </c>
      <c r="G714">
        <f>IF(ISERROR(MATCH(AllProtiens!F714,Genomes!$C:$C,0)),0,1)</f>
        <v>1</v>
      </c>
      <c r="H714">
        <f>IF(ISERROR(MATCH(AllProtiens!A714,CoreProteinGroups!B:B,0)),0,1)</f>
        <v>1</v>
      </c>
      <c r="J714" s="6" t="s">
        <v>72</v>
      </c>
    </row>
    <row r="715" spans="1:10" x14ac:dyDescent="0.2">
      <c r="A715" s="1" t="s">
        <v>1301</v>
      </c>
      <c r="B715" t="s">
        <v>1302</v>
      </c>
      <c r="C715" t="s">
        <v>1330</v>
      </c>
      <c r="D715" s="6" t="str">
        <f t="shared" si="11"/>
        <v>PROT:ABI99247.1</v>
      </c>
      <c r="E715" t="s">
        <v>1302</v>
      </c>
      <c r="F715" t="s">
        <v>74</v>
      </c>
      <c r="G715">
        <f>IF(ISERROR(MATCH(AllProtiens!F715,Genomes!$C:$C,0)),0,1)</f>
        <v>1</v>
      </c>
      <c r="H715">
        <f>IF(ISERROR(MATCH(AllProtiens!A715,CoreProteinGroups!B:B,0)),0,1)</f>
        <v>1</v>
      </c>
      <c r="J715" s="6" t="s">
        <v>75</v>
      </c>
    </row>
    <row r="716" spans="1:10" x14ac:dyDescent="0.2">
      <c r="A716" s="1" t="s">
        <v>1301</v>
      </c>
      <c r="B716" t="s">
        <v>1302</v>
      </c>
      <c r="C716" t="s">
        <v>1331</v>
      </c>
      <c r="D716" s="6" t="str">
        <f t="shared" si="11"/>
        <v>PROT:ABJ09004.1</v>
      </c>
      <c r="E716" t="s">
        <v>1302</v>
      </c>
      <c r="F716" t="s">
        <v>77</v>
      </c>
      <c r="G716">
        <f>IF(ISERROR(MATCH(AllProtiens!F716,Genomes!$C:$C,0)),0,1)</f>
        <v>1</v>
      </c>
      <c r="H716">
        <f>IF(ISERROR(MATCH(AllProtiens!A716,CoreProteinGroups!B:B,0)),0,1)</f>
        <v>1</v>
      </c>
      <c r="J716" s="6" t="s">
        <v>78</v>
      </c>
    </row>
    <row r="717" spans="1:10" x14ac:dyDescent="0.2">
      <c r="A717" s="1" t="s">
        <v>1301</v>
      </c>
      <c r="B717" t="s">
        <v>1302</v>
      </c>
      <c r="C717" t="s">
        <v>1332</v>
      </c>
      <c r="D717" s="6" t="str">
        <f t="shared" si="11"/>
        <v>PROT:AAF14968.1</v>
      </c>
      <c r="E717" t="s">
        <v>1333</v>
      </c>
      <c r="F717" t="s">
        <v>81</v>
      </c>
      <c r="G717">
        <f>IF(ISERROR(MATCH(AllProtiens!F717,Genomes!$C:$C,0)),0,1)</f>
        <v>0</v>
      </c>
      <c r="H717">
        <f>IF(ISERROR(MATCH(AllProtiens!A717,CoreProteinGroups!B:B,0)),0,1)</f>
        <v>1</v>
      </c>
      <c r="J717" s="6" t="s">
        <v>82</v>
      </c>
    </row>
    <row r="718" spans="1:10" x14ac:dyDescent="0.2">
      <c r="A718" s="1" t="s">
        <v>1301</v>
      </c>
      <c r="B718" t="s">
        <v>1302</v>
      </c>
      <c r="C718" t="s">
        <v>1334</v>
      </c>
      <c r="D718" s="6" t="str">
        <f t="shared" si="11"/>
        <v>PROT:AFU77344.1</v>
      </c>
      <c r="E718" t="s">
        <v>1333</v>
      </c>
      <c r="F718" t="s">
        <v>81</v>
      </c>
      <c r="G718">
        <f>IF(ISERROR(MATCH(AllProtiens!F718,Genomes!$C:$C,0)),0,1)</f>
        <v>0</v>
      </c>
      <c r="H718">
        <f>IF(ISERROR(MATCH(AllProtiens!A718,CoreProteinGroups!B:B,0)),0,1)</f>
        <v>1</v>
      </c>
      <c r="J718" s="6" t="s">
        <v>82</v>
      </c>
    </row>
    <row r="719" spans="1:10" x14ac:dyDescent="0.2">
      <c r="A719" s="1" t="s">
        <v>1301</v>
      </c>
      <c r="B719" t="s">
        <v>1302</v>
      </c>
      <c r="C719" t="s">
        <v>1335</v>
      </c>
      <c r="D719" s="6" t="str">
        <f t="shared" si="11"/>
        <v>PROT:AAF17964.1</v>
      </c>
      <c r="E719" t="s">
        <v>1336</v>
      </c>
      <c r="F719" t="s">
        <v>86</v>
      </c>
      <c r="G719">
        <f>IF(ISERROR(MATCH(AllProtiens!F719,Genomes!$C:$C,0)),0,1)</f>
        <v>1</v>
      </c>
      <c r="H719">
        <f>IF(ISERROR(MATCH(AllProtiens!A719,CoreProteinGroups!B:B,0)),0,1)</f>
        <v>1</v>
      </c>
      <c r="J719" s="6" t="s">
        <v>87</v>
      </c>
    </row>
    <row r="720" spans="1:10" x14ac:dyDescent="0.2">
      <c r="A720" s="1" t="s">
        <v>1301</v>
      </c>
      <c r="B720" t="s">
        <v>1302</v>
      </c>
      <c r="C720" t="s">
        <v>1337</v>
      </c>
      <c r="D720" s="6" t="str">
        <f t="shared" si="11"/>
        <v>PROT:AAC55222.1</v>
      </c>
      <c r="E720" t="s">
        <v>1338</v>
      </c>
      <c r="F720" t="s">
        <v>90</v>
      </c>
      <c r="G720">
        <f>IF(ISERROR(MATCH(AllProtiens!F720,Genomes!$C:$C,0)),0,1)</f>
        <v>1</v>
      </c>
      <c r="H720">
        <f>IF(ISERROR(MATCH(AllProtiens!A720,CoreProteinGroups!B:B,0)),0,1)</f>
        <v>1</v>
      </c>
      <c r="J720" s="6" t="s">
        <v>91</v>
      </c>
    </row>
    <row r="721" spans="1:10" x14ac:dyDescent="0.2">
      <c r="A721" s="1" t="s">
        <v>1301</v>
      </c>
      <c r="B721" t="s">
        <v>1302</v>
      </c>
      <c r="C721" t="s">
        <v>1339</v>
      </c>
      <c r="D721" s="6" t="str">
        <f t="shared" si="11"/>
        <v>PROT:AYN64676.1</v>
      </c>
      <c r="E721" t="s">
        <v>1340</v>
      </c>
      <c r="F721" t="s">
        <v>94</v>
      </c>
      <c r="G721">
        <f>IF(ISERROR(MATCH(AllProtiens!F721,Genomes!$C:$C,0)),0,1)</f>
        <v>1</v>
      </c>
      <c r="H721">
        <f>IF(ISERROR(MATCH(AllProtiens!A721,CoreProteinGroups!B:B,0)),0,1)</f>
        <v>1</v>
      </c>
      <c r="J721" s="6" t="s">
        <v>95</v>
      </c>
    </row>
    <row r="722" spans="1:10" x14ac:dyDescent="0.2">
      <c r="A722" s="1" t="s">
        <v>1301</v>
      </c>
      <c r="B722" t="s">
        <v>1302</v>
      </c>
      <c r="C722" t="s">
        <v>1341</v>
      </c>
      <c r="D722" s="6" t="str">
        <f t="shared" si="11"/>
        <v>PROT:AXN74904.1</v>
      </c>
      <c r="E722" t="s">
        <v>1302</v>
      </c>
      <c r="F722" t="s">
        <v>97</v>
      </c>
      <c r="G722">
        <f>IF(ISERROR(MATCH(AllProtiens!F722,Genomes!$C:$C,0)),0,1)</f>
        <v>1</v>
      </c>
      <c r="H722">
        <f>IF(ISERROR(MATCH(AllProtiens!A722,CoreProteinGroups!B:B,0)),0,1)</f>
        <v>1</v>
      </c>
      <c r="J722" s="6" t="s">
        <v>98</v>
      </c>
    </row>
    <row r="723" spans="1:10" x14ac:dyDescent="0.2">
      <c r="A723" s="1" t="s">
        <v>1301</v>
      </c>
      <c r="B723" t="s">
        <v>1302</v>
      </c>
      <c r="C723" t="s">
        <v>1342</v>
      </c>
      <c r="D723" s="6" t="str">
        <f t="shared" si="11"/>
        <v>PROT:ABH08217.1</v>
      </c>
      <c r="E723" t="s">
        <v>1343</v>
      </c>
      <c r="F723" t="s">
        <v>101</v>
      </c>
      <c r="G723">
        <f>IF(ISERROR(MATCH(AllProtiens!F723,Genomes!$C:$C,0)),0,1)</f>
        <v>1</v>
      </c>
      <c r="H723">
        <f>IF(ISERROR(MATCH(AllProtiens!A723,CoreProteinGroups!B:B,0)),0,1)</f>
        <v>1</v>
      </c>
      <c r="J723" s="6" t="s">
        <v>102</v>
      </c>
    </row>
    <row r="724" spans="1:10" x14ac:dyDescent="0.2">
      <c r="A724" s="1" t="s">
        <v>1301</v>
      </c>
      <c r="B724" t="s">
        <v>1302</v>
      </c>
      <c r="C724" t="s">
        <v>1344</v>
      </c>
      <c r="D724" s="6" t="str">
        <f t="shared" si="11"/>
        <v>PROT:AAG37582.1</v>
      </c>
      <c r="E724" t="s">
        <v>1345</v>
      </c>
      <c r="F724" t="s">
        <v>105</v>
      </c>
      <c r="G724">
        <f>IF(ISERROR(MATCH(AllProtiens!F724,Genomes!$C:$C,0)),0,1)</f>
        <v>1</v>
      </c>
      <c r="H724">
        <f>IF(ISERROR(MATCH(AllProtiens!A724,CoreProteinGroups!B:B,0)),0,1)</f>
        <v>1</v>
      </c>
      <c r="J724" s="6" t="s">
        <v>106</v>
      </c>
    </row>
    <row r="725" spans="1:10" x14ac:dyDescent="0.2">
      <c r="A725" s="1" t="s">
        <v>1301</v>
      </c>
      <c r="B725" t="s">
        <v>1302</v>
      </c>
      <c r="C725" t="s">
        <v>1346</v>
      </c>
      <c r="D725" s="6" t="str">
        <f t="shared" si="11"/>
        <v>PROT:AAL73815.1</v>
      </c>
      <c r="E725" t="s">
        <v>1347</v>
      </c>
      <c r="F725" t="s">
        <v>109</v>
      </c>
      <c r="G725">
        <f>IF(ISERROR(MATCH(AllProtiens!F725,Genomes!$C:$C,0)),0,1)</f>
        <v>1</v>
      </c>
      <c r="H725">
        <f>IF(ISERROR(MATCH(AllProtiens!A725,CoreProteinGroups!B:B,0)),0,1)</f>
        <v>1</v>
      </c>
      <c r="J725" s="6" t="s">
        <v>110</v>
      </c>
    </row>
    <row r="726" spans="1:10" x14ac:dyDescent="0.2">
      <c r="A726" s="1" t="s">
        <v>1301</v>
      </c>
      <c r="B726" t="s">
        <v>1302</v>
      </c>
      <c r="C726" t="s">
        <v>1348</v>
      </c>
      <c r="D726" s="6" t="str">
        <f t="shared" si="11"/>
        <v>PROT:AAM13564.1</v>
      </c>
      <c r="E726" t="s">
        <v>1349</v>
      </c>
      <c r="F726" t="s">
        <v>113</v>
      </c>
      <c r="G726">
        <f>IF(ISERROR(MATCH(AllProtiens!F726,Genomes!$C:$C,0)),0,1)</f>
        <v>1</v>
      </c>
      <c r="H726">
        <f>IF(ISERROR(MATCH(AllProtiens!A726,CoreProteinGroups!B:B,0)),0,1)</f>
        <v>1</v>
      </c>
      <c r="J726" s="6" t="s">
        <v>114</v>
      </c>
    </row>
    <row r="727" spans="1:10" x14ac:dyDescent="0.2">
      <c r="A727" s="1" t="s">
        <v>1301</v>
      </c>
      <c r="B727" t="s">
        <v>1302</v>
      </c>
      <c r="C727" t="s">
        <v>1350</v>
      </c>
      <c r="D727" s="6" t="str">
        <f t="shared" si="11"/>
        <v>PROT:AAM92398.1</v>
      </c>
      <c r="E727" t="s">
        <v>1351</v>
      </c>
      <c r="F727" t="s">
        <v>117</v>
      </c>
      <c r="G727">
        <f>IF(ISERROR(MATCH(AllProtiens!F727,Genomes!$C:$C,0)),0,1)</f>
        <v>1</v>
      </c>
      <c r="H727">
        <f>IF(ISERROR(MATCH(AllProtiens!A727,CoreProteinGroups!B:B,0)),0,1)</f>
        <v>1</v>
      </c>
      <c r="J727" s="6" t="s">
        <v>118</v>
      </c>
    </row>
    <row r="728" spans="1:10" x14ac:dyDescent="0.2">
      <c r="A728" s="1" t="s">
        <v>1301</v>
      </c>
      <c r="B728" t="s">
        <v>1302</v>
      </c>
      <c r="C728" t="s">
        <v>1352</v>
      </c>
      <c r="D728" s="6" t="str">
        <f t="shared" si="11"/>
        <v>PROT:AFH54657.1</v>
      </c>
      <c r="E728" t="s">
        <v>1353</v>
      </c>
      <c r="F728" t="s">
        <v>120</v>
      </c>
      <c r="G728">
        <f>IF(ISERROR(MATCH(AllProtiens!F728,Genomes!$C:$C,0)),0,1)</f>
        <v>1</v>
      </c>
      <c r="H728">
        <f>IF(ISERROR(MATCH(AllProtiens!A728,CoreProteinGroups!B:B,0)),0,1)</f>
        <v>1</v>
      </c>
      <c r="J728" s="6" t="s">
        <v>121</v>
      </c>
    </row>
    <row r="729" spans="1:10" x14ac:dyDescent="0.2">
      <c r="A729" s="1" t="s">
        <v>1301</v>
      </c>
      <c r="B729" t="s">
        <v>1302</v>
      </c>
      <c r="C729" t="s">
        <v>1354</v>
      </c>
      <c r="D729" s="6" t="str">
        <f t="shared" si="11"/>
        <v>PROT:AAL40560.1</v>
      </c>
      <c r="E729" t="s">
        <v>1355</v>
      </c>
      <c r="F729" t="s">
        <v>124</v>
      </c>
      <c r="G729">
        <f>IF(ISERROR(MATCH(AllProtiens!F729,Genomes!$C:$C,0)),0,1)</f>
        <v>1</v>
      </c>
      <c r="H729">
        <f>IF(ISERROR(MATCH(AllProtiens!A729,CoreProteinGroups!B:B,0)),0,1)</f>
        <v>1</v>
      </c>
      <c r="J729" s="6" t="s">
        <v>125</v>
      </c>
    </row>
    <row r="730" spans="1:10" x14ac:dyDescent="0.2">
      <c r="A730" s="1" t="s">
        <v>1301</v>
      </c>
      <c r="B730" t="s">
        <v>1302</v>
      </c>
      <c r="C730" t="s">
        <v>1356</v>
      </c>
      <c r="D730" s="6" t="str">
        <f t="shared" si="11"/>
        <v>PROT:AAX09197.1</v>
      </c>
      <c r="E730" t="s">
        <v>1357</v>
      </c>
      <c r="F730" t="s">
        <v>128</v>
      </c>
      <c r="G730">
        <f>IF(ISERROR(MATCH(AllProtiens!F730,Genomes!$C:$C,0)),0,1)</f>
        <v>1</v>
      </c>
      <c r="H730">
        <f>IF(ISERROR(MATCH(AllProtiens!A730,CoreProteinGroups!B:B,0)),0,1)</f>
        <v>1</v>
      </c>
      <c r="J730" s="6" t="s">
        <v>129</v>
      </c>
    </row>
    <row r="731" spans="1:10" x14ac:dyDescent="0.2">
      <c r="A731" s="1" t="s">
        <v>1301</v>
      </c>
      <c r="B731" t="s">
        <v>1302</v>
      </c>
      <c r="C731" t="s">
        <v>1358</v>
      </c>
      <c r="D731" s="6" t="str">
        <f t="shared" si="11"/>
        <v>PROT:AKJ93739.1</v>
      </c>
      <c r="E731" t="s">
        <v>1302</v>
      </c>
      <c r="F731" t="s">
        <v>131</v>
      </c>
      <c r="G731">
        <f>IF(ISERROR(MATCH(AllProtiens!F731,Genomes!$C:$C,0)),0,1)</f>
        <v>1</v>
      </c>
      <c r="H731">
        <f>IF(ISERROR(MATCH(AllProtiens!A731,CoreProteinGroups!B:B,0)),0,1)</f>
        <v>1</v>
      </c>
      <c r="J731" s="6" t="s">
        <v>132</v>
      </c>
    </row>
    <row r="732" spans="1:10" x14ac:dyDescent="0.2">
      <c r="A732" s="1" t="s">
        <v>1301</v>
      </c>
      <c r="B732" t="s">
        <v>1302</v>
      </c>
      <c r="C732" t="s">
        <v>1359</v>
      </c>
      <c r="D732" s="6" t="str">
        <f t="shared" si="11"/>
        <v>PROT:AOP31588.1</v>
      </c>
      <c r="E732" t="s">
        <v>1302</v>
      </c>
      <c r="F732" t="s">
        <v>134</v>
      </c>
      <c r="G732">
        <f>IF(ISERROR(MATCH(AllProtiens!F732,Genomes!$C:$C,0)),0,1)</f>
        <v>1</v>
      </c>
      <c r="H732">
        <f>IF(ISERROR(MATCH(AllProtiens!A732,CoreProteinGroups!B:B,0)),0,1)</f>
        <v>1</v>
      </c>
      <c r="J732" s="6" t="s">
        <v>135</v>
      </c>
    </row>
    <row r="733" spans="1:10" x14ac:dyDescent="0.2">
      <c r="A733" s="1" t="s">
        <v>1301</v>
      </c>
      <c r="B733" t="s">
        <v>1302</v>
      </c>
      <c r="C733" t="s">
        <v>1360</v>
      </c>
      <c r="D733" s="6" t="str">
        <f t="shared" si="11"/>
        <v>PROT:ABD97678.1</v>
      </c>
      <c r="E733" t="s">
        <v>1302</v>
      </c>
      <c r="F733" t="s">
        <v>137</v>
      </c>
      <c r="G733">
        <f>IF(ISERROR(MATCH(AllProtiens!F733,Genomes!$C:$C,0)),0,1)</f>
        <v>1</v>
      </c>
      <c r="H733">
        <f>IF(ISERROR(MATCH(AllProtiens!A733,CoreProteinGroups!B:B,0)),0,1)</f>
        <v>1</v>
      </c>
      <c r="J733" s="6" t="s">
        <v>138</v>
      </c>
    </row>
    <row r="734" spans="1:10" x14ac:dyDescent="0.2">
      <c r="A734" s="1" t="s">
        <v>1301</v>
      </c>
      <c r="B734" t="s">
        <v>1302</v>
      </c>
      <c r="C734" t="s">
        <v>1361</v>
      </c>
      <c r="D734" s="6" t="str">
        <f t="shared" si="11"/>
        <v>PROT:AAO89389.1</v>
      </c>
      <c r="E734" t="s">
        <v>1362</v>
      </c>
      <c r="F734" t="s">
        <v>140</v>
      </c>
      <c r="G734">
        <f>IF(ISERROR(MATCH(AllProtiens!F734,Genomes!$C:$C,0)),0,1)</f>
        <v>1</v>
      </c>
      <c r="H734">
        <f>IF(ISERROR(MATCH(AllProtiens!A734,CoreProteinGroups!B:B,0)),0,1)</f>
        <v>1</v>
      </c>
      <c r="J734" s="6" t="s">
        <v>141</v>
      </c>
    </row>
    <row r="735" spans="1:10" x14ac:dyDescent="0.2">
      <c r="A735" s="1" t="s">
        <v>1301</v>
      </c>
      <c r="B735" t="s">
        <v>1302</v>
      </c>
      <c r="C735" t="s">
        <v>1363</v>
      </c>
      <c r="D735" s="6" t="str">
        <f t="shared" si="11"/>
        <v>PROT:CAA49036.1</v>
      </c>
      <c r="E735" t="s">
        <v>1364</v>
      </c>
      <c r="F735" t="s">
        <v>144</v>
      </c>
      <c r="G735">
        <f>IF(ISERROR(MATCH(AllProtiens!F735,Genomes!$C:$C,0)),0,1)</f>
        <v>1</v>
      </c>
      <c r="H735">
        <f>IF(ISERROR(MATCH(AllProtiens!A735,CoreProteinGroups!B:B,0)),0,1)</f>
        <v>1</v>
      </c>
      <c r="J735" s="6" t="s">
        <v>145</v>
      </c>
    </row>
    <row r="736" spans="1:10" x14ac:dyDescent="0.2">
      <c r="A736" s="1" t="s">
        <v>1301</v>
      </c>
      <c r="B736" t="s">
        <v>1302</v>
      </c>
      <c r="C736" t="s">
        <v>1365</v>
      </c>
      <c r="D736" s="6" t="str">
        <f t="shared" si="11"/>
        <v>PROT:CAB54695.1</v>
      </c>
      <c r="E736" t="s">
        <v>1366</v>
      </c>
      <c r="F736" t="s">
        <v>148</v>
      </c>
      <c r="G736">
        <f>IF(ISERROR(MATCH(AllProtiens!F736,Genomes!$C:$C,0)),0,1)</f>
        <v>1</v>
      </c>
      <c r="H736">
        <f>IF(ISERROR(MATCH(AllProtiens!A736,CoreProteinGroups!B:B,0)),0,1)</f>
        <v>1</v>
      </c>
      <c r="J736" s="6" t="s">
        <v>149</v>
      </c>
    </row>
    <row r="737" spans="1:10" x14ac:dyDescent="0.2">
      <c r="A737" s="1" t="s">
        <v>1301</v>
      </c>
      <c r="B737" t="s">
        <v>1302</v>
      </c>
      <c r="C737" t="s">
        <v>1367</v>
      </c>
      <c r="D737" s="6" t="str">
        <f t="shared" si="11"/>
        <v>PROT:AOP31799.1</v>
      </c>
      <c r="E737" t="s">
        <v>1302</v>
      </c>
      <c r="F737" t="s">
        <v>151</v>
      </c>
      <c r="G737">
        <f>IF(ISERROR(MATCH(AllProtiens!F737,Genomes!$C:$C,0)),0,1)</f>
        <v>1</v>
      </c>
      <c r="H737">
        <f>IF(ISERROR(MATCH(AllProtiens!A737,CoreProteinGroups!B:B,0)),0,1)</f>
        <v>1</v>
      </c>
      <c r="J737" s="6" t="s">
        <v>152</v>
      </c>
    </row>
    <row r="738" spans="1:10" x14ac:dyDescent="0.2">
      <c r="A738" s="1" t="s">
        <v>1301</v>
      </c>
      <c r="B738" t="s">
        <v>1302</v>
      </c>
      <c r="C738" t="s">
        <v>1368</v>
      </c>
      <c r="D738" s="6" t="str">
        <f t="shared" si="11"/>
        <v>PROT:ASC55572.1</v>
      </c>
      <c r="E738" t="s">
        <v>1369</v>
      </c>
      <c r="F738" t="s">
        <v>155</v>
      </c>
      <c r="G738">
        <f>IF(ISERROR(MATCH(AllProtiens!F738,Genomes!$C:$C,0)),0,1)</f>
        <v>1</v>
      </c>
      <c r="H738">
        <f>IF(ISERROR(MATCH(AllProtiens!A738,CoreProteinGroups!B:B,0)),0,1)</f>
        <v>1</v>
      </c>
      <c r="J738" s="6" t="s">
        <v>156</v>
      </c>
    </row>
    <row r="739" spans="1:10" x14ac:dyDescent="0.2">
      <c r="A739" s="1" t="s">
        <v>1301</v>
      </c>
      <c r="B739" t="s">
        <v>1302</v>
      </c>
      <c r="C739" t="s">
        <v>1370</v>
      </c>
      <c r="D739" s="6" t="str">
        <f t="shared" si="11"/>
        <v>PROT:AAR98425.1</v>
      </c>
      <c r="E739" t="s">
        <v>1371</v>
      </c>
      <c r="F739" t="s">
        <v>159</v>
      </c>
      <c r="G739">
        <f>IF(ISERROR(MATCH(AllProtiens!F739,Genomes!$C:$C,0)),0,1)</f>
        <v>1</v>
      </c>
      <c r="H739">
        <f>IF(ISERROR(MATCH(AllProtiens!A739,CoreProteinGroups!B:B,0)),0,1)</f>
        <v>1</v>
      </c>
      <c r="J739" s="6" t="s">
        <v>160</v>
      </c>
    </row>
    <row r="740" spans="1:10" x14ac:dyDescent="0.2">
      <c r="A740" s="1" t="s">
        <v>1301</v>
      </c>
      <c r="B740" t="s">
        <v>1302</v>
      </c>
      <c r="C740" t="s">
        <v>1372</v>
      </c>
      <c r="D740" s="6" t="str">
        <f t="shared" si="11"/>
        <v>PROT:AAR98293.1</v>
      </c>
      <c r="E740" t="s">
        <v>1371</v>
      </c>
      <c r="F740" t="s">
        <v>162</v>
      </c>
      <c r="G740">
        <f>IF(ISERROR(MATCH(AllProtiens!F740,Genomes!$C:$C,0)),0,1)</f>
        <v>1</v>
      </c>
      <c r="H740">
        <f>IF(ISERROR(MATCH(AllProtiens!A740,CoreProteinGroups!B:B,0)),0,1)</f>
        <v>1</v>
      </c>
      <c r="J740" s="6" t="s">
        <v>163</v>
      </c>
    </row>
    <row r="741" spans="1:10" x14ac:dyDescent="0.2">
      <c r="A741" s="1" t="s">
        <v>1301</v>
      </c>
      <c r="B741" t="s">
        <v>1302</v>
      </c>
      <c r="C741" t="s">
        <v>1373</v>
      </c>
      <c r="D741" s="6" t="str">
        <f t="shared" si="11"/>
        <v>PROT:ABA00585.1</v>
      </c>
      <c r="E741" t="s">
        <v>1302</v>
      </c>
      <c r="F741" t="s">
        <v>162</v>
      </c>
      <c r="G741">
        <f>IF(ISERROR(MATCH(AllProtiens!F741,Genomes!$C:$C,0)),0,1)</f>
        <v>1</v>
      </c>
      <c r="H741">
        <f>IF(ISERROR(MATCH(AllProtiens!A741,CoreProteinGroups!B:B,0)),0,1)</f>
        <v>1</v>
      </c>
      <c r="J741" s="6" t="s">
        <v>163</v>
      </c>
    </row>
    <row r="742" spans="1:10" x14ac:dyDescent="0.2">
      <c r="A742" s="1" t="s">
        <v>1301</v>
      </c>
      <c r="B742" t="s">
        <v>1302</v>
      </c>
      <c r="C742" t="s">
        <v>1374</v>
      </c>
      <c r="D742" s="6" t="str">
        <f t="shared" si="11"/>
        <v>PROT:AIZ77319.1</v>
      </c>
      <c r="E742" t="s">
        <v>1347</v>
      </c>
      <c r="F742" t="s">
        <v>167</v>
      </c>
      <c r="G742">
        <f>IF(ISERROR(MATCH(AllProtiens!F742,Genomes!$C:$C,0)),0,1)</f>
        <v>1</v>
      </c>
      <c r="H742">
        <f>IF(ISERROR(MATCH(AllProtiens!A742,CoreProteinGroups!B:B,0)),0,1)</f>
        <v>1</v>
      </c>
      <c r="J742" s="6" t="s">
        <v>168</v>
      </c>
    </row>
    <row r="743" spans="1:10" x14ac:dyDescent="0.2">
      <c r="A743" s="1" t="s">
        <v>1301</v>
      </c>
      <c r="B743" t="s">
        <v>1302</v>
      </c>
      <c r="C743" t="s">
        <v>1375</v>
      </c>
      <c r="D743" s="6" t="str">
        <f t="shared" si="11"/>
        <v>PROT:ADC53969.1</v>
      </c>
      <c r="E743" t="s">
        <v>1302</v>
      </c>
      <c r="F743" t="s">
        <v>170</v>
      </c>
      <c r="G743">
        <f>IF(ISERROR(MATCH(AllProtiens!F743,Genomes!$C:$C,0)),0,1)</f>
        <v>1</v>
      </c>
      <c r="H743">
        <f>IF(ISERROR(MATCH(AllProtiens!A743,CoreProteinGroups!B:B,0)),0,1)</f>
        <v>1</v>
      </c>
      <c r="J743" s="6" t="s">
        <v>171</v>
      </c>
    </row>
    <row r="744" spans="1:10" x14ac:dyDescent="0.2">
      <c r="A744" s="1" t="s">
        <v>1301</v>
      </c>
      <c r="B744" t="s">
        <v>1302</v>
      </c>
      <c r="C744" t="s">
        <v>1376</v>
      </c>
      <c r="D744" s="6" t="str">
        <f t="shared" si="11"/>
        <v>PROT:AAL69819.1</v>
      </c>
      <c r="E744" t="s">
        <v>1377</v>
      </c>
      <c r="F744" t="s">
        <v>174</v>
      </c>
      <c r="G744">
        <f>IF(ISERROR(MATCH(AllProtiens!F744,Genomes!$C:$C,0)),0,1)</f>
        <v>1</v>
      </c>
      <c r="H744">
        <f>IF(ISERROR(MATCH(AllProtiens!A744,CoreProteinGroups!B:B,0)),0,1)</f>
        <v>1</v>
      </c>
      <c r="J744" s="6" t="s">
        <v>175</v>
      </c>
    </row>
    <row r="745" spans="1:10" x14ac:dyDescent="0.2">
      <c r="A745" s="1" t="s">
        <v>1301</v>
      </c>
      <c r="B745" t="s">
        <v>1302</v>
      </c>
      <c r="C745" t="s">
        <v>1378</v>
      </c>
      <c r="D745" s="6" t="str">
        <f t="shared" si="11"/>
        <v>PROT:CAC21321.1</v>
      </c>
      <c r="E745" t="s">
        <v>1379</v>
      </c>
      <c r="F745" t="s">
        <v>178</v>
      </c>
      <c r="G745">
        <f>IF(ISERROR(MATCH(AllProtiens!F745,Genomes!$C:$C,0)),0,1)</f>
        <v>1</v>
      </c>
      <c r="H745">
        <f>IF(ISERROR(MATCH(AllProtiens!A745,CoreProteinGroups!B:B,0)),0,1)</f>
        <v>1</v>
      </c>
      <c r="J745" s="6" t="s">
        <v>179</v>
      </c>
    </row>
    <row r="746" spans="1:10" x14ac:dyDescent="0.2">
      <c r="A746" s="1" t="s">
        <v>1301</v>
      </c>
      <c r="B746" t="s">
        <v>1302</v>
      </c>
      <c r="C746" t="s">
        <v>1380</v>
      </c>
      <c r="D746" s="6" t="str">
        <f t="shared" si="11"/>
        <v>PROT:AAR07439.1</v>
      </c>
      <c r="E746" t="s">
        <v>1381</v>
      </c>
      <c r="F746" t="s">
        <v>182</v>
      </c>
      <c r="G746">
        <f>IF(ISERROR(MATCH(AllProtiens!F746,Genomes!$C:$C,0)),0,1)</f>
        <v>1</v>
      </c>
      <c r="H746">
        <f>IF(ISERROR(MATCH(AllProtiens!A746,CoreProteinGroups!B:B,0)),0,1)</f>
        <v>1</v>
      </c>
      <c r="J746" s="6" t="s">
        <v>183</v>
      </c>
    </row>
    <row r="747" spans="1:10" x14ac:dyDescent="0.2">
      <c r="A747" s="1" t="s">
        <v>1301</v>
      </c>
      <c r="B747" t="s">
        <v>1302</v>
      </c>
      <c r="C747" t="s">
        <v>1382</v>
      </c>
      <c r="D747" s="6" t="str">
        <f t="shared" si="11"/>
        <v>PROT:AAC97809.1</v>
      </c>
      <c r="E747" t="s">
        <v>1383</v>
      </c>
      <c r="F747" t="s">
        <v>186</v>
      </c>
      <c r="G747">
        <f>IF(ISERROR(MATCH(AllProtiens!F747,Genomes!$C:$C,0)),0,1)</f>
        <v>1</v>
      </c>
      <c r="H747">
        <f>IF(ISERROR(MATCH(AllProtiens!A747,CoreProteinGroups!B:B,0)),0,1)</f>
        <v>1</v>
      </c>
      <c r="J747" s="6" t="s">
        <v>187</v>
      </c>
    </row>
    <row r="748" spans="1:10" x14ac:dyDescent="0.2">
      <c r="A748" s="1" t="s">
        <v>1301</v>
      </c>
      <c r="B748" t="s">
        <v>1302</v>
      </c>
      <c r="C748" t="s">
        <v>1384</v>
      </c>
      <c r="D748" s="6" t="str">
        <f t="shared" si="11"/>
        <v>PROT:BAO49524.1</v>
      </c>
      <c r="E748" t="s">
        <v>1347</v>
      </c>
      <c r="F748" t="s">
        <v>190</v>
      </c>
      <c r="G748">
        <f>IF(ISERROR(MATCH(AllProtiens!F748,Genomes!$C:$C,0)),0,1)</f>
        <v>1</v>
      </c>
      <c r="H748">
        <f>IF(ISERROR(MATCH(AllProtiens!A748,CoreProteinGroups!B:B,0)),0,1)</f>
        <v>1</v>
      </c>
      <c r="J748" s="6" t="s">
        <v>191</v>
      </c>
    </row>
    <row r="749" spans="1:10" x14ac:dyDescent="0.2">
      <c r="A749" s="1" t="s">
        <v>1301</v>
      </c>
      <c r="B749" t="s">
        <v>1302</v>
      </c>
      <c r="C749" t="s">
        <v>1385</v>
      </c>
      <c r="D749" s="6" t="str">
        <f t="shared" si="11"/>
        <v>PROT:CCU55406.1</v>
      </c>
      <c r="E749" t="s">
        <v>1316</v>
      </c>
      <c r="F749" t="s">
        <v>193</v>
      </c>
      <c r="G749">
        <f>IF(ISERROR(MATCH(AllProtiens!F749,Genomes!$C:$C,0)),0,1)</f>
        <v>1</v>
      </c>
      <c r="H749">
        <f>IF(ISERROR(MATCH(AllProtiens!A749,CoreProteinGroups!B:B,0)),0,1)</f>
        <v>1</v>
      </c>
      <c r="J749" s="6" t="s">
        <v>194</v>
      </c>
    </row>
    <row r="750" spans="1:10" x14ac:dyDescent="0.2">
      <c r="A750" s="1" t="s">
        <v>1301</v>
      </c>
      <c r="B750" t="s">
        <v>1302</v>
      </c>
      <c r="C750" t="s">
        <v>1386</v>
      </c>
      <c r="D750" s="6" t="str">
        <f t="shared" si="11"/>
        <v>PROT:AAG02793.1</v>
      </c>
      <c r="E750" t="s">
        <v>1387</v>
      </c>
      <c r="F750" t="s">
        <v>197</v>
      </c>
      <c r="G750">
        <f>IF(ISERROR(MATCH(AllProtiens!F750,Genomes!$C:$C,0)),0,1)</f>
        <v>1</v>
      </c>
      <c r="H750">
        <f>IF(ISERROR(MATCH(AllProtiens!A750,CoreProteinGroups!B:B,0)),0,1)</f>
        <v>1</v>
      </c>
      <c r="J750" s="6" t="s">
        <v>198</v>
      </c>
    </row>
    <row r="751" spans="1:10" x14ac:dyDescent="0.2">
      <c r="A751" s="1" t="s">
        <v>1301</v>
      </c>
      <c r="B751" t="s">
        <v>1302</v>
      </c>
      <c r="C751" t="s">
        <v>1388</v>
      </c>
      <c r="D751" s="6" t="str">
        <f t="shared" si="11"/>
        <v>PROT:CCU55712.1</v>
      </c>
      <c r="E751" t="s">
        <v>1316</v>
      </c>
      <c r="F751" t="s">
        <v>200</v>
      </c>
      <c r="G751">
        <f>IF(ISERROR(MATCH(AllProtiens!F751,Genomes!$C:$C,0)),0,1)</f>
        <v>1</v>
      </c>
      <c r="H751">
        <f>IF(ISERROR(MATCH(AllProtiens!A751,CoreProteinGroups!B:B,0)),0,1)</f>
        <v>1</v>
      </c>
      <c r="J751" s="6" t="s">
        <v>201</v>
      </c>
    </row>
    <row r="752" spans="1:10" x14ac:dyDescent="0.2">
      <c r="A752" s="1" t="s">
        <v>1301</v>
      </c>
      <c r="B752" t="s">
        <v>1302</v>
      </c>
      <c r="C752" t="s">
        <v>1389</v>
      </c>
      <c r="D752" s="6" t="str">
        <f t="shared" si="11"/>
        <v>PROT:CCU56014.1</v>
      </c>
      <c r="E752" t="s">
        <v>1316</v>
      </c>
      <c r="F752" t="s">
        <v>203</v>
      </c>
      <c r="G752">
        <f>IF(ISERROR(MATCH(AllProtiens!F752,Genomes!$C:$C,0)),0,1)</f>
        <v>1</v>
      </c>
      <c r="H752">
        <f>IF(ISERROR(MATCH(AllProtiens!A752,CoreProteinGroups!B:B,0)),0,1)</f>
        <v>1</v>
      </c>
      <c r="J752" s="6" t="s">
        <v>204</v>
      </c>
    </row>
    <row r="753" spans="1:10" x14ac:dyDescent="0.2">
      <c r="A753" s="1" t="s">
        <v>1301</v>
      </c>
      <c r="B753" t="s">
        <v>1302</v>
      </c>
      <c r="C753" t="s">
        <v>1390</v>
      </c>
      <c r="D753" s="6" t="str">
        <f t="shared" si="11"/>
        <v>PROT:CCU56308.1</v>
      </c>
      <c r="E753" t="s">
        <v>1316</v>
      </c>
      <c r="F753" t="s">
        <v>206</v>
      </c>
      <c r="G753">
        <f>IF(ISERROR(MATCH(AllProtiens!F753,Genomes!$C:$C,0)),0,1)</f>
        <v>1</v>
      </c>
      <c r="H753">
        <f>IF(ISERROR(MATCH(AllProtiens!A753,CoreProteinGroups!B:B,0)),0,1)</f>
        <v>1</v>
      </c>
      <c r="J753" s="6" t="s">
        <v>207</v>
      </c>
    </row>
    <row r="754" spans="1:10" x14ac:dyDescent="0.2">
      <c r="A754" s="1" t="s">
        <v>1301</v>
      </c>
      <c r="B754" t="s">
        <v>1302</v>
      </c>
      <c r="C754" t="s">
        <v>1391</v>
      </c>
      <c r="D754" s="6" t="str">
        <f t="shared" si="11"/>
        <v>PROT:NP_659655.1</v>
      </c>
      <c r="E754" t="s">
        <v>1392</v>
      </c>
      <c r="F754" t="s">
        <v>210</v>
      </c>
      <c r="G754">
        <f>IF(ISERROR(MATCH(AllProtiens!F754,Genomes!$C:$C,0)),0,1)</f>
        <v>1</v>
      </c>
      <c r="H754">
        <f>IF(ISERROR(MATCH(AllProtiens!A754,CoreProteinGroups!B:B,0)),0,1)</f>
        <v>1</v>
      </c>
      <c r="J754" s="6" t="s">
        <v>211</v>
      </c>
    </row>
    <row r="755" spans="1:10" x14ac:dyDescent="0.2">
      <c r="A755" s="1" t="s">
        <v>1301</v>
      </c>
      <c r="B755" t="s">
        <v>1302</v>
      </c>
      <c r="C755" t="s">
        <v>1393</v>
      </c>
      <c r="D755" s="6" t="str">
        <f t="shared" si="11"/>
        <v>PROT:YP_001293274.1</v>
      </c>
      <c r="E755" t="s">
        <v>1394</v>
      </c>
      <c r="F755" t="s">
        <v>214</v>
      </c>
      <c r="G755">
        <f>IF(ISERROR(MATCH(AllProtiens!F755,Genomes!$C:$C,0)),0,1)</f>
        <v>1</v>
      </c>
      <c r="H755">
        <f>IF(ISERROR(MATCH(AllProtiens!A755,CoreProteinGroups!B:B,0)),0,1)</f>
        <v>1</v>
      </c>
      <c r="J755" s="6" t="s">
        <v>215</v>
      </c>
    </row>
    <row r="756" spans="1:10" x14ac:dyDescent="0.2">
      <c r="A756" s="1" t="s">
        <v>1395</v>
      </c>
      <c r="B756" t="s">
        <v>1396</v>
      </c>
      <c r="C756" t="s">
        <v>1397</v>
      </c>
      <c r="D756" s="6" t="str">
        <f t="shared" si="11"/>
        <v>PROT:ATI21193.1</v>
      </c>
      <c r="E756" t="s">
        <v>1398</v>
      </c>
      <c r="F756" t="s">
        <v>14</v>
      </c>
      <c r="G756">
        <f>IF(ISERROR(MATCH(AllProtiens!F756,Genomes!$C:$C,0)),0,1)</f>
        <v>1</v>
      </c>
      <c r="H756">
        <f>IF(ISERROR(MATCH(AllProtiens!A756,CoreProteinGroups!B:B,0)),0,1)</f>
        <v>1</v>
      </c>
      <c r="J756" s="6" t="s">
        <v>15</v>
      </c>
    </row>
    <row r="757" spans="1:10" x14ac:dyDescent="0.2">
      <c r="A757" s="1" t="s">
        <v>1395</v>
      </c>
      <c r="B757" t="s">
        <v>1396</v>
      </c>
      <c r="C757" t="s">
        <v>1399</v>
      </c>
      <c r="D757" s="6" t="str">
        <f t="shared" si="11"/>
        <v>PROT:AWU47127.1</v>
      </c>
      <c r="E757" t="s">
        <v>1400</v>
      </c>
      <c r="F757" t="s">
        <v>17</v>
      </c>
      <c r="G757">
        <f>IF(ISERROR(MATCH(AllProtiens!F757,Genomes!$C:$C,0)),0,1)</f>
        <v>1</v>
      </c>
      <c r="H757">
        <f>IF(ISERROR(MATCH(AllProtiens!A757,CoreProteinGroups!B:B,0)),0,1)</f>
        <v>1</v>
      </c>
      <c r="J757" s="6" t="s">
        <v>18</v>
      </c>
    </row>
    <row r="758" spans="1:10" x14ac:dyDescent="0.2">
      <c r="A758" s="1" t="s">
        <v>1395</v>
      </c>
      <c r="B758" t="s">
        <v>1396</v>
      </c>
      <c r="C758" t="s">
        <v>1401</v>
      </c>
      <c r="D758" s="6" t="str">
        <f t="shared" si="11"/>
        <v>PROT:APG58302.1</v>
      </c>
      <c r="E758" t="s">
        <v>1402</v>
      </c>
      <c r="F758" t="s">
        <v>21</v>
      </c>
      <c r="G758">
        <f>IF(ISERROR(MATCH(AllProtiens!F758,Genomes!$C:$C,0)),0,1)</f>
        <v>1</v>
      </c>
      <c r="H758">
        <f>IF(ISERROR(MATCH(AllProtiens!A758,CoreProteinGroups!B:B,0)),0,1)</f>
        <v>1</v>
      </c>
      <c r="J758" s="6" t="s">
        <v>22</v>
      </c>
    </row>
    <row r="759" spans="1:10" x14ac:dyDescent="0.2">
      <c r="A759" s="1" t="s">
        <v>1395</v>
      </c>
      <c r="B759" t="s">
        <v>1396</v>
      </c>
      <c r="C759" t="s">
        <v>1403</v>
      </c>
      <c r="D759" s="6" t="str">
        <f t="shared" si="11"/>
        <v>PROT:ADT91114.1</v>
      </c>
      <c r="E759" t="s">
        <v>1404</v>
      </c>
      <c r="F759" t="s">
        <v>25</v>
      </c>
      <c r="G759">
        <f>IF(ISERROR(MATCH(AllProtiens!F759,Genomes!$C:$C,0)),0,1)</f>
        <v>1</v>
      </c>
      <c r="H759">
        <f>IF(ISERROR(MATCH(AllProtiens!A759,CoreProteinGroups!B:B,0)),0,1)</f>
        <v>1</v>
      </c>
      <c r="J759" s="6" t="s">
        <v>26</v>
      </c>
    </row>
    <row r="760" spans="1:10" x14ac:dyDescent="0.2">
      <c r="A760" s="1" t="s">
        <v>1395</v>
      </c>
      <c r="B760" t="s">
        <v>1396</v>
      </c>
      <c r="C760" t="s">
        <v>1405</v>
      </c>
      <c r="D760" s="6" t="str">
        <f t="shared" si="11"/>
        <v>PROT:ANS71171.1</v>
      </c>
      <c r="E760" t="s">
        <v>1406</v>
      </c>
      <c r="F760" t="s">
        <v>28</v>
      </c>
      <c r="G760">
        <f>IF(ISERROR(MATCH(AllProtiens!F760,Genomes!$C:$C,0)),0,1)</f>
        <v>1</v>
      </c>
      <c r="H760">
        <f>IF(ISERROR(MATCH(AllProtiens!A760,CoreProteinGroups!B:B,0)),0,1)</f>
        <v>1</v>
      </c>
      <c r="J760" s="6" t="s">
        <v>29</v>
      </c>
    </row>
    <row r="761" spans="1:10" x14ac:dyDescent="0.2">
      <c r="A761" s="1" t="s">
        <v>1395</v>
      </c>
      <c r="B761" t="s">
        <v>1396</v>
      </c>
      <c r="C761" t="s">
        <v>1407</v>
      </c>
      <c r="D761" s="6" t="str">
        <f t="shared" si="11"/>
        <v>PROT:AKR04214.1</v>
      </c>
      <c r="E761" t="s">
        <v>1408</v>
      </c>
      <c r="F761" t="s">
        <v>32</v>
      </c>
      <c r="G761">
        <f>IF(ISERROR(MATCH(AllProtiens!F761,Genomes!$C:$C,0)),0,1)</f>
        <v>1</v>
      </c>
      <c r="H761">
        <f>IF(ISERROR(MATCH(AllProtiens!A761,CoreProteinGroups!B:B,0)),0,1)</f>
        <v>1</v>
      </c>
      <c r="J761" s="6" t="s">
        <v>33</v>
      </c>
    </row>
    <row r="762" spans="1:10" x14ac:dyDescent="0.2">
      <c r="A762" s="1" t="s">
        <v>1395</v>
      </c>
      <c r="B762" t="s">
        <v>1396</v>
      </c>
      <c r="C762" t="s">
        <v>1409</v>
      </c>
      <c r="D762" s="6" t="str">
        <f t="shared" si="11"/>
        <v>PROT:CCD83260.1</v>
      </c>
      <c r="E762" t="s">
        <v>925</v>
      </c>
      <c r="F762" t="s">
        <v>36</v>
      </c>
      <c r="G762">
        <f>IF(ISERROR(MATCH(AllProtiens!F762,Genomes!$C:$C,0)),0,1)</f>
        <v>1</v>
      </c>
      <c r="H762">
        <f>IF(ISERROR(MATCH(AllProtiens!A762,CoreProteinGroups!B:B,0)),0,1)</f>
        <v>1</v>
      </c>
      <c r="J762" s="6" t="s">
        <v>37</v>
      </c>
    </row>
    <row r="763" spans="1:10" x14ac:dyDescent="0.2">
      <c r="A763" s="1" t="s">
        <v>1395</v>
      </c>
      <c r="B763" t="s">
        <v>1396</v>
      </c>
      <c r="C763" t="s">
        <v>1410</v>
      </c>
      <c r="D763" s="6" t="str">
        <f t="shared" si="11"/>
        <v>PROT:ASK51289.1</v>
      </c>
      <c r="E763" t="s">
        <v>1411</v>
      </c>
      <c r="F763" t="s">
        <v>40</v>
      </c>
      <c r="G763">
        <f>IF(ISERROR(MATCH(AllProtiens!F763,Genomes!$C:$C,0)),0,1)</f>
        <v>1</v>
      </c>
      <c r="H763">
        <f>IF(ISERROR(MATCH(AllProtiens!A763,CoreProteinGroups!B:B,0)),0,1)</f>
        <v>1</v>
      </c>
      <c r="J763" s="6" t="s">
        <v>41</v>
      </c>
    </row>
    <row r="764" spans="1:10" x14ac:dyDescent="0.2">
      <c r="A764" s="1" t="s">
        <v>1395</v>
      </c>
      <c r="B764" t="s">
        <v>1396</v>
      </c>
      <c r="C764" t="s">
        <v>1412</v>
      </c>
      <c r="D764" s="6" t="str">
        <f t="shared" si="11"/>
        <v>PROT:AUD40159.1</v>
      </c>
      <c r="E764" t="s">
        <v>1413</v>
      </c>
      <c r="F764" t="s">
        <v>43</v>
      </c>
      <c r="G764">
        <f>IF(ISERROR(MATCH(AllProtiens!F764,Genomes!$C:$C,0)),0,1)</f>
        <v>1</v>
      </c>
      <c r="H764">
        <f>IF(ISERROR(MATCH(AllProtiens!A764,CoreProteinGroups!B:B,0)),0,1)</f>
        <v>1</v>
      </c>
      <c r="J764" s="6" t="s">
        <v>44</v>
      </c>
    </row>
    <row r="765" spans="1:10" x14ac:dyDescent="0.2">
      <c r="A765" s="1" t="s">
        <v>1395</v>
      </c>
      <c r="B765" t="s">
        <v>1396</v>
      </c>
      <c r="C765" t="s">
        <v>1414</v>
      </c>
      <c r="D765" s="6" t="str">
        <f t="shared" si="11"/>
        <v>PROT:AID46799.1</v>
      </c>
      <c r="E765" t="s">
        <v>1415</v>
      </c>
      <c r="F765" t="s">
        <v>46</v>
      </c>
      <c r="G765">
        <f>IF(ISERROR(MATCH(AllProtiens!F765,Genomes!$C:$C,0)),0,1)</f>
        <v>1</v>
      </c>
      <c r="H765">
        <f>IF(ISERROR(MATCH(AllProtiens!A765,CoreProteinGroups!B:B,0)),0,1)</f>
        <v>1</v>
      </c>
      <c r="J765" s="6" t="s">
        <v>47</v>
      </c>
    </row>
    <row r="766" spans="1:10" x14ac:dyDescent="0.2">
      <c r="A766" s="1" t="s">
        <v>1395</v>
      </c>
      <c r="B766" t="s">
        <v>1396</v>
      </c>
      <c r="C766" t="s">
        <v>1416</v>
      </c>
      <c r="D766" s="6" t="str">
        <f t="shared" si="11"/>
        <v>PROT:AID46570.1</v>
      </c>
      <c r="E766" t="s">
        <v>1415</v>
      </c>
      <c r="F766" t="s">
        <v>49</v>
      </c>
      <c r="G766">
        <f>IF(ISERROR(MATCH(AllProtiens!F766,Genomes!$C:$C,0)),0,1)</f>
        <v>1</v>
      </c>
      <c r="H766">
        <f>IF(ISERROR(MATCH(AllProtiens!A766,CoreProteinGroups!B:B,0)),0,1)</f>
        <v>1</v>
      </c>
      <c r="J766" s="6" t="s">
        <v>50</v>
      </c>
    </row>
    <row r="767" spans="1:10" x14ac:dyDescent="0.2">
      <c r="A767" s="1" t="s">
        <v>1395</v>
      </c>
      <c r="B767" t="s">
        <v>1396</v>
      </c>
      <c r="C767" t="s">
        <v>1417</v>
      </c>
      <c r="D767" s="6" t="str">
        <f t="shared" si="11"/>
        <v>PROT:ALA62408.1</v>
      </c>
      <c r="E767" t="s">
        <v>1418</v>
      </c>
      <c r="F767" t="s">
        <v>53</v>
      </c>
      <c r="G767">
        <f>IF(ISERROR(MATCH(AllProtiens!F767,Genomes!$C:$C,0)),0,1)</f>
        <v>1</v>
      </c>
      <c r="H767">
        <f>IF(ISERROR(MATCH(AllProtiens!A767,CoreProteinGroups!B:B,0)),0,1)</f>
        <v>1</v>
      </c>
      <c r="J767" s="6" t="s">
        <v>54</v>
      </c>
    </row>
    <row r="768" spans="1:10" x14ac:dyDescent="0.2">
      <c r="A768" s="1" t="s">
        <v>1395</v>
      </c>
      <c r="B768" t="s">
        <v>1396</v>
      </c>
      <c r="C768" t="s">
        <v>1419</v>
      </c>
      <c r="D768" s="6" t="str">
        <f t="shared" si="11"/>
        <v>PROT:AAR83426.1</v>
      </c>
      <c r="E768" t="s">
        <v>1420</v>
      </c>
      <c r="F768" t="s">
        <v>57</v>
      </c>
      <c r="G768">
        <f>IF(ISERROR(MATCH(AllProtiens!F768,Genomes!$C:$C,0)),0,1)</f>
        <v>1</v>
      </c>
      <c r="H768">
        <f>IF(ISERROR(MATCH(AllProtiens!A768,CoreProteinGroups!B:B,0)),0,1)</f>
        <v>1</v>
      </c>
      <c r="J768" s="6" t="s">
        <v>58</v>
      </c>
    </row>
    <row r="769" spans="1:10" x14ac:dyDescent="0.2">
      <c r="A769" s="1" t="s">
        <v>1395</v>
      </c>
      <c r="B769" t="s">
        <v>1396</v>
      </c>
      <c r="C769" t="s">
        <v>1421</v>
      </c>
      <c r="D769" s="6" t="str">
        <f t="shared" si="11"/>
        <v>PROT:AAF44401.1</v>
      </c>
      <c r="E769" t="s">
        <v>1422</v>
      </c>
      <c r="F769" t="s">
        <v>61</v>
      </c>
      <c r="G769">
        <f>IF(ISERROR(MATCH(AllProtiens!F769,Genomes!$C:$C,0)),0,1)</f>
        <v>1</v>
      </c>
      <c r="H769">
        <f>IF(ISERROR(MATCH(AllProtiens!A769,CoreProteinGroups!B:B,0)),0,1)</f>
        <v>1</v>
      </c>
      <c r="J769" s="6" t="s">
        <v>62</v>
      </c>
    </row>
    <row r="770" spans="1:10" x14ac:dyDescent="0.2">
      <c r="A770" s="1" t="s">
        <v>1395</v>
      </c>
      <c r="B770" t="s">
        <v>1396</v>
      </c>
      <c r="C770" t="s">
        <v>1423</v>
      </c>
      <c r="D770" s="6" t="str">
        <f t="shared" ref="D770:D833" si="12">HYPERLINK(_xlfn.CONCAT("https://www.ncbi.nlm.nih.gov/protein/",C770),_xlfn.CONCAT("PROT:",C770))</f>
        <v>PROT:AAK85045.1</v>
      </c>
      <c r="E770" t="s">
        <v>1424</v>
      </c>
      <c r="F770" t="s">
        <v>65</v>
      </c>
      <c r="G770">
        <f>IF(ISERROR(MATCH(AllProtiens!F770,Genomes!$C:$C,0)),0,1)</f>
        <v>1</v>
      </c>
      <c r="H770">
        <f>IF(ISERROR(MATCH(AllProtiens!A770,CoreProteinGroups!B:B,0)),0,1)</f>
        <v>1</v>
      </c>
      <c r="J770" s="6" t="s">
        <v>66</v>
      </c>
    </row>
    <row r="771" spans="1:10" x14ac:dyDescent="0.2">
      <c r="A771" s="1" t="s">
        <v>1395</v>
      </c>
      <c r="B771" t="s">
        <v>1396</v>
      </c>
      <c r="C771" t="s">
        <v>1425</v>
      </c>
      <c r="D771" s="6" t="str">
        <f t="shared" si="12"/>
        <v>PROT:AST09302.1</v>
      </c>
      <c r="E771" t="s">
        <v>941</v>
      </c>
      <c r="F771" t="s">
        <v>68</v>
      </c>
      <c r="G771">
        <f>IF(ISERROR(MATCH(AllProtiens!F771,Genomes!$C:$C,0)),0,1)</f>
        <v>1</v>
      </c>
      <c r="H771">
        <f>IF(ISERROR(MATCH(AllProtiens!A771,CoreProteinGroups!B:B,0)),0,1)</f>
        <v>1</v>
      </c>
      <c r="J771" s="6" t="s">
        <v>69</v>
      </c>
    </row>
    <row r="772" spans="1:10" x14ac:dyDescent="0.2">
      <c r="A772" s="1" t="s">
        <v>1395</v>
      </c>
      <c r="B772" t="s">
        <v>1396</v>
      </c>
      <c r="C772" t="s">
        <v>1426</v>
      </c>
      <c r="D772" s="6" t="str">
        <f t="shared" si="12"/>
        <v>PROT:AEN03681.1</v>
      </c>
      <c r="E772" t="s">
        <v>941</v>
      </c>
      <c r="F772" t="s">
        <v>71</v>
      </c>
      <c r="G772">
        <f>IF(ISERROR(MATCH(AllProtiens!F772,Genomes!$C:$C,0)),0,1)</f>
        <v>1</v>
      </c>
      <c r="H772">
        <f>IF(ISERROR(MATCH(AllProtiens!A772,CoreProteinGroups!B:B,0)),0,1)</f>
        <v>1</v>
      </c>
      <c r="J772" s="6" t="s">
        <v>72</v>
      </c>
    </row>
    <row r="773" spans="1:10" x14ac:dyDescent="0.2">
      <c r="A773" s="1" t="s">
        <v>1395</v>
      </c>
      <c r="B773" t="s">
        <v>1396</v>
      </c>
      <c r="C773" t="s">
        <v>1427</v>
      </c>
      <c r="D773" s="6" t="str">
        <f t="shared" si="12"/>
        <v>PROT:ABI99248.1</v>
      </c>
      <c r="E773" t="s">
        <v>1428</v>
      </c>
      <c r="F773" t="s">
        <v>74</v>
      </c>
      <c r="G773">
        <f>IF(ISERROR(MATCH(AllProtiens!F773,Genomes!$C:$C,0)),0,1)</f>
        <v>1</v>
      </c>
      <c r="H773">
        <f>IF(ISERROR(MATCH(AllProtiens!A773,CoreProteinGroups!B:B,0)),0,1)</f>
        <v>1</v>
      </c>
      <c r="J773" s="6" t="s">
        <v>75</v>
      </c>
    </row>
    <row r="774" spans="1:10" x14ac:dyDescent="0.2">
      <c r="A774" s="1" t="s">
        <v>1395</v>
      </c>
      <c r="B774" t="s">
        <v>1396</v>
      </c>
      <c r="C774" t="s">
        <v>1429</v>
      </c>
      <c r="D774" s="6" t="str">
        <f t="shared" si="12"/>
        <v>PROT:ABJ09005.1</v>
      </c>
      <c r="E774" t="s">
        <v>1413</v>
      </c>
      <c r="F774" t="s">
        <v>77</v>
      </c>
      <c r="G774">
        <f>IF(ISERROR(MATCH(AllProtiens!F774,Genomes!$C:$C,0)),0,1)</f>
        <v>1</v>
      </c>
      <c r="H774">
        <f>IF(ISERROR(MATCH(AllProtiens!A774,CoreProteinGroups!B:B,0)),0,1)</f>
        <v>1</v>
      </c>
      <c r="J774" s="6" t="s">
        <v>78</v>
      </c>
    </row>
    <row r="775" spans="1:10" x14ac:dyDescent="0.2">
      <c r="A775" s="1" t="s">
        <v>1395</v>
      </c>
      <c r="B775" t="s">
        <v>1396</v>
      </c>
      <c r="C775" t="s">
        <v>1430</v>
      </c>
      <c r="D775" s="6" t="str">
        <f t="shared" si="12"/>
        <v>PROT:AAF14969.1</v>
      </c>
      <c r="E775" t="s">
        <v>1431</v>
      </c>
      <c r="F775" t="s">
        <v>81</v>
      </c>
      <c r="G775">
        <f>IF(ISERROR(MATCH(AllProtiens!F775,Genomes!$C:$C,0)),0,1)</f>
        <v>0</v>
      </c>
      <c r="H775">
        <f>IF(ISERROR(MATCH(AllProtiens!A775,CoreProteinGroups!B:B,0)),0,1)</f>
        <v>1</v>
      </c>
      <c r="J775" s="6" t="s">
        <v>82</v>
      </c>
    </row>
    <row r="776" spans="1:10" x14ac:dyDescent="0.2">
      <c r="A776" s="1" t="s">
        <v>1395</v>
      </c>
      <c r="B776" t="s">
        <v>1396</v>
      </c>
      <c r="C776" t="s">
        <v>1432</v>
      </c>
      <c r="D776" s="6" t="str">
        <f t="shared" si="12"/>
        <v>PROT:AFU77345.1</v>
      </c>
      <c r="E776" t="s">
        <v>1431</v>
      </c>
      <c r="F776" t="s">
        <v>81</v>
      </c>
      <c r="G776">
        <f>IF(ISERROR(MATCH(AllProtiens!F776,Genomes!$C:$C,0)),0,1)</f>
        <v>0</v>
      </c>
      <c r="H776">
        <f>IF(ISERROR(MATCH(AllProtiens!A776,CoreProteinGroups!B:B,0)),0,1)</f>
        <v>1</v>
      </c>
      <c r="J776" s="6" t="s">
        <v>82</v>
      </c>
    </row>
    <row r="777" spans="1:10" x14ac:dyDescent="0.2">
      <c r="A777" s="1" t="s">
        <v>1395</v>
      </c>
      <c r="B777" t="s">
        <v>1396</v>
      </c>
      <c r="C777" t="s">
        <v>1433</v>
      </c>
      <c r="D777" s="6" t="str">
        <f t="shared" si="12"/>
        <v>PROT:AAF17965.1</v>
      </c>
      <c r="E777" t="s">
        <v>1434</v>
      </c>
      <c r="F777" t="s">
        <v>86</v>
      </c>
      <c r="G777">
        <f>IF(ISERROR(MATCH(AllProtiens!F777,Genomes!$C:$C,0)),0,1)</f>
        <v>1</v>
      </c>
      <c r="H777">
        <f>IF(ISERROR(MATCH(AllProtiens!A777,CoreProteinGroups!B:B,0)),0,1)</f>
        <v>1</v>
      </c>
      <c r="J777" s="6" t="s">
        <v>87</v>
      </c>
    </row>
    <row r="778" spans="1:10" x14ac:dyDescent="0.2">
      <c r="A778" s="1" t="s">
        <v>1395</v>
      </c>
      <c r="B778" t="s">
        <v>1396</v>
      </c>
      <c r="C778" t="s">
        <v>1435</v>
      </c>
      <c r="D778" s="6" t="str">
        <f t="shared" si="12"/>
        <v>PROT:AAC55223.1</v>
      </c>
      <c r="E778" t="s">
        <v>1436</v>
      </c>
      <c r="F778" t="s">
        <v>90</v>
      </c>
      <c r="G778">
        <f>IF(ISERROR(MATCH(AllProtiens!F778,Genomes!$C:$C,0)),0,1)</f>
        <v>1</v>
      </c>
      <c r="H778">
        <f>IF(ISERROR(MATCH(AllProtiens!A778,CoreProteinGroups!B:B,0)),0,1)</f>
        <v>1</v>
      </c>
      <c r="J778" s="6" t="s">
        <v>91</v>
      </c>
    </row>
    <row r="779" spans="1:10" x14ac:dyDescent="0.2">
      <c r="A779" s="1" t="s">
        <v>1395</v>
      </c>
      <c r="B779" t="s">
        <v>1396</v>
      </c>
      <c r="C779" t="s">
        <v>1437</v>
      </c>
      <c r="D779" s="6" t="str">
        <f t="shared" si="12"/>
        <v>PROT:AYN64677.1</v>
      </c>
      <c r="E779" t="s">
        <v>1438</v>
      </c>
      <c r="F779" t="s">
        <v>94</v>
      </c>
      <c r="G779">
        <f>IF(ISERROR(MATCH(AllProtiens!F779,Genomes!$C:$C,0)),0,1)</f>
        <v>1</v>
      </c>
      <c r="H779">
        <f>IF(ISERROR(MATCH(AllProtiens!A779,CoreProteinGroups!B:B,0)),0,1)</f>
        <v>1</v>
      </c>
      <c r="J779" s="6" t="s">
        <v>95</v>
      </c>
    </row>
    <row r="780" spans="1:10" x14ac:dyDescent="0.2">
      <c r="A780" s="1" t="s">
        <v>1395</v>
      </c>
      <c r="B780" t="s">
        <v>1396</v>
      </c>
      <c r="C780" t="s">
        <v>1439</v>
      </c>
      <c r="D780" s="6" t="str">
        <f t="shared" si="12"/>
        <v>PROT:AXN74905.1</v>
      </c>
      <c r="E780" t="s">
        <v>925</v>
      </c>
      <c r="F780" t="s">
        <v>97</v>
      </c>
      <c r="G780">
        <f>IF(ISERROR(MATCH(AllProtiens!F780,Genomes!$C:$C,0)),0,1)</f>
        <v>1</v>
      </c>
      <c r="H780">
        <f>IF(ISERROR(MATCH(AllProtiens!A780,CoreProteinGroups!B:B,0)),0,1)</f>
        <v>1</v>
      </c>
      <c r="J780" s="6" t="s">
        <v>98</v>
      </c>
    </row>
    <row r="781" spans="1:10" x14ac:dyDescent="0.2">
      <c r="A781" s="1" t="s">
        <v>1395</v>
      </c>
      <c r="B781" t="s">
        <v>1396</v>
      </c>
      <c r="C781" t="s">
        <v>1440</v>
      </c>
      <c r="D781" s="6" t="str">
        <f t="shared" si="12"/>
        <v>PROT:ABH08218.1</v>
      </c>
      <c r="E781" t="s">
        <v>1441</v>
      </c>
      <c r="F781" t="s">
        <v>101</v>
      </c>
      <c r="G781">
        <f>IF(ISERROR(MATCH(AllProtiens!F781,Genomes!$C:$C,0)),0,1)</f>
        <v>1</v>
      </c>
      <c r="H781">
        <f>IF(ISERROR(MATCH(AllProtiens!A781,CoreProteinGroups!B:B,0)),0,1)</f>
        <v>1</v>
      </c>
      <c r="J781" s="6" t="s">
        <v>102</v>
      </c>
    </row>
    <row r="782" spans="1:10" x14ac:dyDescent="0.2">
      <c r="A782" s="1" t="s">
        <v>1395</v>
      </c>
      <c r="B782" t="s">
        <v>1396</v>
      </c>
      <c r="C782" t="s">
        <v>1442</v>
      </c>
      <c r="D782" s="6" t="str">
        <f t="shared" si="12"/>
        <v>PROT:AAG37586.1</v>
      </c>
      <c r="E782" t="s">
        <v>1443</v>
      </c>
      <c r="F782" t="s">
        <v>105</v>
      </c>
      <c r="G782">
        <f>IF(ISERROR(MATCH(AllProtiens!F782,Genomes!$C:$C,0)),0,1)</f>
        <v>1</v>
      </c>
      <c r="H782">
        <f>IF(ISERROR(MATCH(AllProtiens!A782,CoreProteinGroups!B:B,0)),0,1)</f>
        <v>1</v>
      </c>
      <c r="J782" s="6" t="s">
        <v>106</v>
      </c>
    </row>
    <row r="783" spans="1:10" x14ac:dyDescent="0.2">
      <c r="A783" s="1" t="s">
        <v>1395</v>
      </c>
      <c r="B783" t="s">
        <v>1396</v>
      </c>
      <c r="C783" t="s">
        <v>1444</v>
      </c>
      <c r="D783" s="6" t="str">
        <f t="shared" si="12"/>
        <v>PROT:AAL73816.1</v>
      </c>
      <c r="E783" t="s">
        <v>1445</v>
      </c>
      <c r="F783" t="s">
        <v>109</v>
      </c>
      <c r="G783">
        <f>IF(ISERROR(MATCH(AllProtiens!F783,Genomes!$C:$C,0)),0,1)</f>
        <v>1</v>
      </c>
      <c r="H783">
        <f>IF(ISERROR(MATCH(AllProtiens!A783,CoreProteinGroups!B:B,0)),0,1)</f>
        <v>1</v>
      </c>
      <c r="J783" s="6" t="s">
        <v>110</v>
      </c>
    </row>
    <row r="784" spans="1:10" x14ac:dyDescent="0.2">
      <c r="A784" s="1" t="s">
        <v>1395</v>
      </c>
      <c r="B784" t="s">
        <v>1396</v>
      </c>
      <c r="C784" t="s">
        <v>1446</v>
      </c>
      <c r="D784" s="6" t="str">
        <f t="shared" si="12"/>
        <v>PROT:AAM13565.1</v>
      </c>
      <c r="E784" t="s">
        <v>1447</v>
      </c>
      <c r="F784" t="s">
        <v>113</v>
      </c>
      <c r="G784">
        <f>IF(ISERROR(MATCH(AllProtiens!F784,Genomes!$C:$C,0)),0,1)</f>
        <v>1</v>
      </c>
      <c r="H784">
        <f>IF(ISERROR(MATCH(AllProtiens!A784,CoreProteinGroups!B:B,0)),0,1)</f>
        <v>1</v>
      </c>
      <c r="J784" s="6" t="s">
        <v>114</v>
      </c>
    </row>
    <row r="785" spans="1:10" x14ac:dyDescent="0.2">
      <c r="A785" s="1" t="s">
        <v>1395</v>
      </c>
      <c r="B785" t="s">
        <v>1396</v>
      </c>
      <c r="C785" t="s">
        <v>1448</v>
      </c>
      <c r="D785" s="6" t="str">
        <f t="shared" si="12"/>
        <v>PROT:AAM92399.1</v>
      </c>
      <c r="E785" t="s">
        <v>1449</v>
      </c>
      <c r="F785" t="s">
        <v>117</v>
      </c>
      <c r="G785">
        <f>IF(ISERROR(MATCH(AllProtiens!F785,Genomes!$C:$C,0)),0,1)</f>
        <v>1</v>
      </c>
      <c r="H785">
        <f>IF(ISERROR(MATCH(AllProtiens!A785,CoreProteinGroups!B:B,0)),0,1)</f>
        <v>1</v>
      </c>
      <c r="J785" s="6" t="s">
        <v>118</v>
      </c>
    </row>
    <row r="786" spans="1:10" x14ac:dyDescent="0.2">
      <c r="A786" s="1" t="s">
        <v>1395</v>
      </c>
      <c r="B786" t="s">
        <v>1396</v>
      </c>
      <c r="C786" t="s">
        <v>1450</v>
      </c>
      <c r="D786" s="6" t="str">
        <f t="shared" si="12"/>
        <v>PROT:AFH54658.1</v>
      </c>
      <c r="E786" t="s">
        <v>1404</v>
      </c>
      <c r="F786" t="s">
        <v>120</v>
      </c>
      <c r="G786">
        <f>IF(ISERROR(MATCH(AllProtiens!F786,Genomes!$C:$C,0)),0,1)</f>
        <v>1</v>
      </c>
      <c r="H786">
        <f>IF(ISERROR(MATCH(AllProtiens!A786,CoreProteinGroups!B:B,0)),0,1)</f>
        <v>1</v>
      </c>
      <c r="J786" s="6" t="s">
        <v>121</v>
      </c>
    </row>
    <row r="787" spans="1:10" x14ac:dyDescent="0.2">
      <c r="A787" s="1" t="s">
        <v>1395</v>
      </c>
      <c r="B787" t="s">
        <v>1396</v>
      </c>
      <c r="C787" t="s">
        <v>1451</v>
      </c>
      <c r="D787" s="6" t="str">
        <f t="shared" si="12"/>
        <v>PROT:AAL40561.1</v>
      </c>
      <c r="E787" t="s">
        <v>1452</v>
      </c>
      <c r="F787" t="s">
        <v>124</v>
      </c>
      <c r="G787">
        <f>IF(ISERROR(MATCH(AllProtiens!F787,Genomes!$C:$C,0)),0,1)</f>
        <v>1</v>
      </c>
      <c r="H787">
        <f>IF(ISERROR(MATCH(AllProtiens!A787,CoreProteinGroups!B:B,0)),0,1)</f>
        <v>1</v>
      </c>
      <c r="J787" s="6" t="s">
        <v>125</v>
      </c>
    </row>
    <row r="788" spans="1:10" x14ac:dyDescent="0.2">
      <c r="A788" s="1" t="s">
        <v>1395</v>
      </c>
      <c r="B788" t="s">
        <v>1396</v>
      </c>
      <c r="C788" t="s">
        <v>1453</v>
      </c>
      <c r="D788" s="6" t="str">
        <f t="shared" si="12"/>
        <v>PROT:AAX09198.1</v>
      </c>
      <c r="E788" t="s">
        <v>1454</v>
      </c>
      <c r="F788" t="s">
        <v>128</v>
      </c>
      <c r="G788">
        <f>IF(ISERROR(MATCH(AllProtiens!F788,Genomes!$C:$C,0)),0,1)</f>
        <v>1</v>
      </c>
      <c r="H788">
        <f>IF(ISERROR(MATCH(AllProtiens!A788,CoreProteinGroups!B:B,0)),0,1)</f>
        <v>1</v>
      </c>
      <c r="J788" s="6" t="s">
        <v>129</v>
      </c>
    </row>
    <row r="789" spans="1:10" x14ac:dyDescent="0.2">
      <c r="A789" s="1" t="s">
        <v>1395</v>
      </c>
      <c r="B789" t="s">
        <v>1396</v>
      </c>
      <c r="C789" t="s">
        <v>1455</v>
      </c>
      <c r="D789" s="6" t="str">
        <f t="shared" si="12"/>
        <v>PROT:AKJ93740.1</v>
      </c>
      <c r="E789" t="s">
        <v>1456</v>
      </c>
      <c r="F789" t="s">
        <v>131</v>
      </c>
      <c r="G789">
        <f>IF(ISERROR(MATCH(AllProtiens!F789,Genomes!$C:$C,0)),0,1)</f>
        <v>1</v>
      </c>
      <c r="H789">
        <f>IF(ISERROR(MATCH(AllProtiens!A789,CoreProteinGroups!B:B,0)),0,1)</f>
        <v>1</v>
      </c>
      <c r="J789" s="6" t="s">
        <v>132</v>
      </c>
    </row>
    <row r="790" spans="1:10" x14ac:dyDescent="0.2">
      <c r="A790" s="1" t="s">
        <v>1395</v>
      </c>
      <c r="B790" t="s">
        <v>1396</v>
      </c>
      <c r="C790" t="s">
        <v>1457</v>
      </c>
      <c r="D790" s="6" t="str">
        <f t="shared" si="12"/>
        <v>PROT:AOP31589.1</v>
      </c>
      <c r="E790" t="s">
        <v>1458</v>
      </c>
      <c r="F790" t="s">
        <v>134</v>
      </c>
      <c r="G790">
        <f>IF(ISERROR(MATCH(AllProtiens!F790,Genomes!$C:$C,0)),0,1)</f>
        <v>1</v>
      </c>
      <c r="H790">
        <f>IF(ISERROR(MATCH(AllProtiens!A790,CoreProteinGroups!B:B,0)),0,1)</f>
        <v>1</v>
      </c>
      <c r="J790" s="6" t="s">
        <v>135</v>
      </c>
    </row>
    <row r="791" spans="1:10" x14ac:dyDescent="0.2">
      <c r="A791" s="1" t="s">
        <v>1395</v>
      </c>
      <c r="B791" t="s">
        <v>1396</v>
      </c>
      <c r="C791" t="s">
        <v>1459</v>
      </c>
      <c r="D791" s="6" t="str">
        <f t="shared" si="12"/>
        <v>PROT:ABD97679.1</v>
      </c>
      <c r="E791" t="s">
        <v>1460</v>
      </c>
      <c r="F791" t="s">
        <v>137</v>
      </c>
      <c r="G791">
        <f>IF(ISERROR(MATCH(AllProtiens!F791,Genomes!$C:$C,0)),0,1)</f>
        <v>1</v>
      </c>
      <c r="H791">
        <f>IF(ISERROR(MATCH(AllProtiens!A791,CoreProteinGroups!B:B,0)),0,1)</f>
        <v>1</v>
      </c>
      <c r="J791" s="6" t="s">
        <v>138</v>
      </c>
    </row>
    <row r="792" spans="1:10" x14ac:dyDescent="0.2">
      <c r="A792" s="1" t="s">
        <v>1395</v>
      </c>
      <c r="B792" t="s">
        <v>1396</v>
      </c>
      <c r="C792" t="s">
        <v>1461</v>
      </c>
      <c r="D792" s="6" t="str">
        <f t="shared" si="12"/>
        <v>PROT:AAO89390.1</v>
      </c>
      <c r="E792" t="s">
        <v>1462</v>
      </c>
      <c r="F792" t="s">
        <v>140</v>
      </c>
      <c r="G792">
        <f>IF(ISERROR(MATCH(AllProtiens!F792,Genomes!$C:$C,0)),0,1)</f>
        <v>1</v>
      </c>
      <c r="H792">
        <f>IF(ISERROR(MATCH(AllProtiens!A792,CoreProteinGroups!B:B,0)),0,1)</f>
        <v>1</v>
      </c>
      <c r="J792" s="6" t="s">
        <v>141</v>
      </c>
    </row>
    <row r="793" spans="1:10" x14ac:dyDescent="0.2">
      <c r="A793" s="1" t="s">
        <v>1395</v>
      </c>
      <c r="B793" t="s">
        <v>1396</v>
      </c>
      <c r="C793" t="s">
        <v>1463</v>
      </c>
      <c r="D793" s="6" t="str">
        <f t="shared" si="12"/>
        <v>PROT:CAA49037.1</v>
      </c>
      <c r="E793" t="s">
        <v>1464</v>
      </c>
      <c r="F793" t="s">
        <v>144</v>
      </c>
      <c r="G793">
        <f>IF(ISERROR(MATCH(AllProtiens!F793,Genomes!$C:$C,0)),0,1)</f>
        <v>1</v>
      </c>
      <c r="H793">
        <f>IF(ISERROR(MATCH(AllProtiens!A793,CoreProteinGroups!B:B,0)),0,1)</f>
        <v>1</v>
      </c>
      <c r="J793" s="6" t="s">
        <v>145</v>
      </c>
    </row>
    <row r="794" spans="1:10" x14ac:dyDescent="0.2">
      <c r="A794" s="1" t="s">
        <v>1395</v>
      </c>
      <c r="B794" t="s">
        <v>1396</v>
      </c>
      <c r="C794" t="s">
        <v>1465</v>
      </c>
      <c r="D794" s="6" t="str">
        <f t="shared" si="12"/>
        <v>PROT:CAB54696.1</v>
      </c>
      <c r="E794" t="s">
        <v>1466</v>
      </c>
      <c r="F794" t="s">
        <v>148</v>
      </c>
      <c r="G794">
        <f>IF(ISERROR(MATCH(AllProtiens!F794,Genomes!$C:$C,0)),0,1)</f>
        <v>1</v>
      </c>
      <c r="H794">
        <f>IF(ISERROR(MATCH(AllProtiens!A794,CoreProteinGroups!B:B,0)),0,1)</f>
        <v>1</v>
      </c>
      <c r="J794" s="6" t="s">
        <v>149</v>
      </c>
    </row>
    <row r="795" spans="1:10" x14ac:dyDescent="0.2">
      <c r="A795" s="1" t="s">
        <v>1395</v>
      </c>
      <c r="B795" t="s">
        <v>1396</v>
      </c>
      <c r="C795" t="s">
        <v>1467</v>
      </c>
      <c r="D795" s="6" t="str">
        <f t="shared" si="12"/>
        <v>PROT:AOP31800.1</v>
      </c>
      <c r="E795" t="s">
        <v>1458</v>
      </c>
      <c r="F795" t="s">
        <v>151</v>
      </c>
      <c r="G795">
        <f>IF(ISERROR(MATCH(AllProtiens!F795,Genomes!$C:$C,0)),0,1)</f>
        <v>1</v>
      </c>
      <c r="H795">
        <f>IF(ISERROR(MATCH(AllProtiens!A795,CoreProteinGroups!B:B,0)),0,1)</f>
        <v>1</v>
      </c>
      <c r="J795" s="6" t="s">
        <v>152</v>
      </c>
    </row>
    <row r="796" spans="1:10" x14ac:dyDescent="0.2">
      <c r="A796" s="1" t="s">
        <v>1395</v>
      </c>
      <c r="B796" t="s">
        <v>1396</v>
      </c>
      <c r="C796" t="s">
        <v>1468</v>
      </c>
      <c r="D796" s="6" t="str">
        <f t="shared" si="12"/>
        <v>PROT:ASC55571.1</v>
      </c>
      <c r="E796" t="s">
        <v>1469</v>
      </c>
      <c r="F796" t="s">
        <v>155</v>
      </c>
      <c r="G796">
        <f>IF(ISERROR(MATCH(AllProtiens!F796,Genomes!$C:$C,0)),0,1)</f>
        <v>1</v>
      </c>
      <c r="H796">
        <f>IF(ISERROR(MATCH(AllProtiens!A796,CoreProteinGroups!B:B,0)),0,1)</f>
        <v>1</v>
      </c>
      <c r="J796" s="6" t="s">
        <v>156</v>
      </c>
    </row>
    <row r="797" spans="1:10" x14ac:dyDescent="0.2">
      <c r="A797" s="1" t="s">
        <v>1395</v>
      </c>
      <c r="B797" t="s">
        <v>1396</v>
      </c>
      <c r="C797" t="s">
        <v>1470</v>
      </c>
      <c r="D797" s="6" t="str">
        <f t="shared" si="12"/>
        <v>PROT:AAR98426.1</v>
      </c>
      <c r="E797" t="s">
        <v>1471</v>
      </c>
      <c r="F797" t="s">
        <v>159</v>
      </c>
      <c r="G797">
        <f>IF(ISERROR(MATCH(AllProtiens!F797,Genomes!$C:$C,0)),0,1)</f>
        <v>1</v>
      </c>
      <c r="H797">
        <f>IF(ISERROR(MATCH(AllProtiens!A797,CoreProteinGroups!B:B,0)),0,1)</f>
        <v>1</v>
      </c>
      <c r="J797" s="6" t="s">
        <v>160</v>
      </c>
    </row>
    <row r="798" spans="1:10" x14ac:dyDescent="0.2">
      <c r="A798" s="1" t="s">
        <v>1395</v>
      </c>
      <c r="B798" t="s">
        <v>1396</v>
      </c>
      <c r="C798" t="s">
        <v>1472</v>
      </c>
      <c r="D798" s="6" t="str">
        <f t="shared" si="12"/>
        <v>PROT:AAR98294.1</v>
      </c>
      <c r="E798" t="s">
        <v>1471</v>
      </c>
      <c r="F798" t="s">
        <v>162</v>
      </c>
      <c r="G798">
        <f>IF(ISERROR(MATCH(AllProtiens!F798,Genomes!$C:$C,0)),0,1)</f>
        <v>1</v>
      </c>
      <c r="H798">
        <f>IF(ISERROR(MATCH(AllProtiens!A798,CoreProteinGroups!B:B,0)),0,1)</f>
        <v>1</v>
      </c>
      <c r="J798" s="6" t="s">
        <v>163</v>
      </c>
    </row>
    <row r="799" spans="1:10" x14ac:dyDescent="0.2">
      <c r="A799" s="1" t="s">
        <v>1395</v>
      </c>
      <c r="B799" t="s">
        <v>1396</v>
      </c>
      <c r="C799" t="s">
        <v>1473</v>
      </c>
      <c r="D799" s="6" t="str">
        <f t="shared" si="12"/>
        <v>PROT:ABA00586.1</v>
      </c>
      <c r="E799" t="s">
        <v>925</v>
      </c>
      <c r="F799" t="s">
        <v>162</v>
      </c>
      <c r="G799">
        <f>IF(ISERROR(MATCH(AllProtiens!F799,Genomes!$C:$C,0)),0,1)</f>
        <v>1</v>
      </c>
      <c r="H799">
        <f>IF(ISERROR(MATCH(AllProtiens!A799,CoreProteinGroups!B:B,0)),0,1)</f>
        <v>1</v>
      </c>
      <c r="J799" s="6" t="s">
        <v>163</v>
      </c>
    </row>
    <row r="800" spans="1:10" x14ac:dyDescent="0.2">
      <c r="A800" s="1" t="s">
        <v>1395</v>
      </c>
      <c r="B800" t="s">
        <v>1396</v>
      </c>
      <c r="C800" t="s">
        <v>1474</v>
      </c>
      <c r="D800" s="6" t="str">
        <f t="shared" si="12"/>
        <v>PROT:AIZ77320.1</v>
      </c>
      <c r="E800" t="s">
        <v>1475</v>
      </c>
      <c r="F800" t="s">
        <v>167</v>
      </c>
      <c r="G800">
        <f>IF(ISERROR(MATCH(AllProtiens!F800,Genomes!$C:$C,0)),0,1)</f>
        <v>1</v>
      </c>
      <c r="H800">
        <f>IF(ISERROR(MATCH(AllProtiens!A800,CoreProteinGroups!B:B,0)),0,1)</f>
        <v>1</v>
      </c>
      <c r="J800" s="6" t="s">
        <v>168</v>
      </c>
    </row>
    <row r="801" spans="1:10" x14ac:dyDescent="0.2">
      <c r="A801" s="1" t="s">
        <v>1395</v>
      </c>
      <c r="B801" t="s">
        <v>1396</v>
      </c>
      <c r="C801" t="s">
        <v>1476</v>
      </c>
      <c r="D801" s="6" t="str">
        <f t="shared" si="12"/>
        <v>PROT:ADC53970.1</v>
      </c>
      <c r="E801" t="s">
        <v>925</v>
      </c>
      <c r="F801" t="s">
        <v>170</v>
      </c>
      <c r="G801">
        <f>IF(ISERROR(MATCH(AllProtiens!F801,Genomes!$C:$C,0)),0,1)</f>
        <v>1</v>
      </c>
      <c r="H801">
        <f>IF(ISERROR(MATCH(AllProtiens!A801,CoreProteinGroups!B:B,0)),0,1)</f>
        <v>1</v>
      </c>
      <c r="J801" s="6" t="s">
        <v>171</v>
      </c>
    </row>
    <row r="802" spans="1:10" x14ac:dyDescent="0.2">
      <c r="A802" s="1" t="s">
        <v>1395</v>
      </c>
      <c r="B802" t="s">
        <v>1396</v>
      </c>
      <c r="C802" t="s">
        <v>1477</v>
      </c>
      <c r="D802" s="6" t="str">
        <f t="shared" si="12"/>
        <v>PROT:AAL69820.1</v>
      </c>
      <c r="E802" t="s">
        <v>1478</v>
      </c>
      <c r="F802" t="s">
        <v>174</v>
      </c>
      <c r="G802">
        <f>IF(ISERROR(MATCH(AllProtiens!F802,Genomes!$C:$C,0)),0,1)</f>
        <v>1</v>
      </c>
      <c r="H802">
        <f>IF(ISERROR(MATCH(AllProtiens!A802,CoreProteinGroups!B:B,0)),0,1)</f>
        <v>1</v>
      </c>
      <c r="J802" s="6" t="s">
        <v>175</v>
      </c>
    </row>
    <row r="803" spans="1:10" x14ac:dyDescent="0.2">
      <c r="A803" s="1" t="s">
        <v>1395</v>
      </c>
      <c r="B803" t="s">
        <v>1396</v>
      </c>
      <c r="C803" t="s">
        <v>1479</v>
      </c>
      <c r="D803" s="6" t="str">
        <f t="shared" si="12"/>
        <v>PROT:CAC21322.1</v>
      </c>
      <c r="E803" t="s">
        <v>1480</v>
      </c>
      <c r="F803" t="s">
        <v>178</v>
      </c>
      <c r="G803">
        <f>IF(ISERROR(MATCH(AllProtiens!F803,Genomes!$C:$C,0)),0,1)</f>
        <v>1</v>
      </c>
      <c r="H803">
        <f>IF(ISERROR(MATCH(AllProtiens!A803,CoreProteinGroups!B:B,0)),0,1)</f>
        <v>1</v>
      </c>
      <c r="J803" s="6" t="s">
        <v>179</v>
      </c>
    </row>
    <row r="804" spans="1:10" x14ac:dyDescent="0.2">
      <c r="A804" s="1" t="s">
        <v>1395</v>
      </c>
      <c r="B804" t="s">
        <v>1396</v>
      </c>
      <c r="C804" t="s">
        <v>1481</v>
      </c>
      <c r="D804" s="6" t="str">
        <f t="shared" si="12"/>
        <v>PROT:AAR07440.1</v>
      </c>
      <c r="E804" t="s">
        <v>1482</v>
      </c>
      <c r="F804" t="s">
        <v>182</v>
      </c>
      <c r="G804">
        <f>IF(ISERROR(MATCH(AllProtiens!F804,Genomes!$C:$C,0)),0,1)</f>
        <v>1</v>
      </c>
      <c r="H804">
        <f>IF(ISERROR(MATCH(AllProtiens!A804,CoreProteinGroups!B:B,0)),0,1)</f>
        <v>1</v>
      </c>
      <c r="J804" s="6" t="s">
        <v>183</v>
      </c>
    </row>
    <row r="805" spans="1:10" x14ac:dyDescent="0.2">
      <c r="A805" s="1" t="s">
        <v>1395</v>
      </c>
      <c r="B805" t="s">
        <v>1396</v>
      </c>
      <c r="C805" t="s">
        <v>1483</v>
      </c>
      <c r="D805" s="6" t="str">
        <f t="shared" si="12"/>
        <v>PROT:AAC97658.1</v>
      </c>
      <c r="E805" t="s">
        <v>1484</v>
      </c>
      <c r="F805" t="s">
        <v>186</v>
      </c>
      <c r="G805">
        <f>IF(ISERROR(MATCH(AllProtiens!F805,Genomes!$C:$C,0)),0,1)</f>
        <v>1</v>
      </c>
      <c r="H805">
        <f>IF(ISERROR(MATCH(AllProtiens!A805,CoreProteinGroups!B:B,0)),0,1)</f>
        <v>1</v>
      </c>
      <c r="J805" s="6" t="s">
        <v>187</v>
      </c>
    </row>
    <row r="806" spans="1:10" x14ac:dyDescent="0.2">
      <c r="A806" s="1" t="s">
        <v>1395</v>
      </c>
      <c r="B806" t="s">
        <v>1396</v>
      </c>
      <c r="C806" t="s">
        <v>1485</v>
      </c>
      <c r="D806" s="6" t="str">
        <f t="shared" si="12"/>
        <v>PROT:BAO49470.1</v>
      </c>
      <c r="E806" t="s">
        <v>1486</v>
      </c>
      <c r="F806" t="s">
        <v>190</v>
      </c>
      <c r="G806">
        <f>IF(ISERROR(MATCH(AllProtiens!F806,Genomes!$C:$C,0)),0,1)</f>
        <v>1</v>
      </c>
      <c r="H806">
        <f>IF(ISERROR(MATCH(AllProtiens!A806,CoreProteinGroups!B:B,0)),0,1)</f>
        <v>1</v>
      </c>
      <c r="J806" s="6" t="s">
        <v>191</v>
      </c>
    </row>
    <row r="807" spans="1:10" x14ac:dyDescent="0.2">
      <c r="A807" s="1" t="s">
        <v>1395</v>
      </c>
      <c r="B807" t="s">
        <v>1396</v>
      </c>
      <c r="C807" t="s">
        <v>1487</v>
      </c>
      <c r="D807" s="6" t="str">
        <f t="shared" si="12"/>
        <v>PROT:CCU55480.1</v>
      </c>
      <c r="E807" t="s">
        <v>1488</v>
      </c>
      <c r="F807" t="s">
        <v>193</v>
      </c>
      <c r="G807">
        <f>IF(ISERROR(MATCH(AllProtiens!F807,Genomes!$C:$C,0)),0,1)</f>
        <v>1</v>
      </c>
      <c r="H807">
        <f>IF(ISERROR(MATCH(AllProtiens!A807,CoreProteinGroups!B:B,0)),0,1)</f>
        <v>1</v>
      </c>
      <c r="J807" s="6" t="s">
        <v>194</v>
      </c>
    </row>
    <row r="808" spans="1:10" x14ac:dyDescent="0.2">
      <c r="A808" s="1" t="s">
        <v>1395</v>
      </c>
      <c r="B808" t="s">
        <v>1396</v>
      </c>
      <c r="C808" t="s">
        <v>1489</v>
      </c>
      <c r="D808" s="6" t="str">
        <f t="shared" si="12"/>
        <v>PROT:AAG02880.1</v>
      </c>
      <c r="E808" t="s">
        <v>1490</v>
      </c>
      <c r="F808" t="s">
        <v>197</v>
      </c>
      <c r="G808">
        <f>IF(ISERROR(MATCH(AllProtiens!F808,Genomes!$C:$C,0)),0,1)</f>
        <v>1</v>
      </c>
      <c r="H808">
        <f>IF(ISERROR(MATCH(AllProtiens!A808,CoreProteinGroups!B:B,0)),0,1)</f>
        <v>1</v>
      </c>
      <c r="J808" s="6" t="s">
        <v>198</v>
      </c>
    </row>
    <row r="809" spans="1:10" x14ac:dyDescent="0.2">
      <c r="A809" s="1" t="s">
        <v>1395</v>
      </c>
      <c r="B809" t="s">
        <v>1396</v>
      </c>
      <c r="C809" t="s">
        <v>1491</v>
      </c>
      <c r="D809" s="6" t="str">
        <f t="shared" si="12"/>
        <v>PROT:CCU55785.1</v>
      </c>
      <c r="E809" t="s">
        <v>1488</v>
      </c>
      <c r="F809" t="s">
        <v>200</v>
      </c>
      <c r="G809">
        <f>IF(ISERROR(MATCH(AllProtiens!F809,Genomes!$C:$C,0)),0,1)</f>
        <v>1</v>
      </c>
      <c r="H809">
        <f>IF(ISERROR(MATCH(AllProtiens!A809,CoreProteinGroups!B:B,0)),0,1)</f>
        <v>1</v>
      </c>
      <c r="J809" s="6" t="s">
        <v>201</v>
      </c>
    </row>
    <row r="810" spans="1:10" x14ac:dyDescent="0.2">
      <c r="A810" s="1" t="s">
        <v>1395</v>
      </c>
      <c r="B810" t="s">
        <v>1396</v>
      </c>
      <c r="C810" t="s">
        <v>1492</v>
      </c>
      <c r="D810" s="6" t="str">
        <f t="shared" si="12"/>
        <v>PROT:CCU56087.1</v>
      </c>
      <c r="E810" t="s">
        <v>1488</v>
      </c>
      <c r="F810" t="s">
        <v>203</v>
      </c>
      <c r="G810">
        <f>IF(ISERROR(MATCH(AllProtiens!F810,Genomes!$C:$C,0)),0,1)</f>
        <v>1</v>
      </c>
      <c r="H810">
        <f>IF(ISERROR(MATCH(AllProtiens!A810,CoreProteinGroups!B:B,0)),0,1)</f>
        <v>1</v>
      </c>
      <c r="J810" s="6" t="s">
        <v>204</v>
      </c>
    </row>
    <row r="811" spans="1:10" x14ac:dyDescent="0.2">
      <c r="A811" s="1" t="s">
        <v>1395</v>
      </c>
      <c r="B811" t="s">
        <v>1396</v>
      </c>
      <c r="C811" t="s">
        <v>1493</v>
      </c>
      <c r="D811" s="6" t="str">
        <f t="shared" si="12"/>
        <v>PROT:CCU56412.1</v>
      </c>
      <c r="E811" t="s">
        <v>1488</v>
      </c>
      <c r="F811" t="s">
        <v>206</v>
      </c>
      <c r="G811">
        <f>IF(ISERROR(MATCH(AllProtiens!F811,Genomes!$C:$C,0)),0,1)</f>
        <v>1</v>
      </c>
      <c r="H811">
        <f>IF(ISERROR(MATCH(AllProtiens!A811,CoreProteinGroups!B:B,0)),0,1)</f>
        <v>1</v>
      </c>
      <c r="J811" s="6" t="s">
        <v>207</v>
      </c>
    </row>
    <row r="812" spans="1:10" x14ac:dyDescent="0.2">
      <c r="A812" s="1" t="s">
        <v>1395</v>
      </c>
      <c r="B812" t="s">
        <v>1396</v>
      </c>
      <c r="C812" t="s">
        <v>1494</v>
      </c>
      <c r="D812" s="6" t="str">
        <f t="shared" si="12"/>
        <v>PROT:NP_659656.1</v>
      </c>
      <c r="E812" t="s">
        <v>1495</v>
      </c>
      <c r="F812" t="s">
        <v>210</v>
      </c>
      <c r="G812">
        <f>IF(ISERROR(MATCH(AllProtiens!F812,Genomes!$C:$C,0)),0,1)</f>
        <v>1</v>
      </c>
      <c r="H812">
        <f>IF(ISERROR(MATCH(AllProtiens!A812,CoreProteinGroups!B:B,0)),0,1)</f>
        <v>1</v>
      </c>
      <c r="J812" s="6" t="s">
        <v>211</v>
      </c>
    </row>
    <row r="813" spans="1:10" x14ac:dyDescent="0.2">
      <c r="A813" s="1" t="s">
        <v>1395</v>
      </c>
      <c r="B813" t="s">
        <v>1396</v>
      </c>
      <c r="C813" t="s">
        <v>1496</v>
      </c>
      <c r="D813" s="6" t="str">
        <f t="shared" si="12"/>
        <v>PROT:YP_001293275.1</v>
      </c>
      <c r="E813" t="s">
        <v>1497</v>
      </c>
      <c r="F813" t="s">
        <v>214</v>
      </c>
      <c r="G813">
        <f>IF(ISERROR(MATCH(AllProtiens!F813,Genomes!$C:$C,0)),0,1)</f>
        <v>1</v>
      </c>
      <c r="H813">
        <f>IF(ISERROR(MATCH(AllProtiens!A813,CoreProteinGroups!B:B,0)),0,1)</f>
        <v>1</v>
      </c>
      <c r="J813" s="6" t="s">
        <v>215</v>
      </c>
    </row>
    <row r="814" spans="1:10" x14ac:dyDescent="0.2">
      <c r="A814" s="1" t="s">
        <v>1498</v>
      </c>
      <c r="B814" t="s">
        <v>1499</v>
      </c>
      <c r="C814" t="s">
        <v>1500</v>
      </c>
      <c r="D814" s="6" t="str">
        <f t="shared" si="12"/>
        <v>PROT:ATI21138.1</v>
      </c>
      <c r="E814" t="s">
        <v>1501</v>
      </c>
      <c r="F814" t="s">
        <v>14</v>
      </c>
      <c r="G814">
        <f>IF(ISERROR(MATCH(AllProtiens!F814,Genomes!$C:$C,0)),0,1)</f>
        <v>1</v>
      </c>
      <c r="H814">
        <f>IF(ISERROR(MATCH(AllProtiens!A814,CoreProteinGroups!B:B,0)),0,1)</f>
        <v>1</v>
      </c>
      <c r="J814" s="6" t="s">
        <v>15</v>
      </c>
    </row>
    <row r="815" spans="1:10" x14ac:dyDescent="0.2">
      <c r="A815" s="1" t="s">
        <v>1498</v>
      </c>
      <c r="B815" t="s">
        <v>1499</v>
      </c>
      <c r="C815" t="s">
        <v>1502</v>
      </c>
      <c r="D815" s="6" t="str">
        <f t="shared" si="12"/>
        <v>PROT:AWU47070.1</v>
      </c>
      <c r="E815" t="s">
        <v>1503</v>
      </c>
      <c r="F815" t="s">
        <v>17</v>
      </c>
      <c r="G815">
        <f>IF(ISERROR(MATCH(AllProtiens!F815,Genomes!$C:$C,0)),0,1)</f>
        <v>1</v>
      </c>
      <c r="H815">
        <f>IF(ISERROR(MATCH(AllProtiens!A815,CoreProteinGroups!B:B,0)),0,1)</f>
        <v>1</v>
      </c>
      <c r="J815" s="6" t="s">
        <v>18</v>
      </c>
    </row>
    <row r="816" spans="1:10" x14ac:dyDescent="0.2">
      <c r="A816" s="1" t="s">
        <v>1498</v>
      </c>
      <c r="B816" t="s">
        <v>1499</v>
      </c>
      <c r="C816" t="s">
        <v>1504</v>
      </c>
      <c r="D816" s="6" t="str">
        <f t="shared" si="12"/>
        <v>PROT:APG58240.1</v>
      </c>
      <c r="E816" t="s">
        <v>1505</v>
      </c>
      <c r="F816" t="s">
        <v>21</v>
      </c>
      <c r="G816">
        <f>IF(ISERROR(MATCH(AllProtiens!F816,Genomes!$C:$C,0)),0,1)</f>
        <v>1</v>
      </c>
      <c r="H816">
        <f>IF(ISERROR(MATCH(AllProtiens!A816,CoreProteinGroups!B:B,0)),0,1)</f>
        <v>1</v>
      </c>
      <c r="J816" s="6" t="s">
        <v>22</v>
      </c>
    </row>
    <row r="817" spans="1:10" x14ac:dyDescent="0.2">
      <c r="A817" s="1" t="s">
        <v>1498</v>
      </c>
      <c r="B817" t="s">
        <v>1499</v>
      </c>
      <c r="C817" t="s">
        <v>1506</v>
      </c>
      <c r="D817" s="6" t="str">
        <f t="shared" si="12"/>
        <v>PROT:ADT91067.1</v>
      </c>
      <c r="E817" t="s">
        <v>1507</v>
      </c>
      <c r="F817" t="s">
        <v>25</v>
      </c>
      <c r="G817">
        <f>IF(ISERROR(MATCH(AllProtiens!F817,Genomes!$C:$C,0)),0,1)</f>
        <v>1</v>
      </c>
      <c r="H817">
        <f>IF(ISERROR(MATCH(AllProtiens!A817,CoreProteinGroups!B:B,0)),0,1)</f>
        <v>1</v>
      </c>
      <c r="J817" s="6" t="s">
        <v>26</v>
      </c>
    </row>
    <row r="818" spans="1:10" x14ac:dyDescent="0.2">
      <c r="A818" s="1" t="s">
        <v>1498</v>
      </c>
      <c r="B818" t="s">
        <v>1499</v>
      </c>
      <c r="C818" t="s">
        <v>1508</v>
      </c>
      <c r="D818" s="6" t="str">
        <f t="shared" si="12"/>
        <v>PROT:ANS71113.1</v>
      </c>
      <c r="E818" t="s">
        <v>1509</v>
      </c>
      <c r="F818" t="s">
        <v>28</v>
      </c>
      <c r="G818">
        <f>IF(ISERROR(MATCH(AllProtiens!F818,Genomes!$C:$C,0)),0,1)</f>
        <v>1</v>
      </c>
      <c r="H818">
        <f>IF(ISERROR(MATCH(AllProtiens!A818,CoreProteinGroups!B:B,0)),0,1)</f>
        <v>1</v>
      </c>
      <c r="J818" s="6" t="s">
        <v>29</v>
      </c>
    </row>
    <row r="819" spans="1:10" x14ac:dyDescent="0.2">
      <c r="A819" s="1" t="s">
        <v>1498</v>
      </c>
      <c r="B819" t="s">
        <v>1499</v>
      </c>
      <c r="C819" t="s">
        <v>1510</v>
      </c>
      <c r="D819" s="6" t="str">
        <f t="shared" si="12"/>
        <v>PROT:AKR04194.1</v>
      </c>
      <c r="E819" t="s">
        <v>1511</v>
      </c>
      <c r="F819" t="s">
        <v>32</v>
      </c>
      <c r="G819">
        <f>IF(ISERROR(MATCH(AllProtiens!F819,Genomes!$C:$C,0)),0,1)</f>
        <v>1</v>
      </c>
      <c r="H819">
        <f>IF(ISERROR(MATCH(AllProtiens!A819,CoreProteinGroups!B:B,0)),0,1)</f>
        <v>1</v>
      </c>
      <c r="J819" s="6" t="s">
        <v>33</v>
      </c>
    </row>
    <row r="820" spans="1:10" x14ac:dyDescent="0.2">
      <c r="A820" s="1" t="s">
        <v>1498</v>
      </c>
      <c r="B820" t="s">
        <v>1499</v>
      </c>
      <c r="C820" t="s">
        <v>1512</v>
      </c>
      <c r="D820" s="6" t="str">
        <f t="shared" si="12"/>
        <v>PROT:CCD83206.1</v>
      </c>
      <c r="E820" t="s">
        <v>1511</v>
      </c>
      <c r="F820" t="s">
        <v>36</v>
      </c>
      <c r="G820">
        <f>IF(ISERROR(MATCH(AllProtiens!F820,Genomes!$C:$C,0)),0,1)</f>
        <v>1</v>
      </c>
      <c r="H820">
        <f>IF(ISERROR(MATCH(AllProtiens!A820,CoreProteinGroups!B:B,0)),0,1)</f>
        <v>1</v>
      </c>
      <c r="J820" s="6" t="s">
        <v>37</v>
      </c>
    </row>
    <row r="821" spans="1:10" x14ac:dyDescent="0.2">
      <c r="A821" s="1" t="s">
        <v>1498</v>
      </c>
      <c r="B821" t="s">
        <v>1499</v>
      </c>
      <c r="C821" t="s">
        <v>1513</v>
      </c>
      <c r="D821" s="6" t="str">
        <f t="shared" si="12"/>
        <v>PROT:ASK51236.1</v>
      </c>
      <c r="E821" t="s">
        <v>1514</v>
      </c>
      <c r="F821" t="s">
        <v>40</v>
      </c>
      <c r="G821">
        <f>IF(ISERROR(MATCH(AllProtiens!F821,Genomes!$C:$C,0)),0,1)</f>
        <v>1</v>
      </c>
      <c r="H821">
        <f>IF(ISERROR(MATCH(AllProtiens!A821,CoreProteinGroups!B:B,0)),0,1)</f>
        <v>1</v>
      </c>
      <c r="J821" s="6" t="s">
        <v>41</v>
      </c>
    </row>
    <row r="822" spans="1:10" x14ac:dyDescent="0.2">
      <c r="A822" s="1" t="s">
        <v>1498</v>
      </c>
      <c r="B822" t="s">
        <v>1499</v>
      </c>
      <c r="C822" t="s">
        <v>1515</v>
      </c>
      <c r="D822" s="6" t="str">
        <f t="shared" si="12"/>
        <v>PROT:AUD40206.1</v>
      </c>
      <c r="E822" t="s">
        <v>1507</v>
      </c>
      <c r="F822" t="s">
        <v>43</v>
      </c>
      <c r="G822">
        <f>IF(ISERROR(MATCH(AllProtiens!F822,Genomes!$C:$C,0)),0,1)</f>
        <v>1</v>
      </c>
      <c r="H822">
        <f>IF(ISERROR(MATCH(AllProtiens!A822,CoreProteinGroups!B:B,0)),0,1)</f>
        <v>1</v>
      </c>
      <c r="J822" s="6" t="s">
        <v>44</v>
      </c>
    </row>
    <row r="823" spans="1:10" x14ac:dyDescent="0.2">
      <c r="A823" s="1" t="s">
        <v>1498</v>
      </c>
      <c r="B823" t="s">
        <v>1499</v>
      </c>
      <c r="C823" t="s">
        <v>1516</v>
      </c>
      <c r="D823" s="6" t="str">
        <f t="shared" si="12"/>
        <v>PROT:AID46841.1</v>
      </c>
      <c r="E823" t="s">
        <v>1517</v>
      </c>
      <c r="F823" t="s">
        <v>46</v>
      </c>
      <c r="G823">
        <f>IF(ISERROR(MATCH(AllProtiens!F823,Genomes!$C:$C,0)),0,1)</f>
        <v>1</v>
      </c>
      <c r="H823">
        <f>IF(ISERROR(MATCH(AllProtiens!A823,CoreProteinGroups!B:B,0)),0,1)</f>
        <v>1</v>
      </c>
      <c r="J823" s="6" t="s">
        <v>47</v>
      </c>
    </row>
    <row r="824" spans="1:10" x14ac:dyDescent="0.2">
      <c r="A824" s="1" t="s">
        <v>1498</v>
      </c>
      <c r="B824" t="s">
        <v>1499</v>
      </c>
      <c r="C824" t="s">
        <v>1518</v>
      </c>
      <c r="D824" s="6" t="str">
        <f t="shared" si="12"/>
        <v>PROT:AID46612.1</v>
      </c>
      <c r="E824" t="s">
        <v>1517</v>
      </c>
      <c r="F824" t="s">
        <v>49</v>
      </c>
      <c r="G824">
        <f>IF(ISERROR(MATCH(AllProtiens!F824,Genomes!$C:$C,0)),0,1)</f>
        <v>1</v>
      </c>
      <c r="H824">
        <f>IF(ISERROR(MATCH(AllProtiens!A824,CoreProteinGroups!B:B,0)),0,1)</f>
        <v>1</v>
      </c>
      <c r="J824" s="6" t="s">
        <v>50</v>
      </c>
    </row>
    <row r="825" spans="1:10" x14ac:dyDescent="0.2">
      <c r="A825" s="1" t="s">
        <v>1498</v>
      </c>
      <c r="B825" t="s">
        <v>1499</v>
      </c>
      <c r="C825" t="s">
        <v>1519</v>
      </c>
      <c r="D825" s="6" t="str">
        <f t="shared" si="12"/>
        <v>PROT:ALA62447.1</v>
      </c>
      <c r="E825" t="s">
        <v>1520</v>
      </c>
      <c r="F825" t="s">
        <v>53</v>
      </c>
      <c r="G825">
        <f>IF(ISERROR(MATCH(AllProtiens!F825,Genomes!$C:$C,0)),0,1)</f>
        <v>1</v>
      </c>
      <c r="H825">
        <f>IF(ISERROR(MATCH(AllProtiens!A825,CoreProteinGroups!B:B,0)),0,1)</f>
        <v>1</v>
      </c>
      <c r="J825" s="6" t="s">
        <v>54</v>
      </c>
    </row>
    <row r="826" spans="1:10" x14ac:dyDescent="0.2">
      <c r="A826" s="1" t="s">
        <v>1498</v>
      </c>
      <c r="B826" t="s">
        <v>1499</v>
      </c>
      <c r="C826" t="s">
        <v>1521</v>
      </c>
      <c r="D826" s="6" t="str">
        <f t="shared" si="12"/>
        <v>PROT:AAR83475.1</v>
      </c>
      <c r="E826" t="s">
        <v>1522</v>
      </c>
      <c r="F826" t="s">
        <v>57</v>
      </c>
      <c r="G826">
        <f>IF(ISERROR(MATCH(AllProtiens!F826,Genomes!$C:$C,0)),0,1)</f>
        <v>1</v>
      </c>
      <c r="H826">
        <f>IF(ISERROR(MATCH(AllProtiens!A826,CoreProteinGroups!B:B,0)),0,1)</f>
        <v>1</v>
      </c>
      <c r="J826" s="6" t="s">
        <v>58</v>
      </c>
    </row>
    <row r="827" spans="1:10" x14ac:dyDescent="0.2">
      <c r="A827" s="1" t="s">
        <v>1498</v>
      </c>
      <c r="B827" t="s">
        <v>1499</v>
      </c>
      <c r="C827" t="s">
        <v>1523</v>
      </c>
      <c r="D827" s="6" t="str">
        <f t="shared" si="12"/>
        <v>PROT:AAF44446.1</v>
      </c>
      <c r="E827" t="s">
        <v>1524</v>
      </c>
      <c r="F827" t="s">
        <v>61</v>
      </c>
      <c r="G827">
        <f>IF(ISERROR(MATCH(AllProtiens!F827,Genomes!$C:$C,0)),0,1)</f>
        <v>1</v>
      </c>
      <c r="H827">
        <f>IF(ISERROR(MATCH(AllProtiens!A827,CoreProteinGroups!B:B,0)),0,1)</f>
        <v>1</v>
      </c>
      <c r="J827" s="6" t="s">
        <v>62</v>
      </c>
    </row>
    <row r="828" spans="1:10" x14ac:dyDescent="0.2">
      <c r="A828" s="1" t="s">
        <v>1498</v>
      </c>
      <c r="B828" t="s">
        <v>1499</v>
      </c>
      <c r="C828" t="s">
        <v>1525</v>
      </c>
      <c r="D828" s="6" t="str">
        <f t="shared" si="12"/>
        <v>PROT:AAK84993.1</v>
      </c>
      <c r="E828" t="s">
        <v>1526</v>
      </c>
      <c r="F828" t="s">
        <v>65</v>
      </c>
      <c r="G828">
        <f>IF(ISERROR(MATCH(AllProtiens!F828,Genomes!$C:$C,0)),0,1)</f>
        <v>1</v>
      </c>
      <c r="H828">
        <f>IF(ISERROR(MATCH(AllProtiens!A828,CoreProteinGroups!B:B,0)),0,1)</f>
        <v>1</v>
      </c>
      <c r="J828" s="6" t="s">
        <v>66</v>
      </c>
    </row>
    <row r="829" spans="1:10" x14ac:dyDescent="0.2">
      <c r="A829" s="1" t="s">
        <v>1498</v>
      </c>
      <c r="B829" t="s">
        <v>1499</v>
      </c>
      <c r="C829" t="s">
        <v>1527</v>
      </c>
      <c r="D829" s="6" t="str">
        <f t="shared" si="12"/>
        <v>PROT:AST09248.1</v>
      </c>
      <c r="E829" t="s">
        <v>1528</v>
      </c>
      <c r="F829" t="s">
        <v>68</v>
      </c>
      <c r="G829">
        <f>IF(ISERROR(MATCH(AllProtiens!F829,Genomes!$C:$C,0)),0,1)</f>
        <v>1</v>
      </c>
      <c r="H829">
        <f>IF(ISERROR(MATCH(AllProtiens!A829,CoreProteinGroups!B:B,0)),0,1)</f>
        <v>1</v>
      </c>
      <c r="J829" s="6" t="s">
        <v>69</v>
      </c>
    </row>
    <row r="830" spans="1:10" x14ac:dyDescent="0.2">
      <c r="A830" s="1" t="s">
        <v>1498</v>
      </c>
      <c r="B830" t="s">
        <v>1499</v>
      </c>
      <c r="C830" t="s">
        <v>1529</v>
      </c>
      <c r="D830" s="6" t="str">
        <f t="shared" si="12"/>
        <v>PROT:AEN03624.1</v>
      </c>
      <c r="E830" t="s">
        <v>1528</v>
      </c>
      <c r="F830" t="s">
        <v>71</v>
      </c>
      <c r="G830">
        <f>IF(ISERROR(MATCH(AllProtiens!F830,Genomes!$C:$C,0)),0,1)</f>
        <v>1</v>
      </c>
      <c r="H830">
        <f>IF(ISERROR(MATCH(AllProtiens!A830,CoreProteinGroups!B:B,0)),0,1)</f>
        <v>1</v>
      </c>
      <c r="J830" s="6" t="s">
        <v>72</v>
      </c>
    </row>
    <row r="831" spans="1:10" x14ac:dyDescent="0.2">
      <c r="A831" s="1" t="s">
        <v>1498</v>
      </c>
      <c r="B831" t="s">
        <v>1499</v>
      </c>
      <c r="C831" t="s">
        <v>1530</v>
      </c>
      <c r="D831" s="6" t="str">
        <f t="shared" si="12"/>
        <v>PROT:ABI99196.1</v>
      </c>
      <c r="E831" t="s">
        <v>1531</v>
      </c>
      <c r="F831" t="s">
        <v>74</v>
      </c>
      <c r="G831">
        <f>IF(ISERROR(MATCH(AllProtiens!F831,Genomes!$C:$C,0)),0,1)</f>
        <v>1</v>
      </c>
      <c r="H831">
        <f>IF(ISERROR(MATCH(AllProtiens!A831,CoreProteinGroups!B:B,0)),0,1)</f>
        <v>1</v>
      </c>
      <c r="J831" s="6" t="s">
        <v>75</v>
      </c>
    </row>
    <row r="832" spans="1:10" x14ac:dyDescent="0.2">
      <c r="A832" s="1" t="s">
        <v>1498</v>
      </c>
      <c r="B832" t="s">
        <v>1499</v>
      </c>
      <c r="C832" t="s">
        <v>1532</v>
      </c>
      <c r="D832" s="6" t="str">
        <f t="shared" si="12"/>
        <v>PROT:ABJ08945.1</v>
      </c>
      <c r="E832" t="s">
        <v>1531</v>
      </c>
      <c r="F832" t="s">
        <v>77</v>
      </c>
      <c r="G832">
        <f>IF(ISERROR(MATCH(AllProtiens!F832,Genomes!$C:$C,0)),0,1)</f>
        <v>1</v>
      </c>
      <c r="H832">
        <f>IF(ISERROR(MATCH(AllProtiens!A832,CoreProteinGroups!B:B,0)),0,1)</f>
        <v>1</v>
      </c>
      <c r="J832" s="6" t="s">
        <v>78</v>
      </c>
    </row>
    <row r="833" spans="1:10" x14ac:dyDescent="0.2">
      <c r="A833" s="1" t="s">
        <v>1498</v>
      </c>
      <c r="B833" t="s">
        <v>1499</v>
      </c>
      <c r="C833" t="s">
        <v>1533</v>
      </c>
      <c r="D833" s="6" t="str">
        <f t="shared" si="12"/>
        <v>PROT:AAF14915.1</v>
      </c>
      <c r="E833" t="s">
        <v>1534</v>
      </c>
      <c r="F833" t="s">
        <v>81</v>
      </c>
      <c r="G833">
        <f>IF(ISERROR(MATCH(AllProtiens!F833,Genomes!$C:$C,0)),0,1)</f>
        <v>0</v>
      </c>
      <c r="H833">
        <f>IF(ISERROR(MATCH(AllProtiens!A833,CoreProteinGroups!B:B,0)),0,1)</f>
        <v>1</v>
      </c>
      <c r="J833" s="6" t="s">
        <v>82</v>
      </c>
    </row>
    <row r="834" spans="1:10" x14ac:dyDescent="0.2">
      <c r="A834" s="1" t="s">
        <v>1498</v>
      </c>
      <c r="B834" t="s">
        <v>1499</v>
      </c>
      <c r="C834" t="s">
        <v>1535</v>
      </c>
      <c r="D834" s="6" t="str">
        <f t="shared" ref="D834:D897" si="13">HYPERLINK(_xlfn.CONCAT("https://www.ncbi.nlm.nih.gov/protein/",C834),_xlfn.CONCAT("PROT:",C834))</f>
        <v>PROT:AFU77292.1</v>
      </c>
      <c r="E834" t="s">
        <v>1534</v>
      </c>
      <c r="F834" t="s">
        <v>81</v>
      </c>
      <c r="G834">
        <f>IF(ISERROR(MATCH(AllProtiens!F834,Genomes!$C:$C,0)),0,1)</f>
        <v>0</v>
      </c>
      <c r="H834">
        <f>IF(ISERROR(MATCH(AllProtiens!A834,CoreProteinGroups!B:B,0)),0,1)</f>
        <v>1</v>
      </c>
      <c r="J834" s="6" t="s">
        <v>82</v>
      </c>
    </row>
    <row r="835" spans="1:10" x14ac:dyDescent="0.2">
      <c r="A835" s="1" t="s">
        <v>1498</v>
      </c>
      <c r="B835" t="s">
        <v>1499</v>
      </c>
      <c r="C835" t="s">
        <v>1536</v>
      </c>
      <c r="D835" s="6" t="str">
        <f t="shared" si="13"/>
        <v>PROT:AAF17910.1</v>
      </c>
      <c r="E835" t="s">
        <v>1537</v>
      </c>
      <c r="F835" t="s">
        <v>86</v>
      </c>
      <c r="G835">
        <f>IF(ISERROR(MATCH(AllProtiens!F835,Genomes!$C:$C,0)),0,1)</f>
        <v>1</v>
      </c>
      <c r="H835">
        <f>IF(ISERROR(MATCH(AllProtiens!A835,CoreProteinGroups!B:B,0)),0,1)</f>
        <v>1</v>
      </c>
      <c r="J835" s="6" t="s">
        <v>87</v>
      </c>
    </row>
    <row r="836" spans="1:10" x14ac:dyDescent="0.2">
      <c r="A836" s="1" t="s">
        <v>1498</v>
      </c>
      <c r="B836" t="s">
        <v>1499</v>
      </c>
      <c r="C836" t="s">
        <v>1538</v>
      </c>
      <c r="D836" s="6" t="str">
        <f t="shared" si="13"/>
        <v>PROT:AAC55159.1</v>
      </c>
      <c r="E836" t="s">
        <v>1539</v>
      </c>
      <c r="F836" t="s">
        <v>90</v>
      </c>
      <c r="G836">
        <f>IF(ISERROR(MATCH(AllProtiens!F836,Genomes!$C:$C,0)),0,1)</f>
        <v>1</v>
      </c>
      <c r="H836">
        <f>IF(ISERROR(MATCH(AllProtiens!A836,CoreProteinGroups!B:B,0)),0,1)</f>
        <v>1</v>
      </c>
      <c r="J836" s="6" t="s">
        <v>91</v>
      </c>
    </row>
    <row r="837" spans="1:10" x14ac:dyDescent="0.2">
      <c r="A837" s="1" t="s">
        <v>1498</v>
      </c>
      <c r="B837" t="s">
        <v>1499</v>
      </c>
      <c r="C837" t="s">
        <v>1540</v>
      </c>
      <c r="D837" s="6" t="str">
        <f t="shared" si="13"/>
        <v>PROT:AYN64624.1</v>
      </c>
      <c r="E837" t="s">
        <v>1541</v>
      </c>
      <c r="F837" t="s">
        <v>94</v>
      </c>
      <c r="G837">
        <f>IF(ISERROR(MATCH(AllProtiens!F837,Genomes!$C:$C,0)),0,1)</f>
        <v>1</v>
      </c>
      <c r="H837">
        <f>IF(ISERROR(MATCH(AllProtiens!A837,CoreProteinGroups!B:B,0)),0,1)</f>
        <v>1</v>
      </c>
      <c r="J837" s="6" t="s">
        <v>95</v>
      </c>
    </row>
    <row r="838" spans="1:10" x14ac:dyDescent="0.2">
      <c r="A838" s="1" t="s">
        <v>1498</v>
      </c>
      <c r="B838" t="s">
        <v>1499</v>
      </c>
      <c r="C838" t="s">
        <v>1542</v>
      </c>
      <c r="D838" s="6" t="str">
        <f t="shared" si="13"/>
        <v>PROT:AXN74848.1</v>
      </c>
      <c r="E838" t="s">
        <v>1531</v>
      </c>
      <c r="F838" t="s">
        <v>97</v>
      </c>
      <c r="G838">
        <f>IF(ISERROR(MATCH(AllProtiens!F838,Genomes!$C:$C,0)),0,1)</f>
        <v>1</v>
      </c>
      <c r="H838">
        <f>IF(ISERROR(MATCH(AllProtiens!A838,CoreProteinGroups!B:B,0)),0,1)</f>
        <v>1</v>
      </c>
      <c r="J838" s="6" t="s">
        <v>98</v>
      </c>
    </row>
    <row r="839" spans="1:10" x14ac:dyDescent="0.2">
      <c r="A839" s="1" t="s">
        <v>1498</v>
      </c>
      <c r="B839" t="s">
        <v>1499</v>
      </c>
      <c r="C839" t="s">
        <v>1543</v>
      </c>
      <c r="D839" s="6" t="str">
        <f t="shared" si="13"/>
        <v>PROT:ABH08161.1</v>
      </c>
      <c r="E839" t="s">
        <v>1544</v>
      </c>
      <c r="F839" t="s">
        <v>101</v>
      </c>
      <c r="G839">
        <f>IF(ISERROR(MATCH(AllProtiens!F839,Genomes!$C:$C,0)),0,1)</f>
        <v>1</v>
      </c>
      <c r="H839">
        <f>IF(ISERROR(MATCH(AllProtiens!A839,CoreProteinGroups!B:B,0)),0,1)</f>
        <v>1</v>
      </c>
      <c r="J839" s="6" t="s">
        <v>102</v>
      </c>
    </row>
    <row r="840" spans="1:10" x14ac:dyDescent="0.2">
      <c r="A840" s="1" t="s">
        <v>1498</v>
      </c>
      <c r="B840" t="s">
        <v>1499</v>
      </c>
      <c r="C840" t="s">
        <v>1545</v>
      </c>
      <c r="D840" s="6" t="str">
        <f t="shared" si="13"/>
        <v>PROT:AAG37515.1</v>
      </c>
      <c r="E840" t="s">
        <v>1546</v>
      </c>
      <c r="F840" t="s">
        <v>105</v>
      </c>
      <c r="G840">
        <f>IF(ISERROR(MATCH(AllProtiens!F840,Genomes!$C:$C,0)),0,1)</f>
        <v>1</v>
      </c>
      <c r="H840">
        <f>IF(ISERROR(MATCH(AllProtiens!A840,CoreProteinGroups!B:B,0)),0,1)</f>
        <v>1</v>
      </c>
      <c r="J840" s="6" t="s">
        <v>106</v>
      </c>
    </row>
    <row r="841" spans="1:10" x14ac:dyDescent="0.2">
      <c r="A841" s="1" t="s">
        <v>1498</v>
      </c>
      <c r="B841" t="s">
        <v>1499</v>
      </c>
      <c r="C841" t="s">
        <v>1547</v>
      </c>
      <c r="D841" s="6" t="str">
        <f t="shared" si="13"/>
        <v>PROT:AAL73760.1</v>
      </c>
      <c r="E841" t="s">
        <v>1548</v>
      </c>
      <c r="F841" t="s">
        <v>109</v>
      </c>
      <c r="G841">
        <f>IF(ISERROR(MATCH(AllProtiens!F841,Genomes!$C:$C,0)),0,1)</f>
        <v>1</v>
      </c>
      <c r="H841">
        <f>IF(ISERROR(MATCH(AllProtiens!A841,CoreProteinGroups!B:B,0)),0,1)</f>
        <v>1</v>
      </c>
      <c r="J841" s="6" t="s">
        <v>110</v>
      </c>
    </row>
    <row r="842" spans="1:10" x14ac:dyDescent="0.2">
      <c r="A842" s="1" t="s">
        <v>1498</v>
      </c>
      <c r="B842" t="s">
        <v>1499</v>
      </c>
      <c r="C842" t="s">
        <v>1549</v>
      </c>
      <c r="D842" s="6" t="str">
        <f t="shared" si="13"/>
        <v>PROT:AAM13512.1</v>
      </c>
      <c r="E842" t="s">
        <v>1550</v>
      </c>
      <c r="F842" t="s">
        <v>113</v>
      </c>
      <c r="G842">
        <f>IF(ISERROR(MATCH(AllProtiens!F842,Genomes!$C:$C,0)),0,1)</f>
        <v>1</v>
      </c>
      <c r="H842">
        <f>IF(ISERROR(MATCH(AllProtiens!A842,CoreProteinGroups!B:B,0)),0,1)</f>
        <v>1</v>
      </c>
      <c r="J842" s="6" t="s">
        <v>114</v>
      </c>
    </row>
    <row r="843" spans="1:10" x14ac:dyDescent="0.2">
      <c r="A843" s="1" t="s">
        <v>1498</v>
      </c>
      <c r="B843" t="s">
        <v>1499</v>
      </c>
      <c r="C843" t="s">
        <v>1551</v>
      </c>
      <c r="D843" s="6" t="str">
        <f t="shared" si="13"/>
        <v>PROT:AAM92345.1</v>
      </c>
      <c r="E843" t="s">
        <v>1552</v>
      </c>
      <c r="F843" t="s">
        <v>117</v>
      </c>
      <c r="G843">
        <f>IF(ISERROR(MATCH(AllProtiens!F843,Genomes!$C:$C,0)),0,1)</f>
        <v>1</v>
      </c>
      <c r="H843">
        <f>IF(ISERROR(MATCH(AllProtiens!A843,CoreProteinGroups!B:B,0)),0,1)</f>
        <v>1</v>
      </c>
      <c r="J843" s="6" t="s">
        <v>118</v>
      </c>
    </row>
    <row r="844" spans="1:10" x14ac:dyDescent="0.2">
      <c r="A844" s="1" t="s">
        <v>1498</v>
      </c>
      <c r="B844" t="s">
        <v>1499</v>
      </c>
      <c r="C844" t="s">
        <v>1553</v>
      </c>
      <c r="D844" s="6" t="str">
        <f t="shared" si="13"/>
        <v>PROT:AFH54603.1</v>
      </c>
      <c r="E844" t="s">
        <v>1554</v>
      </c>
      <c r="F844" t="s">
        <v>120</v>
      </c>
      <c r="G844">
        <f>IF(ISERROR(MATCH(AllProtiens!F844,Genomes!$C:$C,0)),0,1)</f>
        <v>1</v>
      </c>
      <c r="H844">
        <f>IF(ISERROR(MATCH(AllProtiens!A844,CoreProteinGroups!B:B,0)),0,1)</f>
        <v>1</v>
      </c>
      <c r="J844" s="6" t="s">
        <v>121</v>
      </c>
    </row>
    <row r="845" spans="1:10" x14ac:dyDescent="0.2">
      <c r="A845" s="1" t="s">
        <v>1498</v>
      </c>
      <c r="B845" t="s">
        <v>1499</v>
      </c>
      <c r="C845" t="s">
        <v>1555</v>
      </c>
      <c r="D845" s="6" t="str">
        <f t="shared" si="13"/>
        <v>PROT:AAL40508.1</v>
      </c>
      <c r="E845" t="s">
        <v>1556</v>
      </c>
      <c r="F845" t="s">
        <v>124</v>
      </c>
      <c r="G845">
        <f>IF(ISERROR(MATCH(AllProtiens!F845,Genomes!$C:$C,0)),0,1)</f>
        <v>1</v>
      </c>
      <c r="H845">
        <f>IF(ISERROR(MATCH(AllProtiens!A845,CoreProteinGroups!B:B,0)),0,1)</f>
        <v>1</v>
      </c>
      <c r="J845" s="6" t="s">
        <v>125</v>
      </c>
    </row>
    <row r="846" spans="1:10" x14ac:dyDescent="0.2">
      <c r="A846" s="1" t="s">
        <v>1498</v>
      </c>
      <c r="B846" t="s">
        <v>1499</v>
      </c>
      <c r="C846" t="s">
        <v>1557</v>
      </c>
      <c r="D846" s="6" t="str">
        <f t="shared" si="13"/>
        <v>PROT:AAX09145.1</v>
      </c>
      <c r="E846" t="s">
        <v>1558</v>
      </c>
      <c r="F846" t="s">
        <v>128</v>
      </c>
      <c r="G846">
        <f>IF(ISERROR(MATCH(AllProtiens!F846,Genomes!$C:$C,0)),0,1)</f>
        <v>1</v>
      </c>
      <c r="H846">
        <f>IF(ISERROR(MATCH(AllProtiens!A846,CoreProteinGroups!B:B,0)),0,1)</f>
        <v>1</v>
      </c>
      <c r="J846" s="6" t="s">
        <v>129</v>
      </c>
    </row>
    <row r="847" spans="1:10" x14ac:dyDescent="0.2">
      <c r="A847" s="1" t="s">
        <v>1498</v>
      </c>
      <c r="B847" t="s">
        <v>1499</v>
      </c>
      <c r="C847" t="s">
        <v>1559</v>
      </c>
      <c r="D847" s="6" t="str">
        <f t="shared" si="13"/>
        <v>PROT:AKJ93685.1</v>
      </c>
      <c r="E847" t="s">
        <v>1560</v>
      </c>
      <c r="F847" t="s">
        <v>131</v>
      </c>
      <c r="G847">
        <f>IF(ISERROR(MATCH(AllProtiens!F847,Genomes!$C:$C,0)),0,1)</f>
        <v>1</v>
      </c>
      <c r="H847">
        <f>IF(ISERROR(MATCH(AllProtiens!A847,CoreProteinGroups!B:B,0)),0,1)</f>
        <v>1</v>
      </c>
      <c r="J847" s="6" t="s">
        <v>132</v>
      </c>
    </row>
    <row r="848" spans="1:10" x14ac:dyDescent="0.2">
      <c r="A848" s="1" t="s">
        <v>1498</v>
      </c>
      <c r="B848" t="s">
        <v>1499</v>
      </c>
      <c r="C848" t="s">
        <v>1561</v>
      </c>
      <c r="D848" s="6" t="str">
        <f t="shared" si="13"/>
        <v>PROT:AOP31534.1</v>
      </c>
      <c r="E848" t="s">
        <v>1503</v>
      </c>
      <c r="F848" t="s">
        <v>134</v>
      </c>
      <c r="G848">
        <f>IF(ISERROR(MATCH(AllProtiens!F848,Genomes!$C:$C,0)),0,1)</f>
        <v>1</v>
      </c>
      <c r="H848">
        <f>IF(ISERROR(MATCH(AllProtiens!A848,CoreProteinGroups!B:B,0)),0,1)</f>
        <v>1</v>
      </c>
      <c r="J848" s="6" t="s">
        <v>135</v>
      </c>
    </row>
    <row r="849" spans="1:10" x14ac:dyDescent="0.2">
      <c r="A849" s="1" t="s">
        <v>1498</v>
      </c>
      <c r="B849" t="s">
        <v>1499</v>
      </c>
      <c r="C849" t="s">
        <v>1562</v>
      </c>
      <c r="D849" s="6" t="str">
        <f t="shared" si="13"/>
        <v>PROT:ABD97624.1</v>
      </c>
      <c r="E849" t="s">
        <v>1563</v>
      </c>
      <c r="F849" t="s">
        <v>137</v>
      </c>
      <c r="G849">
        <f>IF(ISERROR(MATCH(AllProtiens!F849,Genomes!$C:$C,0)),0,1)</f>
        <v>1</v>
      </c>
      <c r="H849">
        <f>IF(ISERROR(MATCH(AllProtiens!A849,CoreProteinGroups!B:B,0)),0,1)</f>
        <v>1</v>
      </c>
      <c r="J849" s="6" t="s">
        <v>138</v>
      </c>
    </row>
    <row r="850" spans="1:10" x14ac:dyDescent="0.2">
      <c r="A850" s="1" t="s">
        <v>1498</v>
      </c>
      <c r="B850" t="s">
        <v>1499</v>
      </c>
      <c r="C850" t="s">
        <v>1564</v>
      </c>
      <c r="D850" s="6" t="str">
        <f t="shared" si="13"/>
        <v>PROT:AAO89336.1</v>
      </c>
      <c r="E850" t="s">
        <v>1563</v>
      </c>
      <c r="F850" t="s">
        <v>140</v>
      </c>
      <c r="G850">
        <f>IF(ISERROR(MATCH(AllProtiens!F850,Genomes!$C:$C,0)),0,1)</f>
        <v>1</v>
      </c>
      <c r="H850">
        <f>IF(ISERROR(MATCH(AllProtiens!A850,CoreProteinGroups!B:B,0)),0,1)</f>
        <v>1</v>
      </c>
      <c r="J850" s="6" t="s">
        <v>141</v>
      </c>
    </row>
    <row r="851" spans="1:10" x14ac:dyDescent="0.2">
      <c r="A851" s="1" t="s">
        <v>1498</v>
      </c>
      <c r="B851" t="s">
        <v>1499</v>
      </c>
      <c r="C851" t="s">
        <v>1565</v>
      </c>
      <c r="D851" s="6" t="str">
        <f t="shared" si="13"/>
        <v>PROT:CAA48983.1</v>
      </c>
      <c r="E851" t="s">
        <v>1566</v>
      </c>
      <c r="F851" t="s">
        <v>144</v>
      </c>
      <c r="G851">
        <f>IF(ISERROR(MATCH(AllProtiens!F851,Genomes!$C:$C,0)),0,1)</f>
        <v>1</v>
      </c>
      <c r="H851">
        <f>IF(ISERROR(MATCH(AllProtiens!A851,CoreProteinGroups!B:B,0)),0,1)</f>
        <v>1</v>
      </c>
      <c r="J851" s="6" t="s">
        <v>145</v>
      </c>
    </row>
    <row r="852" spans="1:10" x14ac:dyDescent="0.2">
      <c r="A852" s="1" t="s">
        <v>1498</v>
      </c>
      <c r="B852" t="s">
        <v>1499</v>
      </c>
      <c r="C852" t="s">
        <v>1567</v>
      </c>
      <c r="D852" s="6" t="str">
        <f t="shared" si="13"/>
        <v>PROT:CAB54642.1</v>
      </c>
      <c r="E852" t="s">
        <v>1568</v>
      </c>
      <c r="F852" t="s">
        <v>148</v>
      </c>
      <c r="G852">
        <f>IF(ISERROR(MATCH(AllProtiens!F852,Genomes!$C:$C,0)),0,1)</f>
        <v>1</v>
      </c>
      <c r="H852">
        <f>IF(ISERROR(MATCH(AllProtiens!A852,CoreProteinGroups!B:B,0)),0,1)</f>
        <v>1</v>
      </c>
      <c r="J852" s="6" t="s">
        <v>149</v>
      </c>
    </row>
    <row r="853" spans="1:10" x14ac:dyDescent="0.2">
      <c r="A853" s="1" t="s">
        <v>1498</v>
      </c>
      <c r="B853" t="s">
        <v>1499</v>
      </c>
      <c r="C853" t="s">
        <v>1569</v>
      </c>
      <c r="D853" s="6" t="str">
        <f t="shared" si="13"/>
        <v>PROT:AOP31745.1</v>
      </c>
      <c r="E853" t="s">
        <v>1503</v>
      </c>
      <c r="F853" t="s">
        <v>151</v>
      </c>
      <c r="G853">
        <f>IF(ISERROR(MATCH(AllProtiens!F853,Genomes!$C:$C,0)),0,1)</f>
        <v>1</v>
      </c>
      <c r="H853">
        <f>IF(ISERROR(MATCH(AllProtiens!A853,CoreProteinGroups!B:B,0)),0,1)</f>
        <v>1</v>
      </c>
      <c r="J853" s="6" t="s">
        <v>152</v>
      </c>
    </row>
    <row r="854" spans="1:10" x14ac:dyDescent="0.2">
      <c r="A854" s="1" t="s">
        <v>1498</v>
      </c>
      <c r="B854" t="s">
        <v>1499</v>
      </c>
      <c r="C854" t="s">
        <v>1570</v>
      </c>
      <c r="D854" s="6" t="str">
        <f t="shared" si="13"/>
        <v>PROT:ASC55617.1</v>
      </c>
      <c r="E854" t="s">
        <v>1571</v>
      </c>
      <c r="F854" t="s">
        <v>155</v>
      </c>
      <c r="G854">
        <f>IF(ISERROR(MATCH(AllProtiens!F854,Genomes!$C:$C,0)),0,1)</f>
        <v>1</v>
      </c>
      <c r="H854">
        <f>IF(ISERROR(MATCH(AllProtiens!A854,CoreProteinGroups!B:B,0)),0,1)</f>
        <v>1</v>
      </c>
      <c r="J854" s="6" t="s">
        <v>156</v>
      </c>
    </row>
    <row r="855" spans="1:10" x14ac:dyDescent="0.2">
      <c r="A855" s="1" t="s">
        <v>1498</v>
      </c>
      <c r="B855" t="s">
        <v>1499</v>
      </c>
      <c r="C855" t="s">
        <v>1572</v>
      </c>
      <c r="D855" s="6" t="str">
        <f t="shared" si="13"/>
        <v>PROT:AAR98375.1</v>
      </c>
      <c r="E855" t="s">
        <v>1573</v>
      </c>
      <c r="F855" t="s">
        <v>159</v>
      </c>
      <c r="G855">
        <f>IF(ISERROR(MATCH(AllProtiens!F855,Genomes!$C:$C,0)),0,1)</f>
        <v>1</v>
      </c>
      <c r="H855">
        <f>IF(ISERROR(MATCH(AllProtiens!A855,CoreProteinGroups!B:B,0)),0,1)</f>
        <v>1</v>
      </c>
      <c r="J855" s="6" t="s">
        <v>160</v>
      </c>
    </row>
    <row r="856" spans="1:10" x14ac:dyDescent="0.2">
      <c r="A856" s="1" t="s">
        <v>1498</v>
      </c>
      <c r="B856" t="s">
        <v>1499</v>
      </c>
      <c r="C856" t="s">
        <v>1574</v>
      </c>
      <c r="D856" s="6" t="str">
        <f t="shared" si="13"/>
        <v>PROT:AAR98243.1</v>
      </c>
      <c r="E856" t="s">
        <v>1573</v>
      </c>
      <c r="F856" t="s">
        <v>162</v>
      </c>
      <c r="G856">
        <f>IF(ISERROR(MATCH(AllProtiens!F856,Genomes!$C:$C,0)),0,1)</f>
        <v>1</v>
      </c>
      <c r="H856">
        <f>IF(ISERROR(MATCH(AllProtiens!A856,CoreProteinGroups!B:B,0)),0,1)</f>
        <v>1</v>
      </c>
      <c r="J856" s="6" t="s">
        <v>163</v>
      </c>
    </row>
    <row r="857" spans="1:10" x14ac:dyDescent="0.2">
      <c r="A857" s="1" t="s">
        <v>1498</v>
      </c>
      <c r="B857" t="s">
        <v>1499</v>
      </c>
      <c r="C857" t="s">
        <v>1575</v>
      </c>
      <c r="D857" s="6" t="str">
        <f t="shared" si="13"/>
        <v>PROT:ABA00535.1</v>
      </c>
      <c r="E857" t="s">
        <v>1576</v>
      </c>
      <c r="F857" t="s">
        <v>162</v>
      </c>
      <c r="G857">
        <f>IF(ISERROR(MATCH(AllProtiens!F857,Genomes!$C:$C,0)),0,1)</f>
        <v>1</v>
      </c>
      <c r="H857">
        <f>IF(ISERROR(MATCH(AllProtiens!A857,CoreProteinGroups!B:B,0)),0,1)</f>
        <v>1</v>
      </c>
      <c r="J857" s="6" t="s">
        <v>163</v>
      </c>
    </row>
    <row r="858" spans="1:10" x14ac:dyDescent="0.2">
      <c r="A858" s="1" t="s">
        <v>1498</v>
      </c>
      <c r="B858" t="s">
        <v>1499</v>
      </c>
      <c r="C858" t="s">
        <v>1577</v>
      </c>
      <c r="D858" s="6" t="str">
        <f t="shared" si="13"/>
        <v>PROT:AIZ77269.1</v>
      </c>
      <c r="E858" t="s">
        <v>1578</v>
      </c>
      <c r="F858" t="s">
        <v>167</v>
      </c>
      <c r="G858">
        <f>IF(ISERROR(MATCH(AllProtiens!F858,Genomes!$C:$C,0)),0,1)</f>
        <v>1</v>
      </c>
      <c r="H858">
        <f>IF(ISERROR(MATCH(AllProtiens!A858,CoreProteinGroups!B:B,0)),0,1)</f>
        <v>1</v>
      </c>
      <c r="J858" s="6" t="s">
        <v>168</v>
      </c>
    </row>
    <row r="859" spans="1:10" x14ac:dyDescent="0.2">
      <c r="A859" s="1" t="s">
        <v>1498</v>
      </c>
      <c r="B859" t="s">
        <v>1499</v>
      </c>
      <c r="C859" t="s">
        <v>1579</v>
      </c>
      <c r="D859" s="6" t="str">
        <f t="shared" si="13"/>
        <v>PROT:ADC53919.1</v>
      </c>
      <c r="E859" t="s">
        <v>1580</v>
      </c>
      <c r="F859" t="s">
        <v>170</v>
      </c>
      <c r="G859">
        <f>IF(ISERROR(MATCH(AllProtiens!F859,Genomes!$C:$C,0)),0,1)</f>
        <v>1</v>
      </c>
      <c r="H859">
        <f>IF(ISERROR(MATCH(AllProtiens!A859,CoreProteinGroups!B:B,0)),0,1)</f>
        <v>1</v>
      </c>
      <c r="J859" s="6" t="s">
        <v>171</v>
      </c>
    </row>
    <row r="860" spans="1:10" x14ac:dyDescent="0.2">
      <c r="A860" s="1" t="s">
        <v>1498</v>
      </c>
      <c r="B860" t="s">
        <v>1499</v>
      </c>
      <c r="C860" t="s">
        <v>1581</v>
      </c>
      <c r="D860" s="6" t="str">
        <f t="shared" si="13"/>
        <v>PROT:AAL69769.1</v>
      </c>
      <c r="E860" t="s">
        <v>1582</v>
      </c>
      <c r="F860" t="s">
        <v>174</v>
      </c>
      <c r="G860">
        <f>IF(ISERROR(MATCH(AllProtiens!F860,Genomes!$C:$C,0)),0,1)</f>
        <v>1</v>
      </c>
      <c r="H860">
        <f>IF(ISERROR(MATCH(AllProtiens!A860,CoreProteinGroups!B:B,0)),0,1)</f>
        <v>1</v>
      </c>
      <c r="J860" s="6" t="s">
        <v>175</v>
      </c>
    </row>
    <row r="861" spans="1:10" x14ac:dyDescent="0.2">
      <c r="A861" s="1" t="s">
        <v>1498</v>
      </c>
      <c r="B861" t="s">
        <v>1499</v>
      </c>
      <c r="C861" t="s">
        <v>1583</v>
      </c>
      <c r="D861" s="6" t="str">
        <f t="shared" si="13"/>
        <v>PROT:CAC21270.1</v>
      </c>
      <c r="E861" t="s">
        <v>1584</v>
      </c>
      <c r="F861" t="s">
        <v>178</v>
      </c>
      <c r="G861">
        <f>IF(ISERROR(MATCH(AllProtiens!F861,Genomes!$C:$C,0)),0,1)</f>
        <v>1</v>
      </c>
      <c r="H861">
        <f>IF(ISERROR(MATCH(AllProtiens!A861,CoreProteinGroups!B:B,0)),0,1)</f>
        <v>1</v>
      </c>
      <c r="J861" s="6" t="s">
        <v>179</v>
      </c>
    </row>
    <row r="862" spans="1:10" x14ac:dyDescent="0.2">
      <c r="A862" s="1" t="s">
        <v>1498</v>
      </c>
      <c r="B862" t="s">
        <v>1499</v>
      </c>
      <c r="C862" t="s">
        <v>1585</v>
      </c>
      <c r="D862" s="6" t="str">
        <f t="shared" si="13"/>
        <v>PROT:AAR07389.1</v>
      </c>
      <c r="E862" t="s">
        <v>1586</v>
      </c>
      <c r="F862" t="s">
        <v>182</v>
      </c>
      <c r="G862">
        <f>IF(ISERROR(MATCH(AllProtiens!F862,Genomes!$C:$C,0)),0,1)</f>
        <v>1</v>
      </c>
      <c r="H862">
        <f>IF(ISERROR(MATCH(AllProtiens!A862,CoreProteinGroups!B:B,0)),0,1)</f>
        <v>1</v>
      </c>
      <c r="J862" s="6" t="s">
        <v>183</v>
      </c>
    </row>
    <row r="863" spans="1:10" x14ac:dyDescent="0.2">
      <c r="A863" s="1" t="s">
        <v>1498</v>
      </c>
      <c r="B863" t="s">
        <v>1499</v>
      </c>
      <c r="C863" t="s">
        <v>1587</v>
      </c>
      <c r="D863" s="6" t="str">
        <f t="shared" si="13"/>
        <v>PROT:AAC97789.1</v>
      </c>
      <c r="E863" t="s">
        <v>1588</v>
      </c>
      <c r="F863" t="s">
        <v>186</v>
      </c>
      <c r="G863">
        <f>IF(ISERROR(MATCH(AllProtiens!F863,Genomes!$C:$C,0)),0,1)</f>
        <v>1</v>
      </c>
      <c r="H863">
        <f>IF(ISERROR(MATCH(AllProtiens!A863,CoreProteinGroups!B:B,0)),0,1)</f>
        <v>1</v>
      </c>
      <c r="J863" s="6" t="s">
        <v>187</v>
      </c>
    </row>
    <row r="864" spans="1:10" x14ac:dyDescent="0.2">
      <c r="A864" s="1" t="s">
        <v>1498</v>
      </c>
      <c r="B864" t="s">
        <v>1499</v>
      </c>
      <c r="C864" t="s">
        <v>1589</v>
      </c>
      <c r="D864" s="6" t="str">
        <f t="shared" si="13"/>
        <v>PROT:BAO49506.1</v>
      </c>
      <c r="E864" t="s">
        <v>1590</v>
      </c>
      <c r="F864" t="s">
        <v>190</v>
      </c>
      <c r="G864">
        <f>IF(ISERROR(MATCH(AllProtiens!F864,Genomes!$C:$C,0)),0,1)</f>
        <v>1</v>
      </c>
      <c r="H864">
        <f>IF(ISERROR(MATCH(AllProtiens!A864,CoreProteinGroups!B:B,0)),0,1)</f>
        <v>1</v>
      </c>
      <c r="J864" s="6" t="s">
        <v>191</v>
      </c>
    </row>
    <row r="865" spans="1:10" x14ac:dyDescent="0.2">
      <c r="A865" s="1" t="s">
        <v>1498</v>
      </c>
      <c r="B865" t="s">
        <v>1499</v>
      </c>
      <c r="C865" t="s">
        <v>1591</v>
      </c>
      <c r="D865" s="6" t="str">
        <f t="shared" si="13"/>
        <v>PROT:CCU55359.1</v>
      </c>
      <c r="E865" t="s">
        <v>1592</v>
      </c>
      <c r="F865" t="s">
        <v>193</v>
      </c>
      <c r="G865">
        <f>IF(ISERROR(MATCH(AllProtiens!F865,Genomes!$C:$C,0)),0,1)</f>
        <v>1</v>
      </c>
      <c r="H865">
        <f>IF(ISERROR(MATCH(AllProtiens!A865,CoreProteinGroups!B:B,0)),0,1)</f>
        <v>1</v>
      </c>
      <c r="J865" s="6" t="s">
        <v>194</v>
      </c>
    </row>
    <row r="866" spans="1:10" x14ac:dyDescent="0.2">
      <c r="A866" s="1" t="s">
        <v>1498</v>
      </c>
      <c r="B866" t="s">
        <v>1499</v>
      </c>
      <c r="C866" t="s">
        <v>1593</v>
      </c>
      <c r="D866" s="6" t="str">
        <f t="shared" si="13"/>
        <v>PROT:AAG02744.1</v>
      </c>
      <c r="E866" t="s">
        <v>1594</v>
      </c>
      <c r="F866" t="s">
        <v>197</v>
      </c>
      <c r="G866">
        <f>IF(ISERROR(MATCH(AllProtiens!F866,Genomes!$C:$C,0)),0,1)</f>
        <v>1</v>
      </c>
      <c r="H866">
        <f>IF(ISERROR(MATCH(AllProtiens!A866,CoreProteinGroups!B:B,0)),0,1)</f>
        <v>1</v>
      </c>
      <c r="J866" s="6" t="s">
        <v>198</v>
      </c>
    </row>
    <row r="867" spans="1:10" x14ac:dyDescent="0.2">
      <c r="A867" s="1" t="s">
        <v>1498</v>
      </c>
      <c r="B867" t="s">
        <v>1499</v>
      </c>
      <c r="C867" t="s">
        <v>1595</v>
      </c>
      <c r="D867" s="6" t="str">
        <f t="shared" si="13"/>
        <v>PROT:CCU55653.1</v>
      </c>
      <c r="E867" t="s">
        <v>1592</v>
      </c>
      <c r="F867" t="s">
        <v>200</v>
      </c>
      <c r="G867">
        <f>IF(ISERROR(MATCH(AllProtiens!F867,Genomes!$C:$C,0)),0,1)</f>
        <v>1</v>
      </c>
      <c r="H867">
        <f>IF(ISERROR(MATCH(AllProtiens!A867,CoreProteinGroups!B:B,0)),0,1)</f>
        <v>1</v>
      </c>
      <c r="J867" s="6" t="s">
        <v>201</v>
      </c>
    </row>
    <row r="868" spans="1:10" x14ac:dyDescent="0.2">
      <c r="A868" s="1" t="s">
        <v>1498</v>
      </c>
      <c r="B868" t="s">
        <v>1499</v>
      </c>
      <c r="C868" t="s">
        <v>1596</v>
      </c>
      <c r="D868" s="6" t="str">
        <f t="shared" si="13"/>
        <v>PROT:CCU55966.1</v>
      </c>
      <c r="E868" t="s">
        <v>1592</v>
      </c>
      <c r="F868" t="s">
        <v>203</v>
      </c>
      <c r="G868">
        <f>IF(ISERROR(MATCH(AllProtiens!F868,Genomes!$C:$C,0)),0,1)</f>
        <v>1</v>
      </c>
      <c r="H868">
        <f>IF(ISERROR(MATCH(AllProtiens!A868,CoreProteinGroups!B:B,0)),0,1)</f>
        <v>1</v>
      </c>
      <c r="J868" s="6" t="s">
        <v>204</v>
      </c>
    </row>
    <row r="869" spans="1:10" x14ac:dyDescent="0.2">
      <c r="A869" s="1" t="s">
        <v>1498</v>
      </c>
      <c r="B869" t="s">
        <v>1499</v>
      </c>
      <c r="C869" t="s">
        <v>1597</v>
      </c>
      <c r="D869" s="6" t="str">
        <f t="shared" si="13"/>
        <v>PROT:CCU56262.1</v>
      </c>
      <c r="E869" t="s">
        <v>1592</v>
      </c>
      <c r="F869" t="s">
        <v>206</v>
      </c>
      <c r="G869">
        <f>IF(ISERROR(MATCH(AllProtiens!F869,Genomes!$C:$C,0)),0,1)</f>
        <v>1</v>
      </c>
      <c r="H869">
        <f>IF(ISERROR(MATCH(AllProtiens!A869,CoreProteinGroups!B:B,0)),0,1)</f>
        <v>1</v>
      </c>
      <c r="J869" s="6" t="s">
        <v>207</v>
      </c>
    </row>
    <row r="870" spans="1:10" x14ac:dyDescent="0.2">
      <c r="A870" s="1" t="s">
        <v>1498</v>
      </c>
      <c r="B870" t="s">
        <v>1499</v>
      </c>
      <c r="C870" t="s">
        <v>1598</v>
      </c>
      <c r="D870" s="6" t="str">
        <f t="shared" si="13"/>
        <v>PROT:NP_659604.1</v>
      </c>
      <c r="E870" t="s">
        <v>1599</v>
      </c>
      <c r="F870" t="s">
        <v>210</v>
      </c>
      <c r="G870">
        <f>IF(ISERROR(MATCH(AllProtiens!F870,Genomes!$C:$C,0)),0,1)</f>
        <v>1</v>
      </c>
      <c r="H870">
        <f>IF(ISERROR(MATCH(AllProtiens!A870,CoreProteinGroups!B:B,0)),0,1)</f>
        <v>1</v>
      </c>
      <c r="J870" s="6" t="s">
        <v>211</v>
      </c>
    </row>
    <row r="871" spans="1:10" x14ac:dyDescent="0.2">
      <c r="A871" s="1" t="s">
        <v>1498</v>
      </c>
      <c r="B871" t="s">
        <v>1499</v>
      </c>
      <c r="C871" t="s">
        <v>1600</v>
      </c>
      <c r="D871" s="6" t="str">
        <f t="shared" si="13"/>
        <v>PROT:YP_001293223.1</v>
      </c>
      <c r="E871" t="s">
        <v>1601</v>
      </c>
      <c r="F871" t="s">
        <v>214</v>
      </c>
      <c r="G871">
        <f>IF(ISERROR(MATCH(AllProtiens!F871,Genomes!$C:$C,0)),0,1)</f>
        <v>1</v>
      </c>
      <c r="H871">
        <f>IF(ISERROR(MATCH(AllProtiens!A871,CoreProteinGroups!B:B,0)),0,1)</f>
        <v>1</v>
      </c>
      <c r="J871" s="6" t="s">
        <v>215</v>
      </c>
    </row>
    <row r="872" spans="1:10" x14ac:dyDescent="0.2">
      <c r="A872" s="1" t="s">
        <v>1602</v>
      </c>
      <c r="B872" t="s">
        <v>1603</v>
      </c>
      <c r="C872" t="s">
        <v>1604</v>
      </c>
      <c r="D872" s="6" t="str">
        <f t="shared" si="13"/>
        <v>PROT:ATI21146.1</v>
      </c>
      <c r="E872" t="s">
        <v>1603</v>
      </c>
      <c r="F872" t="s">
        <v>14</v>
      </c>
      <c r="G872">
        <f>IF(ISERROR(MATCH(AllProtiens!F872,Genomes!$C:$C,0)),0,1)</f>
        <v>1</v>
      </c>
      <c r="H872">
        <f>IF(ISERROR(MATCH(AllProtiens!A872,CoreProteinGroups!B:B,0)),0,1)</f>
        <v>1</v>
      </c>
      <c r="J872" s="6" t="s">
        <v>15</v>
      </c>
    </row>
    <row r="873" spans="1:10" x14ac:dyDescent="0.2">
      <c r="A873" s="1" t="s">
        <v>1602</v>
      </c>
      <c r="B873" t="s">
        <v>1603</v>
      </c>
      <c r="C873" t="s">
        <v>1605</v>
      </c>
      <c r="D873" s="6" t="str">
        <f t="shared" si="13"/>
        <v>PROT:AWU47083.1</v>
      </c>
      <c r="E873" t="s">
        <v>1606</v>
      </c>
      <c r="F873" t="s">
        <v>17</v>
      </c>
      <c r="G873">
        <f>IF(ISERROR(MATCH(AllProtiens!F873,Genomes!$C:$C,0)),0,1)</f>
        <v>1</v>
      </c>
      <c r="H873">
        <f>IF(ISERROR(MATCH(AllProtiens!A873,CoreProteinGroups!B:B,0)),0,1)</f>
        <v>1</v>
      </c>
      <c r="J873" s="6" t="s">
        <v>18</v>
      </c>
    </row>
    <row r="874" spans="1:10" x14ac:dyDescent="0.2">
      <c r="A874" s="1" t="s">
        <v>1602</v>
      </c>
      <c r="B874" t="s">
        <v>1603</v>
      </c>
      <c r="C874" t="s">
        <v>1607</v>
      </c>
      <c r="D874" s="6" t="str">
        <f t="shared" si="13"/>
        <v>PROT:APG58250.1</v>
      </c>
      <c r="E874" t="s">
        <v>1608</v>
      </c>
      <c r="F874" t="s">
        <v>21</v>
      </c>
      <c r="G874">
        <f>IF(ISERROR(MATCH(AllProtiens!F874,Genomes!$C:$C,0)),0,1)</f>
        <v>1</v>
      </c>
      <c r="H874">
        <f>IF(ISERROR(MATCH(AllProtiens!A874,CoreProteinGroups!B:B,0)),0,1)</f>
        <v>1</v>
      </c>
      <c r="J874" s="6" t="s">
        <v>22</v>
      </c>
    </row>
    <row r="875" spans="1:10" x14ac:dyDescent="0.2">
      <c r="A875" s="1" t="s">
        <v>1602</v>
      </c>
      <c r="B875" t="s">
        <v>1603</v>
      </c>
      <c r="C875" t="s">
        <v>1609</v>
      </c>
      <c r="D875" s="6" t="str">
        <f t="shared" si="13"/>
        <v>PROT:ADT91073.1</v>
      </c>
      <c r="E875" t="s">
        <v>1603</v>
      </c>
      <c r="F875" t="s">
        <v>25</v>
      </c>
      <c r="G875">
        <f>IF(ISERROR(MATCH(AllProtiens!F875,Genomes!$C:$C,0)),0,1)</f>
        <v>1</v>
      </c>
      <c r="H875">
        <f>IF(ISERROR(MATCH(AllProtiens!A875,CoreProteinGroups!B:B,0)),0,1)</f>
        <v>1</v>
      </c>
      <c r="J875" s="6" t="s">
        <v>26</v>
      </c>
    </row>
    <row r="876" spans="1:10" x14ac:dyDescent="0.2">
      <c r="A876" s="1" t="s">
        <v>1602</v>
      </c>
      <c r="B876" t="s">
        <v>1603</v>
      </c>
      <c r="C876" t="s">
        <v>1610</v>
      </c>
      <c r="D876" s="6" t="str">
        <f t="shared" si="13"/>
        <v>PROT:ANS71127.1</v>
      </c>
      <c r="E876" t="s">
        <v>1603</v>
      </c>
      <c r="F876" t="s">
        <v>28</v>
      </c>
      <c r="G876">
        <f>IF(ISERROR(MATCH(AllProtiens!F876,Genomes!$C:$C,0)),0,1)</f>
        <v>1</v>
      </c>
      <c r="H876">
        <f>IF(ISERROR(MATCH(AllProtiens!A876,CoreProteinGroups!B:B,0)),0,1)</f>
        <v>1</v>
      </c>
      <c r="J876" s="6" t="s">
        <v>29</v>
      </c>
    </row>
    <row r="877" spans="1:10" x14ac:dyDescent="0.2">
      <c r="A877" s="1" t="s">
        <v>1602</v>
      </c>
      <c r="B877" t="s">
        <v>1603</v>
      </c>
      <c r="C877" t="s">
        <v>1611</v>
      </c>
      <c r="D877" s="6" t="str">
        <f t="shared" si="13"/>
        <v>PROT:AKR04201.1</v>
      </c>
      <c r="E877" t="s">
        <v>1612</v>
      </c>
      <c r="F877" t="s">
        <v>32</v>
      </c>
      <c r="G877">
        <f>IF(ISERROR(MATCH(AllProtiens!F877,Genomes!$C:$C,0)),0,1)</f>
        <v>1</v>
      </c>
      <c r="H877">
        <f>IF(ISERROR(MATCH(AllProtiens!A877,CoreProteinGroups!B:B,0)),0,1)</f>
        <v>1</v>
      </c>
      <c r="J877" s="6" t="s">
        <v>33</v>
      </c>
    </row>
    <row r="878" spans="1:10" x14ac:dyDescent="0.2">
      <c r="A878" s="1" t="s">
        <v>1602</v>
      </c>
      <c r="B878" t="s">
        <v>1603</v>
      </c>
      <c r="C878" t="s">
        <v>1613</v>
      </c>
      <c r="D878" s="6" t="str">
        <f t="shared" si="13"/>
        <v>PROT:CCD83216.1</v>
      </c>
      <c r="E878" t="s">
        <v>1614</v>
      </c>
      <c r="F878" t="s">
        <v>36</v>
      </c>
      <c r="G878">
        <f>IF(ISERROR(MATCH(AllProtiens!F878,Genomes!$C:$C,0)),0,1)</f>
        <v>1</v>
      </c>
      <c r="H878">
        <f>IF(ISERROR(MATCH(AllProtiens!A878,CoreProteinGroups!B:B,0)),0,1)</f>
        <v>1</v>
      </c>
      <c r="J878" s="6" t="s">
        <v>37</v>
      </c>
    </row>
    <row r="879" spans="1:10" x14ac:dyDescent="0.2">
      <c r="A879" s="1" t="s">
        <v>1602</v>
      </c>
      <c r="B879" t="s">
        <v>1603</v>
      </c>
      <c r="C879" t="s">
        <v>1615</v>
      </c>
      <c r="D879" s="6" t="str">
        <f t="shared" si="13"/>
        <v>PROT:ASK51243.1</v>
      </c>
      <c r="E879" t="s">
        <v>1616</v>
      </c>
      <c r="F879" t="s">
        <v>40</v>
      </c>
      <c r="G879">
        <f>IF(ISERROR(MATCH(AllProtiens!F879,Genomes!$C:$C,0)),0,1)</f>
        <v>1</v>
      </c>
      <c r="H879">
        <f>IF(ISERROR(MATCH(AllProtiens!A879,CoreProteinGroups!B:B,0)),0,1)</f>
        <v>1</v>
      </c>
      <c r="J879" s="6" t="s">
        <v>41</v>
      </c>
    </row>
    <row r="880" spans="1:10" x14ac:dyDescent="0.2">
      <c r="A880" s="1" t="s">
        <v>1602</v>
      </c>
      <c r="B880" t="s">
        <v>1603</v>
      </c>
      <c r="C880" t="s">
        <v>1617</v>
      </c>
      <c r="D880" s="6" t="str">
        <f t="shared" si="13"/>
        <v>PROT:AUD40197.1</v>
      </c>
      <c r="E880" t="s">
        <v>1603</v>
      </c>
      <c r="F880" t="s">
        <v>43</v>
      </c>
      <c r="G880">
        <f>IF(ISERROR(MATCH(AllProtiens!F880,Genomes!$C:$C,0)),0,1)</f>
        <v>1</v>
      </c>
      <c r="H880">
        <f>IF(ISERROR(MATCH(AllProtiens!A880,CoreProteinGroups!B:B,0)),0,1)</f>
        <v>1</v>
      </c>
      <c r="J880" s="6" t="s">
        <v>44</v>
      </c>
    </row>
    <row r="881" spans="1:10" x14ac:dyDescent="0.2">
      <c r="A881" s="1" t="s">
        <v>1602</v>
      </c>
      <c r="B881" t="s">
        <v>1603</v>
      </c>
      <c r="C881" t="s">
        <v>1618</v>
      </c>
      <c r="D881" s="6" t="str">
        <f t="shared" si="13"/>
        <v>PROT:AID46832.1</v>
      </c>
      <c r="E881" t="s">
        <v>1619</v>
      </c>
      <c r="F881" t="s">
        <v>46</v>
      </c>
      <c r="G881">
        <f>IF(ISERROR(MATCH(AllProtiens!F881,Genomes!$C:$C,0)),0,1)</f>
        <v>1</v>
      </c>
      <c r="H881">
        <f>IF(ISERROR(MATCH(AllProtiens!A881,CoreProteinGroups!B:B,0)),0,1)</f>
        <v>1</v>
      </c>
      <c r="J881" s="6" t="s">
        <v>47</v>
      </c>
    </row>
    <row r="882" spans="1:10" x14ac:dyDescent="0.2">
      <c r="A882" s="1" t="s">
        <v>1602</v>
      </c>
      <c r="B882" t="s">
        <v>1603</v>
      </c>
      <c r="C882" t="s">
        <v>1620</v>
      </c>
      <c r="D882" s="6" t="str">
        <f t="shared" si="13"/>
        <v>PROT:AID46603.1</v>
      </c>
      <c r="E882" t="s">
        <v>1619</v>
      </c>
      <c r="F882" t="s">
        <v>49</v>
      </c>
      <c r="G882">
        <f>IF(ISERROR(MATCH(AllProtiens!F882,Genomes!$C:$C,0)),0,1)</f>
        <v>1</v>
      </c>
      <c r="H882">
        <f>IF(ISERROR(MATCH(AllProtiens!A882,CoreProteinGroups!B:B,0)),0,1)</f>
        <v>1</v>
      </c>
      <c r="J882" s="6" t="s">
        <v>50</v>
      </c>
    </row>
    <row r="883" spans="1:10" x14ac:dyDescent="0.2">
      <c r="A883" s="1" t="s">
        <v>1602</v>
      </c>
      <c r="B883" t="s">
        <v>1603</v>
      </c>
      <c r="C883" t="s">
        <v>1621</v>
      </c>
      <c r="D883" s="6" t="str">
        <f t="shared" si="13"/>
        <v>PROT:ALA62441.1</v>
      </c>
      <c r="E883" t="s">
        <v>1622</v>
      </c>
      <c r="F883" t="s">
        <v>53</v>
      </c>
      <c r="G883">
        <f>IF(ISERROR(MATCH(AllProtiens!F883,Genomes!$C:$C,0)),0,1)</f>
        <v>1</v>
      </c>
      <c r="H883">
        <f>IF(ISERROR(MATCH(AllProtiens!A883,CoreProteinGroups!B:B,0)),0,1)</f>
        <v>1</v>
      </c>
      <c r="J883" s="6" t="s">
        <v>54</v>
      </c>
    </row>
    <row r="884" spans="1:10" x14ac:dyDescent="0.2">
      <c r="A884" s="1" t="s">
        <v>1602</v>
      </c>
      <c r="B884" t="s">
        <v>1603</v>
      </c>
      <c r="C884" t="s">
        <v>1623</v>
      </c>
      <c r="D884" s="6" t="str">
        <f t="shared" si="13"/>
        <v>PROT:AAR83466.1</v>
      </c>
      <c r="E884" t="s">
        <v>1624</v>
      </c>
      <c r="F884" t="s">
        <v>57</v>
      </c>
      <c r="G884">
        <f>IF(ISERROR(MATCH(AllProtiens!F884,Genomes!$C:$C,0)),0,1)</f>
        <v>1</v>
      </c>
      <c r="H884">
        <f>IF(ISERROR(MATCH(AllProtiens!A884,CoreProteinGroups!B:B,0)),0,1)</f>
        <v>1</v>
      </c>
      <c r="J884" s="6" t="s">
        <v>58</v>
      </c>
    </row>
    <row r="885" spans="1:10" x14ac:dyDescent="0.2">
      <c r="A885" s="1" t="s">
        <v>1602</v>
      </c>
      <c r="B885" t="s">
        <v>1603</v>
      </c>
      <c r="C885" t="s">
        <v>1625</v>
      </c>
      <c r="D885" s="6" t="str">
        <f t="shared" si="13"/>
        <v>PROT:AAF44437.1</v>
      </c>
      <c r="E885" t="s">
        <v>1626</v>
      </c>
      <c r="F885" t="s">
        <v>61</v>
      </c>
      <c r="G885">
        <f>IF(ISERROR(MATCH(AllProtiens!F885,Genomes!$C:$C,0)),0,1)</f>
        <v>1</v>
      </c>
      <c r="H885">
        <f>IF(ISERROR(MATCH(AllProtiens!A885,CoreProteinGroups!B:B,0)),0,1)</f>
        <v>1</v>
      </c>
      <c r="J885" s="6" t="s">
        <v>62</v>
      </c>
    </row>
    <row r="886" spans="1:10" x14ac:dyDescent="0.2">
      <c r="A886" s="1" t="s">
        <v>1602</v>
      </c>
      <c r="B886" t="s">
        <v>1603</v>
      </c>
      <c r="C886" t="s">
        <v>1627</v>
      </c>
      <c r="D886" s="6" t="str">
        <f t="shared" si="13"/>
        <v>PROT:AAK85001.1</v>
      </c>
      <c r="E886" t="s">
        <v>1628</v>
      </c>
      <c r="F886" t="s">
        <v>65</v>
      </c>
      <c r="G886">
        <f>IF(ISERROR(MATCH(AllProtiens!F886,Genomes!$C:$C,0)),0,1)</f>
        <v>1</v>
      </c>
      <c r="H886">
        <f>IF(ISERROR(MATCH(AllProtiens!A886,CoreProteinGroups!B:B,0)),0,1)</f>
        <v>1</v>
      </c>
      <c r="J886" s="6" t="s">
        <v>66</v>
      </c>
    </row>
    <row r="887" spans="1:10" x14ac:dyDescent="0.2">
      <c r="A887" s="1" t="s">
        <v>1602</v>
      </c>
      <c r="B887" t="s">
        <v>1603</v>
      </c>
      <c r="C887" t="s">
        <v>1629</v>
      </c>
      <c r="D887" s="6" t="str">
        <f t="shared" si="13"/>
        <v>PROT:AST09256.1</v>
      </c>
      <c r="E887" t="s">
        <v>1603</v>
      </c>
      <c r="F887" t="s">
        <v>68</v>
      </c>
      <c r="G887">
        <f>IF(ISERROR(MATCH(AllProtiens!F887,Genomes!$C:$C,0)),0,1)</f>
        <v>1</v>
      </c>
      <c r="H887">
        <f>IF(ISERROR(MATCH(AllProtiens!A887,CoreProteinGroups!B:B,0)),0,1)</f>
        <v>1</v>
      </c>
      <c r="J887" s="6" t="s">
        <v>69</v>
      </c>
    </row>
    <row r="888" spans="1:10" x14ac:dyDescent="0.2">
      <c r="A888" s="1" t="s">
        <v>1602</v>
      </c>
      <c r="B888" t="s">
        <v>1603</v>
      </c>
      <c r="C888" t="s">
        <v>1630</v>
      </c>
      <c r="D888" s="6" t="str">
        <f t="shared" si="13"/>
        <v>PROT:AEN03633.1</v>
      </c>
      <c r="E888" t="s">
        <v>1603</v>
      </c>
      <c r="F888" t="s">
        <v>71</v>
      </c>
      <c r="G888">
        <f>IF(ISERROR(MATCH(AllProtiens!F888,Genomes!$C:$C,0)),0,1)</f>
        <v>1</v>
      </c>
      <c r="H888">
        <f>IF(ISERROR(MATCH(AllProtiens!A888,CoreProteinGroups!B:B,0)),0,1)</f>
        <v>1</v>
      </c>
      <c r="J888" s="6" t="s">
        <v>72</v>
      </c>
    </row>
    <row r="889" spans="1:10" x14ac:dyDescent="0.2">
      <c r="A889" s="1" t="s">
        <v>1602</v>
      </c>
      <c r="B889" t="s">
        <v>1603</v>
      </c>
      <c r="C889" t="s">
        <v>1631</v>
      </c>
      <c r="D889" s="6" t="str">
        <f t="shared" si="13"/>
        <v>PROT:ABI99204.1</v>
      </c>
      <c r="E889" t="s">
        <v>1622</v>
      </c>
      <c r="F889" t="s">
        <v>74</v>
      </c>
      <c r="G889">
        <f>IF(ISERROR(MATCH(AllProtiens!F889,Genomes!$C:$C,0)),0,1)</f>
        <v>1</v>
      </c>
      <c r="H889">
        <f>IF(ISERROR(MATCH(AllProtiens!A889,CoreProteinGroups!B:B,0)),0,1)</f>
        <v>1</v>
      </c>
      <c r="J889" s="6" t="s">
        <v>75</v>
      </c>
    </row>
    <row r="890" spans="1:10" x14ac:dyDescent="0.2">
      <c r="A890" s="1" t="s">
        <v>1602</v>
      </c>
      <c r="B890" t="s">
        <v>1603</v>
      </c>
      <c r="C890" t="s">
        <v>1632</v>
      </c>
      <c r="D890" s="6" t="str">
        <f t="shared" si="13"/>
        <v>PROT:ABJ08951.1</v>
      </c>
      <c r="E890" t="s">
        <v>1622</v>
      </c>
      <c r="F890" t="s">
        <v>77</v>
      </c>
      <c r="G890">
        <f>IF(ISERROR(MATCH(AllProtiens!F890,Genomes!$C:$C,0)),0,1)</f>
        <v>1</v>
      </c>
      <c r="H890">
        <f>IF(ISERROR(MATCH(AllProtiens!A890,CoreProteinGroups!B:B,0)),0,1)</f>
        <v>1</v>
      </c>
      <c r="J890" s="6" t="s">
        <v>78</v>
      </c>
    </row>
    <row r="891" spans="1:10" x14ac:dyDescent="0.2">
      <c r="A891" s="1" t="s">
        <v>1602</v>
      </c>
      <c r="B891" t="s">
        <v>1603</v>
      </c>
      <c r="C891" t="s">
        <v>1633</v>
      </c>
      <c r="D891" s="6" t="str">
        <f t="shared" si="13"/>
        <v>PROT:AAF14923.1</v>
      </c>
      <c r="E891" t="s">
        <v>1634</v>
      </c>
      <c r="F891" t="s">
        <v>81</v>
      </c>
      <c r="G891">
        <f>IF(ISERROR(MATCH(AllProtiens!F891,Genomes!$C:$C,0)),0,1)</f>
        <v>0</v>
      </c>
      <c r="H891">
        <f>IF(ISERROR(MATCH(AllProtiens!A891,CoreProteinGroups!B:B,0)),0,1)</f>
        <v>1</v>
      </c>
      <c r="J891" s="6" t="s">
        <v>82</v>
      </c>
    </row>
    <row r="892" spans="1:10" x14ac:dyDescent="0.2">
      <c r="A892" s="1" t="s">
        <v>1602</v>
      </c>
      <c r="B892" t="s">
        <v>1603</v>
      </c>
      <c r="C892" t="s">
        <v>1635</v>
      </c>
      <c r="D892" s="6" t="str">
        <f t="shared" si="13"/>
        <v>PROT:AFU77300.1</v>
      </c>
      <c r="E892" t="s">
        <v>1634</v>
      </c>
      <c r="F892" t="s">
        <v>81</v>
      </c>
      <c r="G892">
        <f>IF(ISERROR(MATCH(AllProtiens!F892,Genomes!$C:$C,0)),0,1)</f>
        <v>0</v>
      </c>
      <c r="H892">
        <f>IF(ISERROR(MATCH(AllProtiens!A892,CoreProteinGroups!B:B,0)),0,1)</f>
        <v>1</v>
      </c>
      <c r="J892" s="6" t="s">
        <v>82</v>
      </c>
    </row>
    <row r="893" spans="1:10" x14ac:dyDescent="0.2">
      <c r="A893" s="1" t="s">
        <v>1602</v>
      </c>
      <c r="B893" t="s">
        <v>1603</v>
      </c>
      <c r="C893" t="s">
        <v>1636</v>
      </c>
      <c r="D893" s="6" t="str">
        <f t="shared" si="13"/>
        <v>PROT:AAF17917.1</v>
      </c>
      <c r="E893" t="s">
        <v>1637</v>
      </c>
      <c r="F893" t="s">
        <v>86</v>
      </c>
      <c r="G893">
        <f>IF(ISERROR(MATCH(AllProtiens!F893,Genomes!$C:$C,0)),0,1)</f>
        <v>1</v>
      </c>
      <c r="H893">
        <f>IF(ISERROR(MATCH(AllProtiens!A893,CoreProteinGroups!B:B,0)),0,1)</f>
        <v>1</v>
      </c>
      <c r="J893" s="6" t="s">
        <v>87</v>
      </c>
    </row>
    <row r="894" spans="1:10" x14ac:dyDescent="0.2">
      <c r="A894" s="1" t="s">
        <v>1602</v>
      </c>
      <c r="B894" t="s">
        <v>1603</v>
      </c>
      <c r="C894" t="s">
        <v>1638</v>
      </c>
      <c r="D894" s="6" t="str">
        <f t="shared" si="13"/>
        <v>PROT:AAC55168.1</v>
      </c>
      <c r="E894" t="s">
        <v>1639</v>
      </c>
      <c r="F894" t="s">
        <v>90</v>
      </c>
      <c r="G894">
        <f>IF(ISERROR(MATCH(AllProtiens!F894,Genomes!$C:$C,0)),0,1)</f>
        <v>1</v>
      </c>
      <c r="H894">
        <f>IF(ISERROR(MATCH(AllProtiens!A894,CoreProteinGroups!B:B,0)),0,1)</f>
        <v>1</v>
      </c>
      <c r="J894" s="6" t="s">
        <v>91</v>
      </c>
    </row>
    <row r="895" spans="1:10" x14ac:dyDescent="0.2">
      <c r="A895" s="1" t="s">
        <v>1602</v>
      </c>
      <c r="B895" t="s">
        <v>1603</v>
      </c>
      <c r="C895" t="s">
        <v>1640</v>
      </c>
      <c r="D895" s="6" t="str">
        <f t="shared" si="13"/>
        <v>PROT:AYN64633.1</v>
      </c>
      <c r="E895" t="s">
        <v>1641</v>
      </c>
      <c r="F895" t="s">
        <v>94</v>
      </c>
      <c r="G895">
        <f>IF(ISERROR(MATCH(AllProtiens!F895,Genomes!$C:$C,0)),0,1)</f>
        <v>1</v>
      </c>
      <c r="H895">
        <f>IF(ISERROR(MATCH(AllProtiens!A895,CoreProteinGroups!B:B,0)),0,1)</f>
        <v>1</v>
      </c>
      <c r="J895" s="6" t="s">
        <v>95</v>
      </c>
    </row>
    <row r="896" spans="1:10" x14ac:dyDescent="0.2">
      <c r="A896" s="1" t="s">
        <v>1602</v>
      </c>
      <c r="B896" t="s">
        <v>1603</v>
      </c>
      <c r="C896" t="s">
        <v>1642</v>
      </c>
      <c r="D896" s="6" t="str">
        <f t="shared" si="13"/>
        <v>PROT:AXN74857.1</v>
      </c>
      <c r="E896" t="s">
        <v>1603</v>
      </c>
      <c r="F896" t="s">
        <v>97</v>
      </c>
      <c r="G896">
        <f>IF(ISERROR(MATCH(AllProtiens!F896,Genomes!$C:$C,0)),0,1)</f>
        <v>1</v>
      </c>
      <c r="H896">
        <f>IF(ISERROR(MATCH(AllProtiens!A896,CoreProteinGroups!B:B,0)),0,1)</f>
        <v>1</v>
      </c>
      <c r="J896" s="6" t="s">
        <v>98</v>
      </c>
    </row>
    <row r="897" spans="1:10" x14ac:dyDescent="0.2">
      <c r="A897" s="1" t="s">
        <v>1602</v>
      </c>
      <c r="B897" t="s">
        <v>1603</v>
      </c>
      <c r="C897" t="s">
        <v>1643</v>
      </c>
      <c r="D897" s="6" t="str">
        <f t="shared" si="13"/>
        <v>PROT:ABH08170.1</v>
      </c>
      <c r="E897" t="s">
        <v>1644</v>
      </c>
      <c r="F897" t="s">
        <v>101</v>
      </c>
      <c r="G897">
        <f>IF(ISERROR(MATCH(AllProtiens!F897,Genomes!$C:$C,0)),0,1)</f>
        <v>1</v>
      </c>
      <c r="H897">
        <f>IF(ISERROR(MATCH(AllProtiens!A897,CoreProteinGroups!B:B,0)),0,1)</f>
        <v>1</v>
      </c>
      <c r="J897" s="6" t="s">
        <v>102</v>
      </c>
    </row>
    <row r="898" spans="1:10" x14ac:dyDescent="0.2">
      <c r="A898" s="1" t="s">
        <v>1602</v>
      </c>
      <c r="B898" t="s">
        <v>1603</v>
      </c>
      <c r="C898" t="s">
        <v>1645</v>
      </c>
      <c r="D898" s="6" t="str">
        <f t="shared" ref="D898:D961" si="14">HYPERLINK(_xlfn.CONCAT("https://www.ncbi.nlm.nih.gov/protein/",C898),_xlfn.CONCAT("PROT:",C898))</f>
        <v>PROT:AAG37528.1</v>
      </c>
      <c r="E898" t="s">
        <v>1646</v>
      </c>
      <c r="F898" t="s">
        <v>105</v>
      </c>
      <c r="G898">
        <f>IF(ISERROR(MATCH(AllProtiens!F898,Genomes!$C:$C,0)),0,1)</f>
        <v>1</v>
      </c>
      <c r="H898">
        <f>IF(ISERROR(MATCH(AllProtiens!A898,CoreProteinGroups!B:B,0)),0,1)</f>
        <v>1</v>
      </c>
      <c r="J898" s="6" t="s">
        <v>106</v>
      </c>
    </row>
    <row r="899" spans="1:10" x14ac:dyDescent="0.2">
      <c r="A899" s="1" t="s">
        <v>1602</v>
      </c>
      <c r="B899" t="s">
        <v>1603</v>
      </c>
      <c r="C899" t="s">
        <v>1647</v>
      </c>
      <c r="D899" s="6" t="str">
        <f t="shared" si="14"/>
        <v>PROT:AAL73769.1</v>
      </c>
      <c r="E899" t="s">
        <v>1648</v>
      </c>
      <c r="F899" t="s">
        <v>109</v>
      </c>
      <c r="G899">
        <f>IF(ISERROR(MATCH(AllProtiens!F899,Genomes!$C:$C,0)),0,1)</f>
        <v>1</v>
      </c>
      <c r="H899">
        <f>IF(ISERROR(MATCH(AllProtiens!A899,CoreProteinGroups!B:B,0)),0,1)</f>
        <v>1</v>
      </c>
      <c r="J899" s="6" t="s">
        <v>110</v>
      </c>
    </row>
    <row r="900" spans="1:10" x14ac:dyDescent="0.2">
      <c r="A900" s="1" t="s">
        <v>1602</v>
      </c>
      <c r="B900" t="s">
        <v>1603</v>
      </c>
      <c r="C900" t="s">
        <v>1649</v>
      </c>
      <c r="D900" s="6" t="str">
        <f t="shared" si="14"/>
        <v>PROT:AAM13521.1</v>
      </c>
      <c r="E900" t="s">
        <v>1650</v>
      </c>
      <c r="F900" t="s">
        <v>113</v>
      </c>
      <c r="G900">
        <f>IF(ISERROR(MATCH(AllProtiens!F900,Genomes!$C:$C,0)),0,1)</f>
        <v>1</v>
      </c>
      <c r="H900">
        <f>IF(ISERROR(MATCH(AllProtiens!A900,CoreProteinGroups!B:B,0)),0,1)</f>
        <v>1</v>
      </c>
      <c r="J900" s="6" t="s">
        <v>114</v>
      </c>
    </row>
    <row r="901" spans="1:10" x14ac:dyDescent="0.2">
      <c r="A901" s="1" t="s">
        <v>1602</v>
      </c>
      <c r="B901" t="s">
        <v>1603</v>
      </c>
      <c r="C901" t="s">
        <v>1651</v>
      </c>
      <c r="D901" s="6" t="str">
        <f t="shared" si="14"/>
        <v>PROT:AAM92354.1</v>
      </c>
      <c r="E901" t="s">
        <v>1652</v>
      </c>
      <c r="F901" t="s">
        <v>117</v>
      </c>
      <c r="G901">
        <f>IF(ISERROR(MATCH(AllProtiens!F901,Genomes!$C:$C,0)),0,1)</f>
        <v>1</v>
      </c>
      <c r="H901">
        <f>IF(ISERROR(MATCH(AllProtiens!A901,CoreProteinGroups!B:B,0)),0,1)</f>
        <v>1</v>
      </c>
      <c r="J901" s="6" t="s">
        <v>118</v>
      </c>
    </row>
    <row r="902" spans="1:10" x14ac:dyDescent="0.2">
      <c r="A902" s="1" t="s">
        <v>1602</v>
      </c>
      <c r="B902" t="s">
        <v>1603</v>
      </c>
      <c r="C902" t="s">
        <v>1653</v>
      </c>
      <c r="D902" s="6" t="str">
        <f t="shared" si="14"/>
        <v>PROT:AFH54612.1</v>
      </c>
      <c r="E902" t="s">
        <v>1654</v>
      </c>
      <c r="F902" t="s">
        <v>120</v>
      </c>
      <c r="G902">
        <f>IF(ISERROR(MATCH(AllProtiens!F902,Genomes!$C:$C,0)),0,1)</f>
        <v>1</v>
      </c>
      <c r="H902">
        <f>IF(ISERROR(MATCH(AllProtiens!A902,CoreProteinGroups!B:B,0)),0,1)</f>
        <v>1</v>
      </c>
      <c r="J902" s="6" t="s">
        <v>121</v>
      </c>
    </row>
    <row r="903" spans="1:10" x14ac:dyDescent="0.2">
      <c r="A903" s="1" t="s">
        <v>1602</v>
      </c>
      <c r="B903" t="s">
        <v>1603</v>
      </c>
      <c r="C903" t="s">
        <v>1655</v>
      </c>
      <c r="D903" s="6" t="str">
        <f t="shared" si="14"/>
        <v>PROT:AAL40516.1</v>
      </c>
      <c r="E903" t="s">
        <v>1656</v>
      </c>
      <c r="F903" t="s">
        <v>124</v>
      </c>
      <c r="G903">
        <f>IF(ISERROR(MATCH(AllProtiens!F903,Genomes!$C:$C,0)),0,1)</f>
        <v>1</v>
      </c>
      <c r="H903">
        <f>IF(ISERROR(MATCH(AllProtiens!A903,CoreProteinGroups!B:B,0)),0,1)</f>
        <v>1</v>
      </c>
      <c r="J903" s="6" t="s">
        <v>125</v>
      </c>
    </row>
    <row r="904" spans="1:10" x14ac:dyDescent="0.2">
      <c r="A904" s="1" t="s">
        <v>1602</v>
      </c>
      <c r="B904" t="s">
        <v>1603</v>
      </c>
      <c r="C904" t="s">
        <v>1657</v>
      </c>
      <c r="D904" s="6" t="str">
        <f t="shared" si="14"/>
        <v>PROT:AAX09153.1</v>
      </c>
      <c r="E904" t="s">
        <v>1658</v>
      </c>
      <c r="F904" t="s">
        <v>128</v>
      </c>
      <c r="G904">
        <f>IF(ISERROR(MATCH(AllProtiens!F904,Genomes!$C:$C,0)),0,1)</f>
        <v>1</v>
      </c>
      <c r="H904">
        <f>IF(ISERROR(MATCH(AllProtiens!A904,CoreProteinGroups!B:B,0)),0,1)</f>
        <v>1</v>
      </c>
      <c r="J904" s="6" t="s">
        <v>129</v>
      </c>
    </row>
    <row r="905" spans="1:10" x14ac:dyDescent="0.2">
      <c r="A905" s="1" t="s">
        <v>1602</v>
      </c>
      <c r="B905" t="s">
        <v>1603</v>
      </c>
      <c r="C905" t="s">
        <v>1659</v>
      </c>
      <c r="D905" s="6" t="str">
        <f t="shared" si="14"/>
        <v>PROT:AKJ93694.1</v>
      </c>
      <c r="E905" t="s">
        <v>1616</v>
      </c>
      <c r="F905" t="s">
        <v>131</v>
      </c>
      <c r="G905">
        <f>IF(ISERROR(MATCH(AllProtiens!F905,Genomes!$C:$C,0)),0,1)</f>
        <v>1</v>
      </c>
      <c r="H905">
        <f>IF(ISERROR(MATCH(AllProtiens!A905,CoreProteinGroups!B:B,0)),0,1)</f>
        <v>1</v>
      </c>
      <c r="J905" s="6" t="s">
        <v>132</v>
      </c>
    </row>
    <row r="906" spans="1:10" x14ac:dyDescent="0.2">
      <c r="A906" s="1" t="s">
        <v>1602</v>
      </c>
      <c r="B906" t="s">
        <v>1603</v>
      </c>
      <c r="C906" t="s">
        <v>1660</v>
      </c>
      <c r="D906" s="6" t="str">
        <f t="shared" si="14"/>
        <v>PROT:AOP31543.1</v>
      </c>
      <c r="E906" t="s">
        <v>1603</v>
      </c>
      <c r="F906" t="s">
        <v>134</v>
      </c>
      <c r="G906">
        <f>IF(ISERROR(MATCH(AllProtiens!F906,Genomes!$C:$C,0)),0,1)</f>
        <v>1</v>
      </c>
      <c r="H906">
        <f>IF(ISERROR(MATCH(AllProtiens!A906,CoreProteinGroups!B:B,0)),0,1)</f>
        <v>1</v>
      </c>
      <c r="J906" s="6" t="s">
        <v>135</v>
      </c>
    </row>
    <row r="907" spans="1:10" x14ac:dyDescent="0.2">
      <c r="A907" s="1" t="s">
        <v>1602</v>
      </c>
      <c r="B907" t="s">
        <v>1603</v>
      </c>
      <c r="C907" t="s">
        <v>1661</v>
      </c>
      <c r="D907" s="6" t="str">
        <f t="shared" si="14"/>
        <v>PROT:ABD97633.1</v>
      </c>
      <c r="E907" t="s">
        <v>1603</v>
      </c>
      <c r="F907" t="s">
        <v>137</v>
      </c>
      <c r="G907">
        <f>IF(ISERROR(MATCH(AllProtiens!F907,Genomes!$C:$C,0)),0,1)</f>
        <v>1</v>
      </c>
      <c r="H907">
        <f>IF(ISERROR(MATCH(AllProtiens!A907,CoreProteinGroups!B:B,0)),0,1)</f>
        <v>1</v>
      </c>
      <c r="J907" s="6" t="s">
        <v>138</v>
      </c>
    </row>
    <row r="908" spans="1:10" x14ac:dyDescent="0.2">
      <c r="A908" s="1" t="s">
        <v>1602</v>
      </c>
      <c r="B908" t="s">
        <v>1603</v>
      </c>
      <c r="C908" t="s">
        <v>1662</v>
      </c>
      <c r="D908" s="6" t="str">
        <f t="shared" si="14"/>
        <v>PROT:AAO89345.1</v>
      </c>
      <c r="E908" t="s">
        <v>1603</v>
      </c>
      <c r="F908" t="s">
        <v>140</v>
      </c>
      <c r="G908">
        <f>IF(ISERROR(MATCH(AllProtiens!F908,Genomes!$C:$C,0)),0,1)</f>
        <v>1</v>
      </c>
      <c r="H908">
        <f>IF(ISERROR(MATCH(AllProtiens!A908,CoreProteinGroups!B:B,0)),0,1)</f>
        <v>1</v>
      </c>
      <c r="J908" s="6" t="s">
        <v>141</v>
      </c>
    </row>
    <row r="909" spans="1:10" x14ac:dyDescent="0.2">
      <c r="A909" s="1" t="s">
        <v>1602</v>
      </c>
      <c r="B909" t="s">
        <v>1603</v>
      </c>
      <c r="C909" t="s">
        <v>1663</v>
      </c>
      <c r="D909" s="6" t="str">
        <f t="shared" si="14"/>
        <v>PROT:CAA48992.1</v>
      </c>
      <c r="E909" t="s">
        <v>1664</v>
      </c>
      <c r="F909" t="s">
        <v>144</v>
      </c>
      <c r="G909">
        <f>IF(ISERROR(MATCH(AllProtiens!F909,Genomes!$C:$C,0)),0,1)</f>
        <v>1</v>
      </c>
      <c r="H909">
        <f>IF(ISERROR(MATCH(AllProtiens!A909,CoreProteinGroups!B:B,0)),0,1)</f>
        <v>1</v>
      </c>
      <c r="J909" s="6" t="s">
        <v>145</v>
      </c>
    </row>
    <row r="910" spans="1:10" x14ac:dyDescent="0.2">
      <c r="A910" s="1" t="s">
        <v>1602</v>
      </c>
      <c r="B910" t="s">
        <v>1603</v>
      </c>
      <c r="C910" t="s">
        <v>1665</v>
      </c>
      <c r="D910" s="6" t="str">
        <f t="shared" si="14"/>
        <v>PROT:CAB54651.1</v>
      </c>
      <c r="E910" t="s">
        <v>1666</v>
      </c>
      <c r="F910" t="s">
        <v>148</v>
      </c>
      <c r="G910">
        <f>IF(ISERROR(MATCH(AllProtiens!F910,Genomes!$C:$C,0)),0,1)</f>
        <v>1</v>
      </c>
      <c r="H910">
        <f>IF(ISERROR(MATCH(AllProtiens!A910,CoreProteinGroups!B:B,0)),0,1)</f>
        <v>1</v>
      </c>
      <c r="J910" s="6" t="s">
        <v>149</v>
      </c>
    </row>
    <row r="911" spans="1:10" x14ac:dyDescent="0.2">
      <c r="A911" s="1" t="s">
        <v>1602</v>
      </c>
      <c r="B911" t="s">
        <v>1603</v>
      </c>
      <c r="C911" t="s">
        <v>1667</v>
      </c>
      <c r="D911" s="6" t="str">
        <f t="shared" si="14"/>
        <v>PROT:AOP31754.1</v>
      </c>
      <c r="E911" t="s">
        <v>1603</v>
      </c>
      <c r="F911" t="s">
        <v>151</v>
      </c>
      <c r="G911">
        <f>IF(ISERROR(MATCH(AllProtiens!F911,Genomes!$C:$C,0)),0,1)</f>
        <v>1</v>
      </c>
      <c r="H911">
        <f>IF(ISERROR(MATCH(AllProtiens!A911,CoreProteinGroups!B:B,0)),0,1)</f>
        <v>1</v>
      </c>
      <c r="J911" s="6" t="s">
        <v>152</v>
      </c>
    </row>
    <row r="912" spans="1:10" x14ac:dyDescent="0.2">
      <c r="A912" s="1" t="s">
        <v>1602</v>
      </c>
      <c r="B912" t="s">
        <v>1603</v>
      </c>
      <c r="C912" t="s">
        <v>1668</v>
      </c>
      <c r="D912" s="6" t="str">
        <f t="shared" si="14"/>
        <v>PROT:ASF89964.1</v>
      </c>
      <c r="E912" t="s">
        <v>1669</v>
      </c>
      <c r="F912" t="s">
        <v>155</v>
      </c>
      <c r="G912">
        <f>IF(ISERROR(MATCH(AllProtiens!F912,Genomes!$C:$C,0)),0,1)</f>
        <v>1</v>
      </c>
      <c r="H912">
        <f>IF(ISERROR(MATCH(AllProtiens!A912,CoreProteinGroups!B:B,0)),0,1)</f>
        <v>1</v>
      </c>
      <c r="J912" s="6" t="s">
        <v>156</v>
      </c>
    </row>
    <row r="913" spans="1:10" x14ac:dyDescent="0.2">
      <c r="A913" s="1" t="s">
        <v>1602</v>
      </c>
      <c r="B913" t="s">
        <v>1603</v>
      </c>
      <c r="C913" t="s">
        <v>1670</v>
      </c>
      <c r="D913" s="6" t="str">
        <f t="shared" si="14"/>
        <v>PROT:AAR98383.1</v>
      </c>
      <c r="E913" t="s">
        <v>1671</v>
      </c>
      <c r="F913" t="s">
        <v>159</v>
      </c>
      <c r="G913">
        <f>IF(ISERROR(MATCH(AllProtiens!F913,Genomes!$C:$C,0)),0,1)</f>
        <v>1</v>
      </c>
      <c r="H913">
        <f>IF(ISERROR(MATCH(AllProtiens!A913,CoreProteinGroups!B:B,0)),0,1)</f>
        <v>1</v>
      </c>
      <c r="J913" s="6" t="s">
        <v>160</v>
      </c>
    </row>
    <row r="914" spans="1:10" x14ac:dyDescent="0.2">
      <c r="A914" s="1" t="s">
        <v>1602</v>
      </c>
      <c r="B914" t="s">
        <v>1603</v>
      </c>
      <c r="C914" t="s">
        <v>1672</v>
      </c>
      <c r="D914" s="6" t="str">
        <f t="shared" si="14"/>
        <v>PROT:AAR98251.1</v>
      </c>
      <c r="E914" t="s">
        <v>1673</v>
      </c>
      <c r="F914" t="s">
        <v>162</v>
      </c>
      <c r="G914">
        <f>IF(ISERROR(MATCH(AllProtiens!F914,Genomes!$C:$C,0)),0,1)</f>
        <v>1</v>
      </c>
      <c r="H914">
        <f>IF(ISERROR(MATCH(AllProtiens!A914,CoreProteinGroups!B:B,0)),0,1)</f>
        <v>1</v>
      </c>
      <c r="J914" s="6" t="s">
        <v>163</v>
      </c>
    </row>
    <row r="915" spans="1:10" x14ac:dyDescent="0.2">
      <c r="A915" s="1" t="s">
        <v>1602</v>
      </c>
      <c r="B915" t="s">
        <v>1603</v>
      </c>
      <c r="C915" t="s">
        <v>1674</v>
      </c>
      <c r="D915" s="6" t="str">
        <f t="shared" si="14"/>
        <v>PROT:ABA00543.1</v>
      </c>
      <c r="E915" t="s">
        <v>1675</v>
      </c>
      <c r="F915" t="s">
        <v>162</v>
      </c>
      <c r="G915">
        <f>IF(ISERROR(MATCH(AllProtiens!F915,Genomes!$C:$C,0)),0,1)</f>
        <v>1</v>
      </c>
      <c r="H915">
        <f>IF(ISERROR(MATCH(AllProtiens!A915,CoreProteinGroups!B:B,0)),0,1)</f>
        <v>1</v>
      </c>
      <c r="J915" s="6" t="s">
        <v>163</v>
      </c>
    </row>
    <row r="916" spans="1:10" x14ac:dyDescent="0.2">
      <c r="A916" s="1" t="s">
        <v>1602</v>
      </c>
      <c r="B916" t="s">
        <v>1603</v>
      </c>
      <c r="C916" t="s">
        <v>1676</v>
      </c>
      <c r="D916" s="6" t="str">
        <f t="shared" si="14"/>
        <v>PROT:AIZ77277.1</v>
      </c>
      <c r="E916" t="s">
        <v>1677</v>
      </c>
      <c r="F916" t="s">
        <v>167</v>
      </c>
      <c r="G916">
        <f>IF(ISERROR(MATCH(AllProtiens!F916,Genomes!$C:$C,0)),0,1)</f>
        <v>1</v>
      </c>
      <c r="H916">
        <f>IF(ISERROR(MATCH(AllProtiens!A916,CoreProteinGroups!B:B,0)),0,1)</f>
        <v>1</v>
      </c>
      <c r="J916" s="6" t="s">
        <v>168</v>
      </c>
    </row>
    <row r="917" spans="1:10" x14ac:dyDescent="0.2">
      <c r="A917" s="1" t="s">
        <v>1602</v>
      </c>
      <c r="B917" t="s">
        <v>1603</v>
      </c>
      <c r="C917" t="s">
        <v>1678</v>
      </c>
      <c r="D917" s="6" t="str">
        <f t="shared" si="14"/>
        <v>PROT:ADC53927.1</v>
      </c>
      <c r="E917" t="s">
        <v>1675</v>
      </c>
      <c r="F917" t="s">
        <v>170</v>
      </c>
      <c r="G917">
        <f>IF(ISERROR(MATCH(AllProtiens!F917,Genomes!$C:$C,0)),0,1)</f>
        <v>1</v>
      </c>
      <c r="H917">
        <f>IF(ISERROR(MATCH(AllProtiens!A917,CoreProteinGroups!B:B,0)),0,1)</f>
        <v>1</v>
      </c>
      <c r="J917" s="6" t="s">
        <v>171</v>
      </c>
    </row>
    <row r="918" spans="1:10" x14ac:dyDescent="0.2">
      <c r="A918" s="1" t="s">
        <v>1602</v>
      </c>
      <c r="B918" t="s">
        <v>1603</v>
      </c>
      <c r="C918" t="s">
        <v>1679</v>
      </c>
      <c r="D918" s="6" t="str">
        <f t="shared" si="14"/>
        <v>PROT:AAL69776.1</v>
      </c>
      <c r="E918" t="s">
        <v>1680</v>
      </c>
      <c r="F918" t="s">
        <v>174</v>
      </c>
      <c r="G918">
        <f>IF(ISERROR(MATCH(AllProtiens!F918,Genomes!$C:$C,0)),0,1)</f>
        <v>1</v>
      </c>
      <c r="H918">
        <f>IF(ISERROR(MATCH(AllProtiens!A918,CoreProteinGroups!B:B,0)),0,1)</f>
        <v>1</v>
      </c>
      <c r="J918" s="6" t="s">
        <v>175</v>
      </c>
    </row>
    <row r="919" spans="1:10" x14ac:dyDescent="0.2">
      <c r="A919" s="1" t="s">
        <v>1602</v>
      </c>
      <c r="B919" t="s">
        <v>1603</v>
      </c>
      <c r="C919" t="s">
        <v>1681</v>
      </c>
      <c r="D919" s="6" t="str">
        <f t="shared" si="14"/>
        <v>PROT:CAC21278.1</v>
      </c>
      <c r="E919" t="s">
        <v>1682</v>
      </c>
      <c r="F919" t="s">
        <v>178</v>
      </c>
      <c r="G919">
        <f>IF(ISERROR(MATCH(AllProtiens!F919,Genomes!$C:$C,0)),0,1)</f>
        <v>1</v>
      </c>
      <c r="H919">
        <f>IF(ISERROR(MATCH(AllProtiens!A919,CoreProteinGroups!B:B,0)),0,1)</f>
        <v>1</v>
      </c>
      <c r="J919" s="6" t="s">
        <v>179</v>
      </c>
    </row>
    <row r="920" spans="1:10" x14ac:dyDescent="0.2">
      <c r="A920" s="1" t="s">
        <v>1602</v>
      </c>
      <c r="B920" t="s">
        <v>1603</v>
      </c>
      <c r="C920" t="s">
        <v>1683</v>
      </c>
      <c r="D920" s="6" t="str">
        <f t="shared" si="14"/>
        <v>PROT:AAR07397.1</v>
      </c>
      <c r="E920" t="s">
        <v>1684</v>
      </c>
      <c r="F920" t="s">
        <v>182</v>
      </c>
      <c r="G920">
        <f>IF(ISERROR(MATCH(AllProtiens!F920,Genomes!$C:$C,0)),0,1)</f>
        <v>1</v>
      </c>
      <c r="H920">
        <f>IF(ISERROR(MATCH(AllProtiens!A920,CoreProteinGroups!B:B,0)),0,1)</f>
        <v>1</v>
      </c>
      <c r="J920" s="6" t="s">
        <v>183</v>
      </c>
    </row>
    <row r="921" spans="1:10" x14ac:dyDescent="0.2">
      <c r="A921" s="1" t="s">
        <v>1602</v>
      </c>
      <c r="B921" t="s">
        <v>1603</v>
      </c>
      <c r="C921" t="s">
        <v>1685</v>
      </c>
      <c r="D921" s="6" t="str">
        <f t="shared" si="14"/>
        <v>PROT:AAC97808.1</v>
      </c>
      <c r="E921" t="s">
        <v>1686</v>
      </c>
      <c r="F921" t="s">
        <v>186</v>
      </c>
      <c r="G921">
        <f>IF(ISERROR(MATCH(AllProtiens!F921,Genomes!$C:$C,0)),0,1)</f>
        <v>1</v>
      </c>
      <c r="H921">
        <f>IF(ISERROR(MATCH(AllProtiens!A921,CoreProteinGroups!B:B,0)),0,1)</f>
        <v>1</v>
      </c>
      <c r="J921" s="6" t="s">
        <v>187</v>
      </c>
    </row>
    <row r="922" spans="1:10" x14ac:dyDescent="0.2">
      <c r="A922" s="1" t="s">
        <v>1602</v>
      </c>
      <c r="B922" t="s">
        <v>1603</v>
      </c>
      <c r="C922" t="s">
        <v>1687</v>
      </c>
      <c r="D922" s="6" t="str">
        <f t="shared" si="14"/>
        <v>PROT:BAO49428.1</v>
      </c>
      <c r="E922" t="s">
        <v>1603</v>
      </c>
      <c r="F922" t="s">
        <v>190</v>
      </c>
      <c r="G922">
        <f>IF(ISERROR(MATCH(AllProtiens!F922,Genomes!$C:$C,0)),0,1)</f>
        <v>1</v>
      </c>
      <c r="H922">
        <f>IF(ISERROR(MATCH(AllProtiens!A922,CoreProteinGroups!B:B,0)),0,1)</f>
        <v>1</v>
      </c>
      <c r="J922" s="6" t="s">
        <v>191</v>
      </c>
    </row>
    <row r="923" spans="1:10" x14ac:dyDescent="0.2">
      <c r="A923" s="1" t="s">
        <v>1602</v>
      </c>
      <c r="B923" t="s">
        <v>1603</v>
      </c>
      <c r="C923" t="s">
        <v>1688</v>
      </c>
      <c r="D923" s="6" t="str">
        <f t="shared" si="14"/>
        <v>PROT:CCU55424.1</v>
      </c>
      <c r="E923" t="s">
        <v>1689</v>
      </c>
      <c r="F923" t="s">
        <v>193</v>
      </c>
      <c r="G923">
        <f>IF(ISERROR(MATCH(AllProtiens!F923,Genomes!$C:$C,0)),0,1)</f>
        <v>1</v>
      </c>
      <c r="H923">
        <f>IF(ISERROR(MATCH(AllProtiens!A923,CoreProteinGroups!B:B,0)),0,1)</f>
        <v>1</v>
      </c>
      <c r="J923" s="6" t="s">
        <v>194</v>
      </c>
    </row>
    <row r="924" spans="1:10" x14ac:dyDescent="0.2">
      <c r="A924" s="1" t="s">
        <v>1602</v>
      </c>
      <c r="B924" t="s">
        <v>1603</v>
      </c>
      <c r="C924" t="s">
        <v>1690</v>
      </c>
      <c r="D924" s="6" t="str">
        <f t="shared" si="14"/>
        <v>PROT:AAG02820.1</v>
      </c>
      <c r="E924" t="s">
        <v>1691</v>
      </c>
      <c r="F924" t="s">
        <v>197</v>
      </c>
      <c r="G924">
        <f>IF(ISERROR(MATCH(AllProtiens!F924,Genomes!$C:$C,0)),0,1)</f>
        <v>1</v>
      </c>
      <c r="H924">
        <f>IF(ISERROR(MATCH(AllProtiens!A924,CoreProteinGroups!B:B,0)),0,1)</f>
        <v>1</v>
      </c>
      <c r="J924" s="6" t="s">
        <v>198</v>
      </c>
    </row>
    <row r="925" spans="1:10" x14ac:dyDescent="0.2">
      <c r="A925" s="1" t="s">
        <v>1602</v>
      </c>
      <c r="B925" t="s">
        <v>1603</v>
      </c>
      <c r="C925" t="s">
        <v>1692</v>
      </c>
      <c r="D925" s="6" t="str">
        <f t="shared" si="14"/>
        <v>PROT:CCU55729.1</v>
      </c>
      <c r="E925" t="s">
        <v>1689</v>
      </c>
      <c r="F925" t="s">
        <v>200</v>
      </c>
      <c r="G925">
        <f>IF(ISERROR(MATCH(AllProtiens!F925,Genomes!$C:$C,0)),0,1)</f>
        <v>1</v>
      </c>
      <c r="H925">
        <f>IF(ISERROR(MATCH(AllProtiens!A925,CoreProteinGroups!B:B,0)),0,1)</f>
        <v>1</v>
      </c>
      <c r="J925" s="6" t="s">
        <v>201</v>
      </c>
    </row>
    <row r="926" spans="1:10" x14ac:dyDescent="0.2">
      <c r="A926" s="1" t="s">
        <v>1602</v>
      </c>
      <c r="B926" t="s">
        <v>1603</v>
      </c>
      <c r="C926" t="s">
        <v>1693</v>
      </c>
      <c r="D926" s="6" t="str">
        <f t="shared" si="14"/>
        <v>PROT:CCU56031.1</v>
      </c>
      <c r="E926" t="s">
        <v>1689</v>
      </c>
      <c r="F926" t="s">
        <v>203</v>
      </c>
      <c r="G926">
        <f>IF(ISERROR(MATCH(AllProtiens!F926,Genomes!$C:$C,0)),0,1)</f>
        <v>1</v>
      </c>
      <c r="H926">
        <f>IF(ISERROR(MATCH(AllProtiens!A926,CoreProteinGroups!B:B,0)),0,1)</f>
        <v>1</v>
      </c>
      <c r="J926" s="6" t="s">
        <v>204</v>
      </c>
    </row>
    <row r="927" spans="1:10" x14ac:dyDescent="0.2">
      <c r="A927" s="1" t="s">
        <v>1602</v>
      </c>
      <c r="B927" t="s">
        <v>1603</v>
      </c>
      <c r="C927" t="s">
        <v>1694</v>
      </c>
      <c r="D927" s="6" t="str">
        <f t="shared" si="14"/>
        <v>PROT:CCU56368.1</v>
      </c>
      <c r="E927" t="s">
        <v>1689</v>
      </c>
      <c r="F927" t="s">
        <v>206</v>
      </c>
      <c r="G927">
        <f>IF(ISERROR(MATCH(AllProtiens!F927,Genomes!$C:$C,0)),0,1)</f>
        <v>1</v>
      </c>
      <c r="H927">
        <f>IF(ISERROR(MATCH(AllProtiens!A927,CoreProteinGroups!B:B,0)),0,1)</f>
        <v>1</v>
      </c>
      <c r="J927" s="6" t="s">
        <v>207</v>
      </c>
    </row>
    <row r="928" spans="1:10" x14ac:dyDescent="0.2">
      <c r="A928" s="1" t="s">
        <v>1602</v>
      </c>
      <c r="B928" t="s">
        <v>1603</v>
      </c>
      <c r="C928" t="s">
        <v>1695</v>
      </c>
      <c r="D928" s="6" t="str">
        <f t="shared" si="14"/>
        <v>PROT:NP_659612.1</v>
      </c>
      <c r="E928" t="s">
        <v>1696</v>
      </c>
      <c r="F928" t="s">
        <v>210</v>
      </c>
      <c r="G928">
        <f>IF(ISERROR(MATCH(AllProtiens!F928,Genomes!$C:$C,0)),0,1)</f>
        <v>1</v>
      </c>
      <c r="H928">
        <f>IF(ISERROR(MATCH(AllProtiens!A928,CoreProteinGroups!B:B,0)),0,1)</f>
        <v>1</v>
      </c>
      <c r="J928" s="6" t="s">
        <v>211</v>
      </c>
    </row>
    <row r="929" spans="1:10" x14ac:dyDescent="0.2">
      <c r="A929" s="1" t="s">
        <v>1602</v>
      </c>
      <c r="B929" t="s">
        <v>1603</v>
      </c>
      <c r="C929" t="s">
        <v>1697</v>
      </c>
      <c r="D929" s="6" t="str">
        <f t="shared" si="14"/>
        <v>PROT:YP_001293231.1</v>
      </c>
      <c r="E929" t="s">
        <v>1698</v>
      </c>
      <c r="F929" t="s">
        <v>214</v>
      </c>
      <c r="G929">
        <f>IF(ISERROR(MATCH(AllProtiens!F929,Genomes!$C:$C,0)),0,1)</f>
        <v>1</v>
      </c>
      <c r="H929">
        <f>IF(ISERROR(MATCH(AllProtiens!A929,CoreProteinGroups!B:B,0)),0,1)</f>
        <v>1</v>
      </c>
      <c r="J929" s="6" t="s">
        <v>215</v>
      </c>
    </row>
    <row r="930" spans="1:10" x14ac:dyDescent="0.2">
      <c r="A930" s="1" t="s">
        <v>1699</v>
      </c>
      <c r="B930" t="s">
        <v>1700</v>
      </c>
      <c r="C930" t="s">
        <v>1701</v>
      </c>
      <c r="D930" s="6" t="str">
        <f t="shared" si="14"/>
        <v>PROT:ATI21145.1</v>
      </c>
      <c r="E930" t="s">
        <v>1702</v>
      </c>
      <c r="F930" t="s">
        <v>14</v>
      </c>
      <c r="G930">
        <f>IF(ISERROR(MATCH(AllProtiens!F930,Genomes!$C:$C,0)),0,1)</f>
        <v>1</v>
      </c>
      <c r="H930">
        <f>IF(ISERROR(MATCH(AllProtiens!A930,CoreProteinGroups!B:B,0)),0,1)</f>
        <v>1</v>
      </c>
      <c r="J930" s="6" t="s">
        <v>15</v>
      </c>
    </row>
    <row r="931" spans="1:10" x14ac:dyDescent="0.2">
      <c r="A931" s="1" t="s">
        <v>1699</v>
      </c>
      <c r="B931" t="s">
        <v>1700</v>
      </c>
      <c r="C931" t="s">
        <v>1703</v>
      </c>
      <c r="D931" s="6" t="str">
        <f t="shared" si="14"/>
        <v>PROT:AWU47082.1</v>
      </c>
      <c r="E931" t="s">
        <v>1702</v>
      </c>
      <c r="F931" t="s">
        <v>17</v>
      </c>
      <c r="G931">
        <f>IF(ISERROR(MATCH(AllProtiens!F931,Genomes!$C:$C,0)),0,1)</f>
        <v>1</v>
      </c>
      <c r="H931">
        <f>IF(ISERROR(MATCH(AllProtiens!A931,CoreProteinGroups!B:B,0)),0,1)</f>
        <v>1</v>
      </c>
      <c r="J931" s="6" t="s">
        <v>18</v>
      </c>
    </row>
    <row r="932" spans="1:10" x14ac:dyDescent="0.2">
      <c r="A932" s="1" t="s">
        <v>1699</v>
      </c>
      <c r="B932" t="s">
        <v>1700</v>
      </c>
      <c r="C932" t="s">
        <v>1704</v>
      </c>
      <c r="D932" s="6" t="str">
        <f t="shared" si="14"/>
        <v>PROT:APG58249.1</v>
      </c>
      <c r="E932" t="s">
        <v>1702</v>
      </c>
      <c r="F932" t="s">
        <v>21</v>
      </c>
      <c r="G932">
        <f>IF(ISERROR(MATCH(AllProtiens!F932,Genomes!$C:$C,0)),0,1)</f>
        <v>1</v>
      </c>
      <c r="H932">
        <f>IF(ISERROR(MATCH(AllProtiens!A932,CoreProteinGroups!B:B,0)),0,1)</f>
        <v>1</v>
      </c>
      <c r="J932" s="6" t="s">
        <v>22</v>
      </c>
    </row>
    <row r="933" spans="1:10" x14ac:dyDescent="0.2">
      <c r="A933" s="1" t="s">
        <v>1699</v>
      </c>
      <c r="B933" t="s">
        <v>1700</v>
      </c>
      <c r="C933" t="s">
        <v>1705</v>
      </c>
      <c r="D933" s="6" t="str">
        <f t="shared" si="14"/>
        <v>PROT:ADT91072.1</v>
      </c>
      <c r="E933" t="s">
        <v>1706</v>
      </c>
      <c r="F933" t="s">
        <v>25</v>
      </c>
      <c r="G933">
        <f>IF(ISERROR(MATCH(AllProtiens!F933,Genomes!$C:$C,0)),0,1)</f>
        <v>1</v>
      </c>
      <c r="H933">
        <f>IF(ISERROR(MATCH(AllProtiens!A933,CoreProteinGroups!B:B,0)),0,1)</f>
        <v>1</v>
      </c>
      <c r="J933" s="6" t="s">
        <v>26</v>
      </c>
    </row>
    <row r="934" spans="1:10" x14ac:dyDescent="0.2">
      <c r="A934" s="1" t="s">
        <v>1699</v>
      </c>
      <c r="B934" t="s">
        <v>1700</v>
      </c>
      <c r="C934" t="s">
        <v>1707</v>
      </c>
      <c r="D934" s="6" t="str">
        <f t="shared" si="14"/>
        <v>PROT:ANS71126.1</v>
      </c>
      <c r="E934" t="s">
        <v>1702</v>
      </c>
      <c r="F934" t="s">
        <v>28</v>
      </c>
      <c r="G934">
        <f>IF(ISERROR(MATCH(AllProtiens!F934,Genomes!$C:$C,0)),0,1)</f>
        <v>1</v>
      </c>
      <c r="H934">
        <f>IF(ISERROR(MATCH(AllProtiens!A934,CoreProteinGroups!B:B,0)),0,1)</f>
        <v>1</v>
      </c>
      <c r="J934" s="6" t="s">
        <v>29</v>
      </c>
    </row>
    <row r="935" spans="1:10" x14ac:dyDescent="0.2">
      <c r="A935" s="1" t="s">
        <v>1699</v>
      </c>
      <c r="B935" t="s">
        <v>1700</v>
      </c>
      <c r="C935" t="s">
        <v>1708</v>
      </c>
      <c r="D935" s="6" t="str">
        <f t="shared" si="14"/>
        <v>PROT:AKR04200.1</v>
      </c>
      <c r="E935" t="s">
        <v>1709</v>
      </c>
      <c r="F935" t="s">
        <v>32</v>
      </c>
      <c r="G935">
        <f>IF(ISERROR(MATCH(AllProtiens!F935,Genomes!$C:$C,0)),0,1)</f>
        <v>1</v>
      </c>
      <c r="H935">
        <f>IF(ISERROR(MATCH(AllProtiens!A935,CoreProteinGroups!B:B,0)),0,1)</f>
        <v>1</v>
      </c>
      <c r="J935" s="6" t="s">
        <v>33</v>
      </c>
    </row>
    <row r="936" spans="1:10" x14ac:dyDescent="0.2">
      <c r="A936" s="1" t="s">
        <v>1699</v>
      </c>
      <c r="B936" t="s">
        <v>1700</v>
      </c>
      <c r="C936" t="s">
        <v>1710</v>
      </c>
      <c r="D936" s="6" t="str">
        <f t="shared" si="14"/>
        <v>PROT:CCD83215.1</v>
      </c>
      <c r="E936" t="s">
        <v>1702</v>
      </c>
      <c r="F936" t="s">
        <v>36</v>
      </c>
      <c r="G936">
        <f>IF(ISERROR(MATCH(AllProtiens!F936,Genomes!$C:$C,0)),0,1)</f>
        <v>1</v>
      </c>
      <c r="H936">
        <f>IF(ISERROR(MATCH(AllProtiens!A936,CoreProteinGroups!B:B,0)),0,1)</f>
        <v>1</v>
      </c>
      <c r="J936" s="6" t="s">
        <v>37</v>
      </c>
    </row>
    <row r="937" spans="1:10" x14ac:dyDescent="0.2">
      <c r="A937" s="1" t="s">
        <v>1699</v>
      </c>
      <c r="B937" t="s">
        <v>1700</v>
      </c>
      <c r="C937" t="s">
        <v>1711</v>
      </c>
      <c r="D937" s="6" t="str">
        <f t="shared" si="14"/>
        <v>PROT:ASK51242.1</v>
      </c>
      <c r="E937" t="s">
        <v>1702</v>
      </c>
      <c r="F937" t="s">
        <v>40</v>
      </c>
      <c r="G937">
        <f>IF(ISERROR(MATCH(AllProtiens!F937,Genomes!$C:$C,0)),0,1)</f>
        <v>1</v>
      </c>
      <c r="H937">
        <f>IF(ISERROR(MATCH(AllProtiens!A937,CoreProteinGroups!B:B,0)),0,1)</f>
        <v>1</v>
      </c>
      <c r="J937" s="6" t="s">
        <v>41</v>
      </c>
    </row>
    <row r="938" spans="1:10" x14ac:dyDescent="0.2">
      <c r="A938" s="1" t="s">
        <v>1699</v>
      </c>
      <c r="B938" t="s">
        <v>1700</v>
      </c>
      <c r="C938" t="s">
        <v>1712</v>
      </c>
      <c r="D938" s="6" t="str">
        <f t="shared" si="14"/>
        <v>PROT:AUD40198.1</v>
      </c>
      <c r="E938" t="s">
        <v>1702</v>
      </c>
      <c r="F938" t="s">
        <v>43</v>
      </c>
      <c r="G938">
        <f>IF(ISERROR(MATCH(AllProtiens!F938,Genomes!$C:$C,0)),0,1)</f>
        <v>1</v>
      </c>
      <c r="H938">
        <f>IF(ISERROR(MATCH(AllProtiens!A938,CoreProteinGroups!B:B,0)),0,1)</f>
        <v>1</v>
      </c>
      <c r="J938" s="6" t="s">
        <v>44</v>
      </c>
    </row>
    <row r="939" spans="1:10" x14ac:dyDescent="0.2">
      <c r="A939" s="1" t="s">
        <v>1699</v>
      </c>
      <c r="B939" t="s">
        <v>1700</v>
      </c>
      <c r="C939" t="s">
        <v>1713</v>
      </c>
      <c r="D939" s="6" t="str">
        <f t="shared" si="14"/>
        <v>PROT:AID46833.1</v>
      </c>
      <c r="E939" t="s">
        <v>1702</v>
      </c>
      <c r="F939" t="s">
        <v>46</v>
      </c>
      <c r="G939">
        <f>IF(ISERROR(MATCH(AllProtiens!F939,Genomes!$C:$C,0)),0,1)</f>
        <v>1</v>
      </c>
      <c r="H939">
        <f>IF(ISERROR(MATCH(AllProtiens!A939,CoreProteinGroups!B:B,0)),0,1)</f>
        <v>1</v>
      </c>
      <c r="J939" s="6" t="s">
        <v>47</v>
      </c>
    </row>
    <row r="940" spans="1:10" x14ac:dyDescent="0.2">
      <c r="A940" s="1" t="s">
        <v>1699</v>
      </c>
      <c r="B940" t="s">
        <v>1700</v>
      </c>
      <c r="C940" t="s">
        <v>1714</v>
      </c>
      <c r="D940" s="6" t="str">
        <f t="shared" si="14"/>
        <v>PROT:AID46604.1</v>
      </c>
      <c r="E940" t="s">
        <v>1702</v>
      </c>
      <c r="F940" t="s">
        <v>49</v>
      </c>
      <c r="G940">
        <f>IF(ISERROR(MATCH(AllProtiens!F940,Genomes!$C:$C,0)),0,1)</f>
        <v>1</v>
      </c>
      <c r="H940">
        <f>IF(ISERROR(MATCH(AllProtiens!A940,CoreProteinGroups!B:B,0)),0,1)</f>
        <v>1</v>
      </c>
      <c r="J940" s="6" t="s">
        <v>50</v>
      </c>
    </row>
    <row r="941" spans="1:10" x14ac:dyDescent="0.2">
      <c r="A941" s="1" t="s">
        <v>1699</v>
      </c>
      <c r="B941" t="s">
        <v>1700</v>
      </c>
      <c r="C941" t="s">
        <v>1715</v>
      </c>
      <c r="D941" s="6" t="str">
        <f t="shared" si="14"/>
        <v>PROT:ALA62442.1</v>
      </c>
      <c r="E941" t="s">
        <v>1702</v>
      </c>
      <c r="F941" t="s">
        <v>53</v>
      </c>
      <c r="G941">
        <f>IF(ISERROR(MATCH(AllProtiens!F941,Genomes!$C:$C,0)),0,1)</f>
        <v>1</v>
      </c>
      <c r="H941">
        <f>IF(ISERROR(MATCH(AllProtiens!A941,CoreProteinGroups!B:B,0)),0,1)</f>
        <v>1</v>
      </c>
      <c r="J941" s="6" t="s">
        <v>54</v>
      </c>
    </row>
    <row r="942" spans="1:10" x14ac:dyDescent="0.2">
      <c r="A942" s="1" t="s">
        <v>1699</v>
      </c>
      <c r="B942" t="s">
        <v>1700</v>
      </c>
      <c r="C942" t="s">
        <v>1716</v>
      </c>
      <c r="D942" s="6" t="str">
        <f t="shared" si="14"/>
        <v>PROT:AAR83467.1</v>
      </c>
      <c r="E942" t="s">
        <v>1717</v>
      </c>
      <c r="F942" t="s">
        <v>57</v>
      </c>
      <c r="G942">
        <f>IF(ISERROR(MATCH(AllProtiens!F942,Genomes!$C:$C,0)),0,1)</f>
        <v>1</v>
      </c>
      <c r="H942">
        <f>IF(ISERROR(MATCH(AllProtiens!A942,CoreProteinGroups!B:B,0)),0,1)</f>
        <v>1</v>
      </c>
      <c r="J942" s="6" t="s">
        <v>58</v>
      </c>
    </row>
    <row r="943" spans="1:10" x14ac:dyDescent="0.2">
      <c r="A943" s="1" t="s">
        <v>1699</v>
      </c>
      <c r="B943" t="s">
        <v>1700</v>
      </c>
      <c r="C943" t="s">
        <v>1718</v>
      </c>
      <c r="D943" s="6" t="str">
        <f t="shared" si="14"/>
        <v>PROT:AAF44438.1</v>
      </c>
      <c r="E943" t="s">
        <v>1719</v>
      </c>
      <c r="F943" t="s">
        <v>61</v>
      </c>
      <c r="G943">
        <f>IF(ISERROR(MATCH(AllProtiens!F943,Genomes!$C:$C,0)),0,1)</f>
        <v>1</v>
      </c>
      <c r="H943">
        <f>IF(ISERROR(MATCH(AllProtiens!A943,CoreProteinGroups!B:B,0)),0,1)</f>
        <v>1</v>
      </c>
      <c r="J943" s="6" t="s">
        <v>62</v>
      </c>
    </row>
    <row r="944" spans="1:10" x14ac:dyDescent="0.2">
      <c r="A944" s="1" t="s">
        <v>1699</v>
      </c>
      <c r="B944" t="s">
        <v>1700</v>
      </c>
      <c r="C944" t="s">
        <v>1720</v>
      </c>
      <c r="D944" s="6" t="str">
        <f t="shared" si="14"/>
        <v>PROT:AAK85000.1</v>
      </c>
      <c r="E944" t="s">
        <v>1721</v>
      </c>
      <c r="F944" t="s">
        <v>65</v>
      </c>
      <c r="G944">
        <f>IF(ISERROR(MATCH(AllProtiens!F944,Genomes!$C:$C,0)),0,1)</f>
        <v>1</v>
      </c>
      <c r="H944">
        <f>IF(ISERROR(MATCH(AllProtiens!A944,CoreProteinGroups!B:B,0)),0,1)</f>
        <v>1</v>
      </c>
      <c r="J944" s="6" t="s">
        <v>66</v>
      </c>
    </row>
    <row r="945" spans="1:10" x14ac:dyDescent="0.2">
      <c r="A945" s="1" t="s">
        <v>1699</v>
      </c>
      <c r="B945" t="s">
        <v>1700</v>
      </c>
      <c r="C945" t="s">
        <v>1722</v>
      </c>
      <c r="D945" s="6" t="str">
        <f t="shared" si="14"/>
        <v>PROT:AST09255.1</v>
      </c>
      <c r="E945" t="s">
        <v>1702</v>
      </c>
      <c r="F945" t="s">
        <v>68</v>
      </c>
      <c r="G945">
        <f>IF(ISERROR(MATCH(AllProtiens!F945,Genomes!$C:$C,0)),0,1)</f>
        <v>1</v>
      </c>
      <c r="H945">
        <f>IF(ISERROR(MATCH(AllProtiens!A945,CoreProteinGroups!B:B,0)),0,1)</f>
        <v>1</v>
      </c>
      <c r="J945" s="6" t="s">
        <v>69</v>
      </c>
    </row>
    <row r="946" spans="1:10" x14ac:dyDescent="0.2">
      <c r="A946" s="1" t="s">
        <v>1699</v>
      </c>
      <c r="B946" t="s">
        <v>1700</v>
      </c>
      <c r="C946" t="s">
        <v>1723</v>
      </c>
      <c r="D946" s="6" t="str">
        <f t="shared" si="14"/>
        <v>PROT:AEN03632.1</v>
      </c>
      <c r="E946" t="s">
        <v>1702</v>
      </c>
      <c r="F946" t="s">
        <v>71</v>
      </c>
      <c r="G946">
        <f>IF(ISERROR(MATCH(AllProtiens!F946,Genomes!$C:$C,0)),0,1)</f>
        <v>1</v>
      </c>
      <c r="H946">
        <f>IF(ISERROR(MATCH(AllProtiens!A946,CoreProteinGroups!B:B,0)),0,1)</f>
        <v>1</v>
      </c>
      <c r="J946" s="6" t="s">
        <v>72</v>
      </c>
    </row>
    <row r="947" spans="1:10" x14ac:dyDescent="0.2">
      <c r="A947" s="1" t="s">
        <v>1699</v>
      </c>
      <c r="B947" t="s">
        <v>1700</v>
      </c>
      <c r="C947" t="s">
        <v>1724</v>
      </c>
      <c r="D947" s="6" t="str">
        <f t="shared" si="14"/>
        <v>PROT:ABI99203.1</v>
      </c>
      <c r="E947" t="s">
        <v>1702</v>
      </c>
      <c r="F947" t="s">
        <v>74</v>
      </c>
      <c r="G947">
        <f>IF(ISERROR(MATCH(AllProtiens!F947,Genomes!$C:$C,0)),0,1)</f>
        <v>1</v>
      </c>
      <c r="H947">
        <f>IF(ISERROR(MATCH(AllProtiens!A947,CoreProteinGroups!B:B,0)),0,1)</f>
        <v>1</v>
      </c>
      <c r="J947" s="6" t="s">
        <v>75</v>
      </c>
    </row>
    <row r="948" spans="1:10" x14ac:dyDescent="0.2">
      <c r="A948" s="1" t="s">
        <v>1699</v>
      </c>
      <c r="B948" t="s">
        <v>1700</v>
      </c>
      <c r="C948" t="s">
        <v>1725</v>
      </c>
      <c r="D948" s="6" t="str">
        <f t="shared" si="14"/>
        <v>PROT:ABJ08950.1</v>
      </c>
      <c r="E948" t="s">
        <v>1702</v>
      </c>
      <c r="F948" t="s">
        <v>77</v>
      </c>
      <c r="G948">
        <f>IF(ISERROR(MATCH(AllProtiens!F948,Genomes!$C:$C,0)),0,1)</f>
        <v>1</v>
      </c>
      <c r="H948">
        <f>IF(ISERROR(MATCH(AllProtiens!A948,CoreProteinGroups!B:B,0)),0,1)</f>
        <v>1</v>
      </c>
      <c r="J948" s="6" t="s">
        <v>78</v>
      </c>
    </row>
    <row r="949" spans="1:10" x14ac:dyDescent="0.2">
      <c r="A949" s="1" t="s">
        <v>1699</v>
      </c>
      <c r="B949" t="s">
        <v>1700</v>
      </c>
      <c r="C949" t="s">
        <v>1726</v>
      </c>
      <c r="D949" s="6" t="str">
        <f t="shared" si="14"/>
        <v>PROT:AAF14922.1</v>
      </c>
      <c r="E949" t="s">
        <v>1727</v>
      </c>
      <c r="F949" t="s">
        <v>81</v>
      </c>
      <c r="G949">
        <f>IF(ISERROR(MATCH(AllProtiens!F949,Genomes!$C:$C,0)),0,1)</f>
        <v>0</v>
      </c>
      <c r="H949">
        <f>IF(ISERROR(MATCH(AllProtiens!A949,CoreProteinGroups!B:B,0)),0,1)</f>
        <v>1</v>
      </c>
      <c r="J949" s="6" t="s">
        <v>82</v>
      </c>
    </row>
    <row r="950" spans="1:10" x14ac:dyDescent="0.2">
      <c r="A950" s="1" t="s">
        <v>1699</v>
      </c>
      <c r="B950" t="s">
        <v>1700</v>
      </c>
      <c r="C950" t="s">
        <v>1728</v>
      </c>
      <c r="D950" s="6" t="str">
        <f t="shared" si="14"/>
        <v>PROT:AFU77299.1</v>
      </c>
      <c r="E950" t="s">
        <v>1727</v>
      </c>
      <c r="F950" t="s">
        <v>81</v>
      </c>
      <c r="G950">
        <f>IF(ISERROR(MATCH(AllProtiens!F950,Genomes!$C:$C,0)),0,1)</f>
        <v>0</v>
      </c>
      <c r="H950">
        <f>IF(ISERROR(MATCH(AllProtiens!A950,CoreProteinGroups!B:B,0)),0,1)</f>
        <v>1</v>
      </c>
      <c r="J950" s="6" t="s">
        <v>82</v>
      </c>
    </row>
    <row r="951" spans="1:10" x14ac:dyDescent="0.2">
      <c r="A951" s="1" t="s">
        <v>1699</v>
      </c>
      <c r="B951" t="s">
        <v>1700</v>
      </c>
      <c r="C951" t="s">
        <v>1729</v>
      </c>
      <c r="D951" s="6" t="str">
        <f t="shared" si="14"/>
        <v>PROT:AAF17916.1</v>
      </c>
      <c r="E951" t="s">
        <v>1730</v>
      </c>
      <c r="F951" t="s">
        <v>86</v>
      </c>
      <c r="G951">
        <f>IF(ISERROR(MATCH(AllProtiens!F951,Genomes!$C:$C,0)),0,1)</f>
        <v>1</v>
      </c>
      <c r="H951">
        <f>IF(ISERROR(MATCH(AllProtiens!A951,CoreProteinGroups!B:B,0)),0,1)</f>
        <v>1</v>
      </c>
      <c r="J951" s="6" t="s">
        <v>87</v>
      </c>
    </row>
    <row r="952" spans="1:10" x14ac:dyDescent="0.2">
      <c r="A952" s="1" t="s">
        <v>1699</v>
      </c>
      <c r="B952" t="s">
        <v>1700</v>
      </c>
      <c r="C952" t="s">
        <v>1731</v>
      </c>
      <c r="D952" s="6" t="str">
        <f t="shared" si="14"/>
        <v>PROT:AAC55167.1</v>
      </c>
      <c r="E952" t="s">
        <v>1732</v>
      </c>
      <c r="F952" t="s">
        <v>90</v>
      </c>
      <c r="G952">
        <f>IF(ISERROR(MATCH(AllProtiens!F952,Genomes!$C:$C,0)),0,1)</f>
        <v>1</v>
      </c>
      <c r="H952">
        <f>IF(ISERROR(MATCH(AllProtiens!A952,CoreProteinGroups!B:B,0)),0,1)</f>
        <v>1</v>
      </c>
      <c r="J952" s="6" t="s">
        <v>91</v>
      </c>
    </row>
    <row r="953" spans="1:10" x14ac:dyDescent="0.2">
      <c r="A953" s="1" t="s">
        <v>1699</v>
      </c>
      <c r="B953" t="s">
        <v>1700</v>
      </c>
      <c r="C953" t="s">
        <v>1733</v>
      </c>
      <c r="D953" s="6" t="str">
        <f t="shared" si="14"/>
        <v>PROT:AYN64632.1</v>
      </c>
      <c r="E953" t="s">
        <v>1734</v>
      </c>
      <c r="F953" t="s">
        <v>94</v>
      </c>
      <c r="G953">
        <f>IF(ISERROR(MATCH(AllProtiens!F953,Genomes!$C:$C,0)),0,1)</f>
        <v>1</v>
      </c>
      <c r="H953">
        <f>IF(ISERROR(MATCH(AllProtiens!A953,CoreProteinGroups!B:B,0)),0,1)</f>
        <v>1</v>
      </c>
      <c r="J953" s="6" t="s">
        <v>95</v>
      </c>
    </row>
    <row r="954" spans="1:10" x14ac:dyDescent="0.2">
      <c r="A954" s="1" t="s">
        <v>1699</v>
      </c>
      <c r="B954" t="s">
        <v>1700</v>
      </c>
      <c r="C954" t="s">
        <v>1735</v>
      </c>
      <c r="D954" s="6" t="str">
        <f t="shared" si="14"/>
        <v>PROT:AXN74856.1</v>
      </c>
      <c r="E954" t="s">
        <v>1702</v>
      </c>
      <c r="F954" t="s">
        <v>97</v>
      </c>
      <c r="G954">
        <f>IF(ISERROR(MATCH(AllProtiens!F954,Genomes!$C:$C,0)),0,1)</f>
        <v>1</v>
      </c>
      <c r="H954">
        <f>IF(ISERROR(MATCH(AllProtiens!A954,CoreProteinGroups!B:B,0)),0,1)</f>
        <v>1</v>
      </c>
      <c r="J954" s="6" t="s">
        <v>98</v>
      </c>
    </row>
    <row r="955" spans="1:10" x14ac:dyDescent="0.2">
      <c r="A955" s="1" t="s">
        <v>1699</v>
      </c>
      <c r="B955" t="s">
        <v>1700</v>
      </c>
      <c r="C955" t="s">
        <v>1736</v>
      </c>
      <c r="D955" s="6" t="str">
        <f t="shared" si="14"/>
        <v>PROT:ABH08169.1</v>
      </c>
      <c r="E955" t="s">
        <v>1737</v>
      </c>
      <c r="F955" t="s">
        <v>101</v>
      </c>
      <c r="G955">
        <f>IF(ISERROR(MATCH(AllProtiens!F955,Genomes!$C:$C,0)),0,1)</f>
        <v>1</v>
      </c>
      <c r="H955">
        <f>IF(ISERROR(MATCH(AllProtiens!A955,CoreProteinGroups!B:B,0)),0,1)</f>
        <v>1</v>
      </c>
      <c r="J955" s="6" t="s">
        <v>102</v>
      </c>
    </row>
    <row r="956" spans="1:10" x14ac:dyDescent="0.2">
      <c r="A956" s="1" t="s">
        <v>1699</v>
      </c>
      <c r="B956" t="s">
        <v>1700</v>
      </c>
      <c r="C956" t="s">
        <v>1738</v>
      </c>
      <c r="D956" s="6" t="str">
        <f t="shared" si="14"/>
        <v>PROT:AAG37526.1</v>
      </c>
      <c r="E956" t="s">
        <v>1739</v>
      </c>
      <c r="F956" t="s">
        <v>105</v>
      </c>
      <c r="G956">
        <f>IF(ISERROR(MATCH(AllProtiens!F956,Genomes!$C:$C,0)),0,1)</f>
        <v>1</v>
      </c>
      <c r="H956">
        <f>IF(ISERROR(MATCH(AllProtiens!A956,CoreProteinGroups!B:B,0)),0,1)</f>
        <v>1</v>
      </c>
      <c r="J956" s="6" t="s">
        <v>106</v>
      </c>
    </row>
    <row r="957" spans="1:10" x14ac:dyDescent="0.2">
      <c r="A957" s="1" t="s">
        <v>1699</v>
      </c>
      <c r="B957" t="s">
        <v>1700</v>
      </c>
      <c r="C957" t="s">
        <v>1740</v>
      </c>
      <c r="D957" s="6" t="str">
        <f t="shared" si="14"/>
        <v>PROT:AAL73768.1</v>
      </c>
      <c r="E957" t="s">
        <v>1702</v>
      </c>
      <c r="F957" t="s">
        <v>109</v>
      </c>
      <c r="G957">
        <f>IF(ISERROR(MATCH(AllProtiens!F957,Genomes!$C:$C,0)),0,1)</f>
        <v>1</v>
      </c>
      <c r="H957">
        <f>IF(ISERROR(MATCH(AllProtiens!A957,CoreProteinGroups!B:B,0)),0,1)</f>
        <v>1</v>
      </c>
      <c r="J957" s="6" t="s">
        <v>110</v>
      </c>
    </row>
    <row r="958" spans="1:10" x14ac:dyDescent="0.2">
      <c r="A958" s="1" t="s">
        <v>1699</v>
      </c>
      <c r="B958" t="s">
        <v>1700</v>
      </c>
      <c r="C958" t="s">
        <v>1741</v>
      </c>
      <c r="D958" s="6" t="str">
        <f t="shared" si="14"/>
        <v>PROT:AAM13520.1</v>
      </c>
      <c r="E958" t="s">
        <v>1742</v>
      </c>
      <c r="F958" t="s">
        <v>113</v>
      </c>
      <c r="G958">
        <f>IF(ISERROR(MATCH(AllProtiens!F958,Genomes!$C:$C,0)),0,1)</f>
        <v>1</v>
      </c>
      <c r="H958">
        <f>IF(ISERROR(MATCH(AllProtiens!A958,CoreProteinGroups!B:B,0)),0,1)</f>
        <v>1</v>
      </c>
      <c r="J958" s="6" t="s">
        <v>114</v>
      </c>
    </row>
    <row r="959" spans="1:10" x14ac:dyDescent="0.2">
      <c r="A959" s="1" t="s">
        <v>1699</v>
      </c>
      <c r="B959" t="s">
        <v>1700</v>
      </c>
      <c r="C959" t="s">
        <v>1743</v>
      </c>
      <c r="D959" s="6" t="str">
        <f t="shared" si="14"/>
        <v>PROT:AAM92353.1</v>
      </c>
      <c r="E959" t="s">
        <v>1744</v>
      </c>
      <c r="F959" t="s">
        <v>117</v>
      </c>
      <c r="G959">
        <f>IF(ISERROR(MATCH(AllProtiens!F959,Genomes!$C:$C,0)),0,1)</f>
        <v>1</v>
      </c>
      <c r="H959">
        <f>IF(ISERROR(MATCH(AllProtiens!A959,CoreProteinGroups!B:B,0)),0,1)</f>
        <v>1</v>
      </c>
      <c r="J959" s="6" t="s">
        <v>118</v>
      </c>
    </row>
    <row r="960" spans="1:10" x14ac:dyDescent="0.2">
      <c r="A960" s="1" t="s">
        <v>1699</v>
      </c>
      <c r="B960" t="s">
        <v>1700</v>
      </c>
      <c r="C960" t="s">
        <v>1745</v>
      </c>
      <c r="D960" s="6" t="str">
        <f t="shared" si="14"/>
        <v>PROT:AFH54611.1</v>
      </c>
      <c r="E960" t="s">
        <v>1702</v>
      </c>
      <c r="F960" t="s">
        <v>120</v>
      </c>
      <c r="G960">
        <f>IF(ISERROR(MATCH(AllProtiens!F960,Genomes!$C:$C,0)),0,1)</f>
        <v>1</v>
      </c>
      <c r="H960">
        <f>IF(ISERROR(MATCH(AllProtiens!A960,CoreProteinGroups!B:B,0)),0,1)</f>
        <v>1</v>
      </c>
      <c r="J960" s="6" t="s">
        <v>121</v>
      </c>
    </row>
    <row r="961" spans="1:10" x14ac:dyDescent="0.2">
      <c r="A961" s="1" t="s">
        <v>1699</v>
      </c>
      <c r="B961" t="s">
        <v>1700</v>
      </c>
      <c r="C961" t="s">
        <v>1746</v>
      </c>
      <c r="D961" s="6" t="str">
        <f t="shared" si="14"/>
        <v>PROT:AAL40515.1</v>
      </c>
      <c r="E961" t="s">
        <v>1747</v>
      </c>
      <c r="F961" t="s">
        <v>124</v>
      </c>
      <c r="G961">
        <f>IF(ISERROR(MATCH(AllProtiens!F961,Genomes!$C:$C,0)),0,1)</f>
        <v>1</v>
      </c>
      <c r="H961">
        <f>IF(ISERROR(MATCH(AllProtiens!A961,CoreProteinGroups!B:B,0)),0,1)</f>
        <v>1</v>
      </c>
      <c r="J961" s="6" t="s">
        <v>125</v>
      </c>
    </row>
    <row r="962" spans="1:10" x14ac:dyDescent="0.2">
      <c r="A962" s="1" t="s">
        <v>1699</v>
      </c>
      <c r="B962" t="s">
        <v>1700</v>
      </c>
      <c r="C962" t="s">
        <v>1748</v>
      </c>
      <c r="D962" s="6" t="str">
        <f t="shared" ref="D962:D1025" si="15">HYPERLINK(_xlfn.CONCAT("https://www.ncbi.nlm.nih.gov/protein/",C962),_xlfn.CONCAT("PROT:",C962))</f>
        <v>PROT:AAX09152.1</v>
      </c>
      <c r="E962" t="s">
        <v>1749</v>
      </c>
      <c r="F962" t="s">
        <v>128</v>
      </c>
      <c r="G962">
        <f>IF(ISERROR(MATCH(AllProtiens!F962,Genomes!$C:$C,0)),0,1)</f>
        <v>1</v>
      </c>
      <c r="H962">
        <f>IF(ISERROR(MATCH(AllProtiens!A962,CoreProteinGroups!B:B,0)),0,1)</f>
        <v>1</v>
      </c>
      <c r="J962" s="6" t="s">
        <v>129</v>
      </c>
    </row>
    <row r="963" spans="1:10" x14ac:dyDescent="0.2">
      <c r="A963" s="1" t="s">
        <v>1699</v>
      </c>
      <c r="B963" t="s">
        <v>1700</v>
      </c>
      <c r="C963" t="s">
        <v>1750</v>
      </c>
      <c r="D963" s="6" t="str">
        <f t="shared" si="15"/>
        <v>PROT:AKJ93693.1</v>
      </c>
      <c r="E963" t="s">
        <v>1702</v>
      </c>
      <c r="F963" t="s">
        <v>131</v>
      </c>
      <c r="G963">
        <f>IF(ISERROR(MATCH(AllProtiens!F963,Genomes!$C:$C,0)),0,1)</f>
        <v>1</v>
      </c>
      <c r="H963">
        <f>IF(ISERROR(MATCH(AllProtiens!A963,CoreProteinGroups!B:B,0)),0,1)</f>
        <v>1</v>
      </c>
      <c r="J963" s="6" t="s">
        <v>132</v>
      </c>
    </row>
    <row r="964" spans="1:10" x14ac:dyDescent="0.2">
      <c r="A964" s="1" t="s">
        <v>1699</v>
      </c>
      <c r="B964" t="s">
        <v>1700</v>
      </c>
      <c r="C964" t="s">
        <v>1751</v>
      </c>
      <c r="D964" s="6" t="str">
        <f t="shared" si="15"/>
        <v>PROT:AOP31542.1</v>
      </c>
      <c r="E964" t="s">
        <v>1702</v>
      </c>
      <c r="F964" t="s">
        <v>134</v>
      </c>
      <c r="G964">
        <f>IF(ISERROR(MATCH(AllProtiens!F964,Genomes!$C:$C,0)),0,1)</f>
        <v>1</v>
      </c>
      <c r="H964">
        <f>IF(ISERROR(MATCH(AllProtiens!A964,CoreProteinGroups!B:B,0)),0,1)</f>
        <v>1</v>
      </c>
      <c r="J964" s="6" t="s">
        <v>135</v>
      </c>
    </row>
    <row r="965" spans="1:10" x14ac:dyDescent="0.2">
      <c r="A965" s="1" t="s">
        <v>1699</v>
      </c>
      <c r="B965" t="s">
        <v>1700</v>
      </c>
      <c r="C965" t="s">
        <v>1752</v>
      </c>
      <c r="D965" s="6" t="str">
        <f t="shared" si="15"/>
        <v>PROT:ABD97632.1</v>
      </c>
      <c r="E965" t="s">
        <v>1702</v>
      </c>
      <c r="F965" t="s">
        <v>137</v>
      </c>
      <c r="G965">
        <f>IF(ISERROR(MATCH(AllProtiens!F965,Genomes!$C:$C,0)),0,1)</f>
        <v>1</v>
      </c>
      <c r="H965">
        <f>IF(ISERROR(MATCH(AllProtiens!A965,CoreProteinGroups!B:B,0)),0,1)</f>
        <v>1</v>
      </c>
      <c r="J965" s="6" t="s">
        <v>138</v>
      </c>
    </row>
    <row r="966" spans="1:10" x14ac:dyDescent="0.2">
      <c r="A966" s="1" t="s">
        <v>1699</v>
      </c>
      <c r="B966" t="s">
        <v>1700</v>
      </c>
      <c r="C966" t="s">
        <v>1753</v>
      </c>
      <c r="D966" s="6" t="str">
        <f t="shared" si="15"/>
        <v>PROT:AAO89344.1</v>
      </c>
      <c r="E966" t="s">
        <v>1702</v>
      </c>
      <c r="F966" t="s">
        <v>140</v>
      </c>
      <c r="G966">
        <f>IF(ISERROR(MATCH(AllProtiens!F966,Genomes!$C:$C,0)),0,1)</f>
        <v>1</v>
      </c>
      <c r="H966">
        <f>IF(ISERROR(MATCH(AllProtiens!A966,CoreProteinGroups!B:B,0)),0,1)</f>
        <v>1</v>
      </c>
      <c r="J966" s="6" t="s">
        <v>141</v>
      </c>
    </row>
    <row r="967" spans="1:10" x14ac:dyDescent="0.2">
      <c r="A967" s="1" t="s">
        <v>1699</v>
      </c>
      <c r="B967" t="s">
        <v>1700</v>
      </c>
      <c r="C967" t="s">
        <v>1754</v>
      </c>
      <c r="D967" s="6" t="str">
        <f t="shared" si="15"/>
        <v>PROT:CAA48991.1</v>
      </c>
      <c r="E967" t="s">
        <v>1755</v>
      </c>
      <c r="F967" t="s">
        <v>144</v>
      </c>
      <c r="G967">
        <f>IF(ISERROR(MATCH(AllProtiens!F967,Genomes!$C:$C,0)),0,1)</f>
        <v>1</v>
      </c>
      <c r="H967">
        <f>IF(ISERROR(MATCH(AllProtiens!A967,CoreProteinGroups!B:B,0)),0,1)</f>
        <v>1</v>
      </c>
      <c r="J967" s="6" t="s">
        <v>145</v>
      </c>
    </row>
    <row r="968" spans="1:10" x14ac:dyDescent="0.2">
      <c r="A968" s="1" t="s">
        <v>1699</v>
      </c>
      <c r="B968" t="s">
        <v>1700</v>
      </c>
      <c r="C968" t="s">
        <v>1756</v>
      </c>
      <c r="D968" s="6" t="str">
        <f t="shared" si="15"/>
        <v>PROT:CAB54650.1</v>
      </c>
      <c r="E968" t="s">
        <v>1757</v>
      </c>
      <c r="F968" t="s">
        <v>148</v>
      </c>
      <c r="G968">
        <f>IF(ISERROR(MATCH(AllProtiens!F968,Genomes!$C:$C,0)),0,1)</f>
        <v>1</v>
      </c>
      <c r="H968">
        <f>IF(ISERROR(MATCH(AllProtiens!A968,CoreProteinGroups!B:B,0)),0,1)</f>
        <v>1</v>
      </c>
      <c r="J968" s="6" t="s">
        <v>149</v>
      </c>
    </row>
    <row r="969" spans="1:10" x14ac:dyDescent="0.2">
      <c r="A969" s="1" t="s">
        <v>1699</v>
      </c>
      <c r="B969" t="s">
        <v>1700</v>
      </c>
      <c r="C969" t="s">
        <v>1758</v>
      </c>
      <c r="D969" s="6" t="str">
        <f t="shared" si="15"/>
        <v>PROT:AOP31753.1</v>
      </c>
      <c r="E969" t="s">
        <v>1702</v>
      </c>
      <c r="F969" t="s">
        <v>151</v>
      </c>
      <c r="G969">
        <f>IF(ISERROR(MATCH(AllProtiens!F969,Genomes!$C:$C,0)),0,1)</f>
        <v>1</v>
      </c>
      <c r="H969">
        <f>IF(ISERROR(MATCH(AllProtiens!A969,CoreProteinGroups!B:B,0)),0,1)</f>
        <v>1</v>
      </c>
      <c r="J969" s="6" t="s">
        <v>152</v>
      </c>
    </row>
    <row r="970" spans="1:10" x14ac:dyDescent="0.2">
      <c r="A970" s="1" t="s">
        <v>1699</v>
      </c>
      <c r="B970" t="s">
        <v>1700</v>
      </c>
      <c r="C970" t="s">
        <v>1759</v>
      </c>
      <c r="D970" s="6" t="str">
        <f t="shared" si="15"/>
        <v>PROT:ASC55610.1</v>
      </c>
      <c r="E970" t="s">
        <v>1760</v>
      </c>
      <c r="F970" t="s">
        <v>155</v>
      </c>
      <c r="G970">
        <f>IF(ISERROR(MATCH(AllProtiens!F970,Genomes!$C:$C,0)),0,1)</f>
        <v>1</v>
      </c>
      <c r="H970">
        <f>IF(ISERROR(MATCH(AllProtiens!A970,CoreProteinGroups!B:B,0)),0,1)</f>
        <v>1</v>
      </c>
      <c r="J970" s="6" t="s">
        <v>156</v>
      </c>
    </row>
    <row r="971" spans="1:10" x14ac:dyDescent="0.2">
      <c r="A971" s="1" t="s">
        <v>1699</v>
      </c>
      <c r="B971" t="s">
        <v>1700</v>
      </c>
      <c r="C971" t="s">
        <v>1761</v>
      </c>
      <c r="D971" s="6" t="str">
        <f t="shared" si="15"/>
        <v>PROT:AAR98382.1</v>
      </c>
      <c r="E971" t="s">
        <v>1762</v>
      </c>
      <c r="F971" t="s">
        <v>159</v>
      </c>
      <c r="G971">
        <f>IF(ISERROR(MATCH(AllProtiens!F971,Genomes!$C:$C,0)),0,1)</f>
        <v>1</v>
      </c>
      <c r="H971">
        <f>IF(ISERROR(MATCH(AllProtiens!A971,CoreProteinGroups!B:B,0)),0,1)</f>
        <v>1</v>
      </c>
      <c r="J971" s="6" t="s">
        <v>160</v>
      </c>
    </row>
    <row r="972" spans="1:10" x14ac:dyDescent="0.2">
      <c r="A972" s="1" t="s">
        <v>1699</v>
      </c>
      <c r="B972" t="s">
        <v>1700</v>
      </c>
      <c r="C972" t="s">
        <v>1763</v>
      </c>
      <c r="D972" s="6" t="str">
        <f t="shared" si="15"/>
        <v>PROT:AAR98250.1</v>
      </c>
      <c r="E972" t="s">
        <v>1762</v>
      </c>
      <c r="F972" t="s">
        <v>162</v>
      </c>
      <c r="G972">
        <f>IF(ISERROR(MATCH(AllProtiens!F972,Genomes!$C:$C,0)),0,1)</f>
        <v>1</v>
      </c>
      <c r="H972">
        <f>IF(ISERROR(MATCH(AllProtiens!A972,CoreProteinGroups!B:B,0)),0,1)</f>
        <v>1</v>
      </c>
      <c r="J972" s="6" t="s">
        <v>163</v>
      </c>
    </row>
    <row r="973" spans="1:10" x14ac:dyDescent="0.2">
      <c r="A973" s="1" t="s">
        <v>1699</v>
      </c>
      <c r="B973" t="s">
        <v>1700</v>
      </c>
      <c r="C973" t="s">
        <v>1764</v>
      </c>
      <c r="D973" s="6" t="str">
        <f t="shared" si="15"/>
        <v>PROT:ABA00542.1</v>
      </c>
      <c r="E973" t="s">
        <v>1702</v>
      </c>
      <c r="F973" t="s">
        <v>162</v>
      </c>
      <c r="G973">
        <f>IF(ISERROR(MATCH(AllProtiens!F973,Genomes!$C:$C,0)),0,1)</f>
        <v>1</v>
      </c>
      <c r="H973">
        <f>IF(ISERROR(MATCH(AllProtiens!A973,CoreProteinGroups!B:B,0)),0,1)</f>
        <v>1</v>
      </c>
      <c r="J973" s="6" t="s">
        <v>163</v>
      </c>
    </row>
    <row r="974" spans="1:10" x14ac:dyDescent="0.2">
      <c r="A974" s="1" t="s">
        <v>1699</v>
      </c>
      <c r="B974" t="s">
        <v>1700</v>
      </c>
      <c r="C974" t="s">
        <v>1765</v>
      </c>
      <c r="D974" s="6" t="str">
        <f t="shared" si="15"/>
        <v>PROT:AIZ77276.1</v>
      </c>
      <c r="E974" t="s">
        <v>1766</v>
      </c>
      <c r="F974" t="s">
        <v>167</v>
      </c>
      <c r="G974">
        <f>IF(ISERROR(MATCH(AllProtiens!F974,Genomes!$C:$C,0)),0,1)</f>
        <v>1</v>
      </c>
      <c r="H974">
        <f>IF(ISERROR(MATCH(AllProtiens!A974,CoreProteinGroups!B:B,0)),0,1)</f>
        <v>1</v>
      </c>
      <c r="J974" s="6" t="s">
        <v>168</v>
      </c>
    </row>
    <row r="975" spans="1:10" x14ac:dyDescent="0.2">
      <c r="A975" s="1" t="s">
        <v>1699</v>
      </c>
      <c r="B975" t="s">
        <v>1700</v>
      </c>
      <c r="C975" t="s">
        <v>1767</v>
      </c>
      <c r="D975" s="6" t="str">
        <f t="shared" si="15"/>
        <v>PROT:ADC53926.1</v>
      </c>
      <c r="E975" t="s">
        <v>1700</v>
      </c>
      <c r="F975" t="s">
        <v>170</v>
      </c>
      <c r="G975">
        <f>IF(ISERROR(MATCH(AllProtiens!F975,Genomes!$C:$C,0)),0,1)</f>
        <v>1</v>
      </c>
      <c r="H975">
        <f>IF(ISERROR(MATCH(AllProtiens!A975,CoreProteinGroups!B:B,0)),0,1)</f>
        <v>1</v>
      </c>
      <c r="J975" s="6" t="s">
        <v>171</v>
      </c>
    </row>
    <row r="976" spans="1:10" x14ac:dyDescent="0.2">
      <c r="A976" s="1" t="s">
        <v>1699</v>
      </c>
      <c r="B976" t="s">
        <v>1700</v>
      </c>
      <c r="C976" t="s">
        <v>1768</v>
      </c>
      <c r="D976" s="6" t="str">
        <f t="shared" si="15"/>
        <v>PROT:AAL69775.1</v>
      </c>
      <c r="E976" t="s">
        <v>1769</v>
      </c>
      <c r="F976" t="s">
        <v>174</v>
      </c>
      <c r="G976">
        <f>IF(ISERROR(MATCH(AllProtiens!F976,Genomes!$C:$C,0)),0,1)</f>
        <v>1</v>
      </c>
      <c r="H976">
        <f>IF(ISERROR(MATCH(AllProtiens!A976,CoreProteinGroups!B:B,0)),0,1)</f>
        <v>1</v>
      </c>
      <c r="J976" s="6" t="s">
        <v>175</v>
      </c>
    </row>
    <row r="977" spans="1:10" x14ac:dyDescent="0.2">
      <c r="A977" s="1" t="s">
        <v>1699</v>
      </c>
      <c r="B977" t="s">
        <v>1700</v>
      </c>
      <c r="C977" t="s">
        <v>1770</v>
      </c>
      <c r="D977" s="6" t="str">
        <f t="shared" si="15"/>
        <v>PROT:CAC21277.1</v>
      </c>
      <c r="E977" t="s">
        <v>1771</v>
      </c>
      <c r="F977" t="s">
        <v>178</v>
      </c>
      <c r="G977">
        <f>IF(ISERROR(MATCH(AllProtiens!F977,Genomes!$C:$C,0)),0,1)</f>
        <v>1</v>
      </c>
      <c r="H977">
        <f>IF(ISERROR(MATCH(AllProtiens!A977,CoreProteinGroups!B:B,0)),0,1)</f>
        <v>1</v>
      </c>
      <c r="J977" s="6" t="s">
        <v>179</v>
      </c>
    </row>
    <row r="978" spans="1:10" x14ac:dyDescent="0.2">
      <c r="A978" s="1" t="s">
        <v>1699</v>
      </c>
      <c r="B978" t="s">
        <v>1700</v>
      </c>
      <c r="C978" t="s">
        <v>1772</v>
      </c>
      <c r="D978" s="6" t="str">
        <f t="shared" si="15"/>
        <v>PROT:AAR07396.1</v>
      </c>
      <c r="E978" t="s">
        <v>1773</v>
      </c>
      <c r="F978" t="s">
        <v>182</v>
      </c>
      <c r="G978">
        <f>IF(ISERROR(MATCH(AllProtiens!F978,Genomes!$C:$C,0)),0,1)</f>
        <v>1</v>
      </c>
      <c r="H978">
        <f>IF(ISERROR(MATCH(AllProtiens!A978,CoreProteinGroups!B:B,0)),0,1)</f>
        <v>1</v>
      </c>
      <c r="J978" s="6" t="s">
        <v>183</v>
      </c>
    </row>
    <row r="979" spans="1:10" x14ac:dyDescent="0.2">
      <c r="A979" s="1" t="s">
        <v>1699</v>
      </c>
      <c r="B979" t="s">
        <v>1700</v>
      </c>
      <c r="C979" t="s">
        <v>1774</v>
      </c>
      <c r="D979" s="6" t="str">
        <f t="shared" si="15"/>
        <v>PROT:AAC97837.1</v>
      </c>
      <c r="E979" t="s">
        <v>1775</v>
      </c>
      <c r="F979" t="s">
        <v>186</v>
      </c>
      <c r="G979">
        <f>IF(ISERROR(MATCH(AllProtiens!F979,Genomes!$C:$C,0)),0,1)</f>
        <v>1</v>
      </c>
      <c r="H979">
        <f>IF(ISERROR(MATCH(AllProtiens!A979,CoreProteinGroups!B:B,0)),0,1)</f>
        <v>1</v>
      </c>
      <c r="J979" s="6" t="s">
        <v>187</v>
      </c>
    </row>
    <row r="980" spans="1:10" x14ac:dyDescent="0.2">
      <c r="A980" s="1" t="s">
        <v>1699</v>
      </c>
      <c r="B980" t="s">
        <v>1700</v>
      </c>
      <c r="C980" t="s">
        <v>1776</v>
      </c>
      <c r="D980" s="6" t="str">
        <f t="shared" si="15"/>
        <v>PROT:BAO49586.1</v>
      </c>
      <c r="E980" t="s">
        <v>1702</v>
      </c>
      <c r="F980" t="s">
        <v>190</v>
      </c>
      <c r="G980">
        <f>IF(ISERROR(MATCH(AllProtiens!F980,Genomes!$C:$C,0)),0,1)</f>
        <v>1</v>
      </c>
      <c r="H980">
        <f>IF(ISERROR(MATCH(AllProtiens!A980,CoreProteinGroups!B:B,0)),0,1)</f>
        <v>1</v>
      </c>
      <c r="J980" s="6" t="s">
        <v>191</v>
      </c>
    </row>
    <row r="981" spans="1:10" x14ac:dyDescent="0.2">
      <c r="A981" s="1" t="s">
        <v>1699</v>
      </c>
      <c r="B981" t="s">
        <v>1700</v>
      </c>
      <c r="C981" t="s">
        <v>1777</v>
      </c>
      <c r="D981" s="6" t="str">
        <f t="shared" si="15"/>
        <v>PROT:CCU55370.1</v>
      </c>
      <c r="E981" t="s">
        <v>1702</v>
      </c>
      <c r="F981" t="s">
        <v>193</v>
      </c>
      <c r="G981">
        <f>IF(ISERROR(MATCH(AllProtiens!F981,Genomes!$C:$C,0)),0,1)</f>
        <v>1</v>
      </c>
      <c r="H981">
        <f>IF(ISERROR(MATCH(AllProtiens!A981,CoreProteinGroups!B:B,0)),0,1)</f>
        <v>1</v>
      </c>
      <c r="J981" s="6" t="s">
        <v>194</v>
      </c>
    </row>
    <row r="982" spans="1:10" x14ac:dyDescent="0.2">
      <c r="A982" s="1" t="s">
        <v>1699</v>
      </c>
      <c r="B982" t="s">
        <v>1700</v>
      </c>
      <c r="C982" t="s">
        <v>1778</v>
      </c>
      <c r="D982" s="6" t="str">
        <f t="shared" si="15"/>
        <v>PROT:AAG02756.1</v>
      </c>
      <c r="E982" t="s">
        <v>1779</v>
      </c>
      <c r="F982" t="s">
        <v>197</v>
      </c>
      <c r="G982">
        <f>IF(ISERROR(MATCH(AllProtiens!F982,Genomes!$C:$C,0)),0,1)</f>
        <v>1</v>
      </c>
      <c r="H982">
        <f>IF(ISERROR(MATCH(AllProtiens!A982,CoreProteinGroups!B:B,0)),0,1)</f>
        <v>1</v>
      </c>
      <c r="J982" s="6" t="s">
        <v>198</v>
      </c>
    </row>
    <row r="983" spans="1:10" x14ac:dyDescent="0.2">
      <c r="A983" s="1" t="s">
        <v>1699</v>
      </c>
      <c r="B983" t="s">
        <v>1700</v>
      </c>
      <c r="C983" t="s">
        <v>1780</v>
      </c>
      <c r="D983" s="6" t="str">
        <f t="shared" si="15"/>
        <v>PROT:CCU55637.1</v>
      </c>
      <c r="E983" t="s">
        <v>1702</v>
      </c>
      <c r="F983" t="s">
        <v>200</v>
      </c>
      <c r="G983">
        <f>IF(ISERROR(MATCH(AllProtiens!F983,Genomes!$C:$C,0)),0,1)</f>
        <v>1</v>
      </c>
      <c r="H983">
        <f>IF(ISERROR(MATCH(AllProtiens!A983,CoreProteinGroups!B:B,0)),0,1)</f>
        <v>1</v>
      </c>
      <c r="J983" s="6" t="s">
        <v>201</v>
      </c>
    </row>
    <row r="984" spans="1:10" x14ac:dyDescent="0.2">
      <c r="A984" s="1" t="s">
        <v>1699</v>
      </c>
      <c r="B984" t="s">
        <v>1700</v>
      </c>
      <c r="C984" t="s">
        <v>1781</v>
      </c>
      <c r="D984" s="6" t="str">
        <f t="shared" si="15"/>
        <v>PROT:CCU55950.1</v>
      </c>
      <c r="E984" t="s">
        <v>1702</v>
      </c>
      <c r="F984" t="s">
        <v>203</v>
      </c>
      <c r="G984">
        <f>IF(ISERROR(MATCH(AllProtiens!F984,Genomes!$C:$C,0)),0,1)</f>
        <v>1</v>
      </c>
      <c r="H984">
        <f>IF(ISERROR(MATCH(AllProtiens!A984,CoreProteinGroups!B:B,0)),0,1)</f>
        <v>1</v>
      </c>
      <c r="J984" s="6" t="s">
        <v>204</v>
      </c>
    </row>
    <row r="985" spans="1:10" x14ac:dyDescent="0.2">
      <c r="A985" s="1" t="s">
        <v>1699</v>
      </c>
      <c r="B985" t="s">
        <v>1700</v>
      </c>
      <c r="C985" t="s">
        <v>1782</v>
      </c>
      <c r="D985" s="6" t="str">
        <f t="shared" si="15"/>
        <v>PROT:CCU56273.1</v>
      </c>
      <c r="E985" t="s">
        <v>1702</v>
      </c>
      <c r="F985" t="s">
        <v>206</v>
      </c>
      <c r="G985">
        <f>IF(ISERROR(MATCH(AllProtiens!F985,Genomes!$C:$C,0)),0,1)</f>
        <v>1</v>
      </c>
      <c r="H985">
        <f>IF(ISERROR(MATCH(AllProtiens!A985,CoreProteinGroups!B:B,0)),0,1)</f>
        <v>1</v>
      </c>
      <c r="J985" s="6" t="s">
        <v>207</v>
      </c>
    </row>
    <row r="986" spans="1:10" x14ac:dyDescent="0.2">
      <c r="A986" s="1" t="s">
        <v>1699</v>
      </c>
      <c r="B986" t="s">
        <v>1700</v>
      </c>
      <c r="C986" t="s">
        <v>1783</v>
      </c>
      <c r="D986" s="6" t="str">
        <f t="shared" si="15"/>
        <v>PROT:NP_659611.1</v>
      </c>
      <c r="E986" t="s">
        <v>1702</v>
      </c>
      <c r="F986" t="s">
        <v>210</v>
      </c>
      <c r="G986">
        <f>IF(ISERROR(MATCH(AllProtiens!F986,Genomes!$C:$C,0)),0,1)</f>
        <v>1</v>
      </c>
      <c r="H986">
        <f>IF(ISERROR(MATCH(AllProtiens!A986,CoreProteinGroups!B:B,0)),0,1)</f>
        <v>1</v>
      </c>
      <c r="J986" s="6" t="s">
        <v>211</v>
      </c>
    </row>
    <row r="987" spans="1:10" x14ac:dyDescent="0.2">
      <c r="A987" s="1" t="s">
        <v>1699</v>
      </c>
      <c r="B987" t="s">
        <v>1700</v>
      </c>
      <c r="C987" t="s">
        <v>1784</v>
      </c>
      <c r="D987" s="6" t="str">
        <f t="shared" si="15"/>
        <v>PROT:YP_001293230.1</v>
      </c>
      <c r="E987" t="s">
        <v>1785</v>
      </c>
      <c r="F987" t="s">
        <v>214</v>
      </c>
      <c r="G987">
        <f>IF(ISERROR(MATCH(AllProtiens!F987,Genomes!$C:$C,0)),0,1)</f>
        <v>1</v>
      </c>
      <c r="H987">
        <f>IF(ISERROR(MATCH(AllProtiens!A987,CoreProteinGroups!B:B,0)),0,1)</f>
        <v>1</v>
      </c>
      <c r="J987" s="6" t="s">
        <v>215</v>
      </c>
    </row>
    <row r="988" spans="1:10" x14ac:dyDescent="0.2">
      <c r="A988" s="1" t="s">
        <v>1786</v>
      </c>
      <c r="B988" t="s">
        <v>1787</v>
      </c>
      <c r="C988" t="s">
        <v>1788</v>
      </c>
      <c r="D988" s="6" t="str">
        <f t="shared" si="15"/>
        <v>PROT:ATI21162.1</v>
      </c>
      <c r="E988" t="s">
        <v>1789</v>
      </c>
      <c r="F988" t="s">
        <v>14</v>
      </c>
      <c r="G988">
        <f>IF(ISERROR(MATCH(AllProtiens!F988,Genomes!$C:$C,0)),0,1)</f>
        <v>1</v>
      </c>
      <c r="H988">
        <f>IF(ISERROR(MATCH(AllProtiens!A988,CoreProteinGroups!B:B,0)),0,1)</f>
        <v>1</v>
      </c>
      <c r="J988" s="6" t="s">
        <v>15</v>
      </c>
    </row>
    <row r="989" spans="1:10" x14ac:dyDescent="0.2">
      <c r="A989" s="1" t="s">
        <v>1786</v>
      </c>
      <c r="B989" t="s">
        <v>1787</v>
      </c>
      <c r="C989" t="s">
        <v>1790</v>
      </c>
      <c r="D989" s="6" t="str">
        <f t="shared" si="15"/>
        <v>PROT:AWU47099.1</v>
      </c>
      <c r="E989" t="s">
        <v>1789</v>
      </c>
      <c r="F989" t="s">
        <v>17</v>
      </c>
      <c r="G989">
        <f>IF(ISERROR(MATCH(AllProtiens!F989,Genomes!$C:$C,0)),0,1)</f>
        <v>1</v>
      </c>
      <c r="H989">
        <f>IF(ISERROR(MATCH(AllProtiens!A989,CoreProteinGroups!B:B,0)),0,1)</f>
        <v>1</v>
      </c>
      <c r="J989" s="6" t="s">
        <v>18</v>
      </c>
    </row>
    <row r="990" spans="1:10" x14ac:dyDescent="0.2">
      <c r="A990" s="1" t="s">
        <v>1786</v>
      </c>
      <c r="B990" t="s">
        <v>1787</v>
      </c>
      <c r="C990" t="s">
        <v>1791</v>
      </c>
      <c r="D990" s="6" t="str">
        <f t="shared" si="15"/>
        <v>PROT:APG58269.1</v>
      </c>
      <c r="E990" t="s">
        <v>1792</v>
      </c>
      <c r="F990" t="s">
        <v>21</v>
      </c>
      <c r="G990">
        <f>IF(ISERROR(MATCH(AllProtiens!F990,Genomes!$C:$C,0)),0,1)</f>
        <v>1</v>
      </c>
      <c r="H990">
        <f>IF(ISERROR(MATCH(AllProtiens!A990,CoreProteinGroups!B:B,0)),0,1)</f>
        <v>1</v>
      </c>
      <c r="J990" s="6" t="s">
        <v>22</v>
      </c>
    </row>
    <row r="991" spans="1:10" x14ac:dyDescent="0.2">
      <c r="A991" s="1" t="s">
        <v>1786</v>
      </c>
      <c r="B991" t="s">
        <v>1787</v>
      </c>
      <c r="C991" t="s">
        <v>1793</v>
      </c>
      <c r="D991" s="6" t="str">
        <f t="shared" si="15"/>
        <v>PROT:ADT91086.2</v>
      </c>
      <c r="E991" t="s">
        <v>1794</v>
      </c>
      <c r="F991" t="s">
        <v>25</v>
      </c>
      <c r="G991">
        <f>IF(ISERROR(MATCH(AllProtiens!F991,Genomes!$C:$C,0)),0,1)</f>
        <v>1</v>
      </c>
      <c r="H991">
        <f>IF(ISERROR(MATCH(AllProtiens!A991,CoreProteinGroups!B:B,0)),0,1)</f>
        <v>1</v>
      </c>
      <c r="J991" s="6" t="s">
        <v>26</v>
      </c>
    </row>
    <row r="992" spans="1:10" x14ac:dyDescent="0.2">
      <c r="A992" s="1" t="s">
        <v>1786</v>
      </c>
      <c r="B992" t="s">
        <v>1787</v>
      </c>
      <c r="C992" t="s">
        <v>1795</v>
      </c>
      <c r="D992" s="6" t="str">
        <f t="shared" si="15"/>
        <v>PROT:ANS71143.1</v>
      </c>
      <c r="E992" t="s">
        <v>1796</v>
      </c>
      <c r="F992" t="s">
        <v>28</v>
      </c>
      <c r="G992">
        <f>IF(ISERROR(MATCH(AllProtiens!F992,Genomes!$C:$C,0)),0,1)</f>
        <v>1</v>
      </c>
      <c r="H992">
        <f>IF(ISERROR(MATCH(AllProtiens!A992,CoreProteinGroups!B:B,0)),0,1)</f>
        <v>1</v>
      </c>
      <c r="J992" s="6" t="s">
        <v>29</v>
      </c>
    </row>
    <row r="993" spans="1:10" x14ac:dyDescent="0.2">
      <c r="A993" s="1" t="s">
        <v>1786</v>
      </c>
      <c r="B993" t="s">
        <v>1787</v>
      </c>
      <c r="C993" t="s">
        <v>1797</v>
      </c>
      <c r="D993" s="6" t="str">
        <f t="shared" si="15"/>
        <v>PROT:AKR04270.1</v>
      </c>
      <c r="E993" t="s">
        <v>1798</v>
      </c>
      <c r="F993" t="s">
        <v>32</v>
      </c>
      <c r="G993">
        <f>IF(ISERROR(MATCH(AllProtiens!F993,Genomes!$C:$C,0)),0,1)</f>
        <v>1</v>
      </c>
      <c r="H993">
        <f>IF(ISERROR(MATCH(AllProtiens!A993,CoreProteinGroups!B:B,0)),0,1)</f>
        <v>1</v>
      </c>
      <c r="J993" s="6" t="s">
        <v>33</v>
      </c>
    </row>
    <row r="994" spans="1:10" x14ac:dyDescent="0.2">
      <c r="A994" s="1" t="s">
        <v>1786</v>
      </c>
      <c r="B994" t="s">
        <v>1787</v>
      </c>
      <c r="C994" t="s">
        <v>1799</v>
      </c>
      <c r="D994" s="6" t="str">
        <f t="shared" si="15"/>
        <v>PROT:CCD83231.1</v>
      </c>
      <c r="E994" t="s">
        <v>1800</v>
      </c>
      <c r="F994" t="s">
        <v>36</v>
      </c>
      <c r="G994">
        <f>IF(ISERROR(MATCH(AllProtiens!F994,Genomes!$C:$C,0)),0,1)</f>
        <v>1</v>
      </c>
      <c r="H994">
        <f>IF(ISERROR(MATCH(AllProtiens!A994,CoreProteinGroups!B:B,0)),0,1)</f>
        <v>1</v>
      </c>
      <c r="J994" s="6" t="s">
        <v>37</v>
      </c>
    </row>
    <row r="995" spans="1:10" x14ac:dyDescent="0.2">
      <c r="A995" s="1" t="s">
        <v>1786</v>
      </c>
      <c r="B995" t="s">
        <v>1787</v>
      </c>
      <c r="C995" t="s">
        <v>1801</v>
      </c>
      <c r="D995" s="6" t="str">
        <f t="shared" si="15"/>
        <v>PROT:ASK51259.1</v>
      </c>
      <c r="E995" t="s">
        <v>1789</v>
      </c>
      <c r="F995" t="s">
        <v>40</v>
      </c>
      <c r="G995">
        <f>IF(ISERROR(MATCH(AllProtiens!F995,Genomes!$C:$C,0)),0,1)</f>
        <v>1</v>
      </c>
      <c r="H995">
        <f>IF(ISERROR(MATCH(AllProtiens!A995,CoreProteinGroups!B:B,0)),0,1)</f>
        <v>1</v>
      </c>
      <c r="J995" s="6" t="s">
        <v>41</v>
      </c>
    </row>
    <row r="996" spans="1:10" x14ac:dyDescent="0.2">
      <c r="A996" s="1" t="s">
        <v>1786</v>
      </c>
      <c r="B996" t="s">
        <v>1787</v>
      </c>
      <c r="C996" t="s">
        <v>1802</v>
      </c>
      <c r="D996" s="6" t="str">
        <f t="shared" si="15"/>
        <v>PROT:AUD40221.1</v>
      </c>
      <c r="E996" t="s">
        <v>1803</v>
      </c>
      <c r="F996" t="s">
        <v>43</v>
      </c>
      <c r="G996">
        <f>IF(ISERROR(MATCH(AllProtiens!F996,Genomes!$C:$C,0)),0,1)</f>
        <v>1</v>
      </c>
      <c r="H996">
        <f>IF(ISERROR(MATCH(AllProtiens!A996,CoreProteinGroups!B:B,0)),0,1)</f>
        <v>1</v>
      </c>
      <c r="J996" s="6" t="s">
        <v>44</v>
      </c>
    </row>
    <row r="997" spans="1:10" x14ac:dyDescent="0.2">
      <c r="A997" s="1" t="s">
        <v>1786</v>
      </c>
      <c r="B997" t="s">
        <v>1787</v>
      </c>
      <c r="C997" t="s">
        <v>1804</v>
      </c>
      <c r="D997" s="6" t="str">
        <f t="shared" si="15"/>
        <v>PROT:AID46855.1</v>
      </c>
      <c r="E997" t="s">
        <v>1805</v>
      </c>
      <c r="F997" t="s">
        <v>46</v>
      </c>
      <c r="G997">
        <f>IF(ISERROR(MATCH(AllProtiens!F997,Genomes!$C:$C,0)),0,1)</f>
        <v>1</v>
      </c>
      <c r="H997">
        <f>IF(ISERROR(MATCH(AllProtiens!A997,CoreProteinGroups!B:B,0)),0,1)</f>
        <v>1</v>
      </c>
      <c r="J997" s="6" t="s">
        <v>47</v>
      </c>
    </row>
    <row r="998" spans="1:10" x14ac:dyDescent="0.2">
      <c r="A998" s="1" t="s">
        <v>1786</v>
      </c>
      <c r="B998" t="s">
        <v>1787</v>
      </c>
      <c r="C998" t="s">
        <v>1806</v>
      </c>
      <c r="D998" s="6" t="str">
        <f t="shared" si="15"/>
        <v>PROT:AID46626.1</v>
      </c>
      <c r="E998" t="s">
        <v>1807</v>
      </c>
      <c r="F998" t="s">
        <v>49</v>
      </c>
      <c r="G998">
        <f>IF(ISERROR(MATCH(AllProtiens!F998,Genomes!$C:$C,0)),0,1)</f>
        <v>1</v>
      </c>
      <c r="H998">
        <f>IF(ISERROR(MATCH(AllProtiens!A998,CoreProteinGroups!B:B,0)),0,1)</f>
        <v>1</v>
      </c>
      <c r="J998" s="6" t="s">
        <v>50</v>
      </c>
    </row>
    <row r="999" spans="1:10" x14ac:dyDescent="0.2">
      <c r="A999" s="1" t="s">
        <v>1786</v>
      </c>
      <c r="B999" t="s">
        <v>1787</v>
      </c>
      <c r="C999" t="s">
        <v>1808</v>
      </c>
      <c r="D999" s="6" t="str">
        <f t="shared" si="15"/>
        <v>PROT:ALA62460.1</v>
      </c>
      <c r="E999" t="s">
        <v>333</v>
      </c>
      <c r="F999" t="s">
        <v>53</v>
      </c>
      <c r="G999">
        <f>IF(ISERROR(MATCH(AllProtiens!F999,Genomes!$C:$C,0)),0,1)</f>
        <v>1</v>
      </c>
      <c r="H999">
        <f>IF(ISERROR(MATCH(AllProtiens!A999,CoreProteinGroups!B:B,0)),0,1)</f>
        <v>1</v>
      </c>
      <c r="J999" s="6" t="s">
        <v>54</v>
      </c>
    </row>
    <row r="1000" spans="1:10" x14ac:dyDescent="0.2">
      <c r="A1000" s="1" t="s">
        <v>1786</v>
      </c>
      <c r="B1000" t="s">
        <v>1787</v>
      </c>
      <c r="C1000" t="s">
        <v>1809</v>
      </c>
      <c r="D1000" s="6" t="str">
        <f t="shared" si="15"/>
        <v>PROT:AAR83491.1</v>
      </c>
      <c r="E1000" t="s">
        <v>1810</v>
      </c>
      <c r="F1000" t="s">
        <v>57</v>
      </c>
      <c r="G1000">
        <f>IF(ISERROR(MATCH(AllProtiens!F1000,Genomes!$C:$C,0)),0,1)</f>
        <v>1</v>
      </c>
      <c r="H1000">
        <f>IF(ISERROR(MATCH(AllProtiens!A1000,CoreProteinGroups!B:B,0)),0,1)</f>
        <v>1</v>
      </c>
      <c r="J1000" s="6" t="s">
        <v>58</v>
      </c>
    </row>
    <row r="1001" spans="1:10" x14ac:dyDescent="0.2">
      <c r="A1001" s="1" t="s">
        <v>1786</v>
      </c>
      <c r="B1001" t="s">
        <v>1787</v>
      </c>
      <c r="C1001" t="s">
        <v>1811</v>
      </c>
      <c r="D1001" s="6" t="str">
        <f t="shared" si="15"/>
        <v>PROT:AAF44461.1</v>
      </c>
      <c r="E1001" t="s">
        <v>1812</v>
      </c>
      <c r="F1001" t="s">
        <v>61</v>
      </c>
      <c r="G1001">
        <f>IF(ISERROR(MATCH(AllProtiens!F1001,Genomes!$C:$C,0)),0,1)</f>
        <v>1</v>
      </c>
      <c r="H1001">
        <f>IF(ISERROR(MATCH(AllProtiens!A1001,CoreProteinGroups!B:B,0)),0,1)</f>
        <v>1</v>
      </c>
      <c r="J1001" s="6" t="s">
        <v>62</v>
      </c>
    </row>
    <row r="1002" spans="1:10" x14ac:dyDescent="0.2">
      <c r="A1002" s="1" t="s">
        <v>1786</v>
      </c>
      <c r="B1002" t="s">
        <v>1787</v>
      </c>
      <c r="C1002" t="s">
        <v>1813</v>
      </c>
      <c r="D1002" s="6" t="str">
        <f t="shared" si="15"/>
        <v>PROT:AAK85015.1</v>
      </c>
      <c r="E1002" t="s">
        <v>1814</v>
      </c>
      <c r="F1002" t="s">
        <v>65</v>
      </c>
      <c r="G1002">
        <f>IF(ISERROR(MATCH(AllProtiens!F1002,Genomes!$C:$C,0)),0,1)</f>
        <v>1</v>
      </c>
      <c r="H1002">
        <f>IF(ISERROR(MATCH(AllProtiens!A1002,CoreProteinGroups!B:B,0)),0,1)</f>
        <v>1</v>
      </c>
      <c r="J1002" s="6" t="s">
        <v>66</v>
      </c>
    </row>
    <row r="1003" spans="1:10" x14ac:dyDescent="0.2">
      <c r="A1003" s="1" t="s">
        <v>1786</v>
      </c>
      <c r="B1003" t="s">
        <v>1787</v>
      </c>
      <c r="C1003" t="s">
        <v>1815</v>
      </c>
      <c r="D1003" s="6" t="str">
        <f t="shared" si="15"/>
        <v>PROT:AST09273.1</v>
      </c>
      <c r="E1003" t="s">
        <v>1789</v>
      </c>
      <c r="F1003" t="s">
        <v>68</v>
      </c>
      <c r="G1003">
        <f>IF(ISERROR(MATCH(AllProtiens!F1003,Genomes!$C:$C,0)),0,1)</f>
        <v>1</v>
      </c>
      <c r="H1003">
        <f>IF(ISERROR(MATCH(AllProtiens!A1003,CoreProteinGroups!B:B,0)),0,1)</f>
        <v>1</v>
      </c>
      <c r="J1003" s="6" t="s">
        <v>69</v>
      </c>
    </row>
    <row r="1004" spans="1:10" x14ac:dyDescent="0.2">
      <c r="A1004" s="1" t="s">
        <v>1786</v>
      </c>
      <c r="B1004" t="s">
        <v>1787</v>
      </c>
      <c r="C1004" t="s">
        <v>1816</v>
      </c>
      <c r="D1004" s="6" t="str">
        <f t="shared" si="15"/>
        <v>PROT:AEN03650.1</v>
      </c>
      <c r="E1004" t="s">
        <v>1789</v>
      </c>
      <c r="F1004" t="s">
        <v>71</v>
      </c>
      <c r="G1004">
        <f>IF(ISERROR(MATCH(AllProtiens!F1004,Genomes!$C:$C,0)),0,1)</f>
        <v>1</v>
      </c>
      <c r="H1004">
        <f>IF(ISERROR(MATCH(AllProtiens!A1004,CoreProteinGroups!B:B,0)),0,1)</f>
        <v>1</v>
      </c>
      <c r="J1004" s="6" t="s">
        <v>72</v>
      </c>
    </row>
    <row r="1005" spans="1:10" x14ac:dyDescent="0.2">
      <c r="A1005" s="1" t="s">
        <v>1786</v>
      </c>
      <c r="B1005" t="s">
        <v>1787</v>
      </c>
      <c r="C1005" t="s">
        <v>1817</v>
      </c>
      <c r="D1005" s="6" t="str">
        <f t="shared" si="15"/>
        <v>PROT:ABI99218.1</v>
      </c>
      <c r="E1005" t="s">
        <v>1818</v>
      </c>
      <c r="F1005" t="s">
        <v>74</v>
      </c>
      <c r="G1005">
        <f>IF(ISERROR(MATCH(AllProtiens!F1005,Genomes!$C:$C,0)),0,1)</f>
        <v>1</v>
      </c>
      <c r="H1005">
        <f>IF(ISERROR(MATCH(AllProtiens!A1005,CoreProteinGroups!B:B,0)),0,1)</f>
        <v>1</v>
      </c>
      <c r="J1005" s="6" t="s">
        <v>75</v>
      </c>
    </row>
    <row r="1006" spans="1:10" x14ac:dyDescent="0.2">
      <c r="A1006" s="1" t="s">
        <v>1786</v>
      </c>
      <c r="B1006" t="s">
        <v>1787</v>
      </c>
      <c r="C1006" t="s">
        <v>1819</v>
      </c>
      <c r="D1006" s="6" t="str">
        <f t="shared" si="15"/>
        <v>PROT:ABJ08967.1</v>
      </c>
      <c r="E1006" t="s">
        <v>1820</v>
      </c>
      <c r="F1006" t="s">
        <v>77</v>
      </c>
      <c r="G1006">
        <f>IF(ISERROR(MATCH(AllProtiens!F1006,Genomes!$C:$C,0)),0,1)</f>
        <v>1</v>
      </c>
      <c r="H1006">
        <f>IF(ISERROR(MATCH(AllProtiens!A1006,CoreProteinGroups!B:B,0)),0,1)</f>
        <v>1</v>
      </c>
      <c r="J1006" s="6" t="s">
        <v>78</v>
      </c>
    </row>
    <row r="1007" spans="1:10" x14ac:dyDescent="0.2">
      <c r="A1007" s="1" t="s">
        <v>1786</v>
      </c>
      <c r="B1007" t="s">
        <v>1787</v>
      </c>
      <c r="C1007" t="s">
        <v>1821</v>
      </c>
      <c r="D1007" s="6" t="str">
        <f t="shared" si="15"/>
        <v>PROT:AAF14937.1</v>
      </c>
      <c r="E1007" t="s">
        <v>1822</v>
      </c>
      <c r="F1007" t="s">
        <v>81</v>
      </c>
      <c r="G1007">
        <f>IF(ISERROR(MATCH(AllProtiens!F1007,Genomes!$C:$C,0)),0,1)</f>
        <v>0</v>
      </c>
      <c r="H1007">
        <f>IF(ISERROR(MATCH(AllProtiens!A1007,CoreProteinGroups!B:B,0)),0,1)</f>
        <v>1</v>
      </c>
      <c r="J1007" s="6" t="s">
        <v>82</v>
      </c>
    </row>
    <row r="1008" spans="1:10" x14ac:dyDescent="0.2">
      <c r="A1008" s="1" t="s">
        <v>1786</v>
      </c>
      <c r="B1008" t="s">
        <v>1787</v>
      </c>
      <c r="C1008" t="s">
        <v>1823</v>
      </c>
      <c r="D1008" s="6" t="str">
        <f t="shared" si="15"/>
        <v>PROT:AFU77313.1</v>
      </c>
      <c r="E1008" t="s">
        <v>1822</v>
      </c>
      <c r="F1008" t="s">
        <v>81</v>
      </c>
      <c r="G1008">
        <f>IF(ISERROR(MATCH(AllProtiens!F1008,Genomes!$C:$C,0)),0,1)</f>
        <v>0</v>
      </c>
      <c r="H1008">
        <f>IF(ISERROR(MATCH(AllProtiens!A1008,CoreProteinGroups!B:B,0)),0,1)</f>
        <v>1</v>
      </c>
      <c r="J1008" s="6" t="s">
        <v>82</v>
      </c>
    </row>
    <row r="1009" spans="1:10" x14ac:dyDescent="0.2">
      <c r="A1009" s="1" t="s">
        <v>1786</v>
      </c>
      <c r="B1009" t="s">
        <v>1787</v>
      </c>
      <c r="C1009" t="s">
        <v>1824</v>
      </c>
      <c r="D1009" s="6" t="str">
        <f t="shared" si="15"/>
        <v>PROT:AAF17931.1</v>
      </c>
      <c r="E1009" t="s">
        <v>1825</v>
      </c>
      <c r="F1009" t="s">
        <v>86</v>
      </c>
      <c r="G1009">
        <f>IF(ISERROR(MATCH(AllProtiens!F1009,Genomes!$C:$C,0)),0,1)</f>
        <v>1</v>
      </c>
      <c r="H1009">
        <f>IF(ISERROR(MATCH(AllProtiens!A1009,CoreProteinGroups!B:B,0)),0,1)</f>
        <v>1</v>
      </c>
      <c r="J1009" s="6" t="s">
        <v>87</v>
      </c>
    </row>
    <row r="1010" spans="1:10" x14ac:dyDescent="0.2">
      <c r="A1010" s="1" t="s">
        <v>1786</v>
      </c>
      <c r="B1010" t="s">
        <v>1787</v>
      </c>
      <c r="C1010" t="s">
        <v>1826</v>
      </c>
      <c r="D1010" s="6" t="str">
        <f t="shared" si="15"/>
        <v>PROT:AAC55188.1</v>
      </c>
      <c r="E1010" t="s">
        <v>1827</v>
      </c>
      <c r="F1010" t="s">
        <v>90</v>
      </c>
      <c r="G1010">
        <f>IF(ISERROR(MATCH(AllProtiens!F1010,Genomes!$C:$C,0)),0,1)</f>
        <v>1</v>
      </c>
      <c r="H1010">
        <f>IF(ISERROR(MATCH(AllProtiens!A1010,CoreProteinGroups!B:B,0)),0,1)</f>
        <v>1</v>
      </c>
      <c r="J1010" s="6" t="s">
        <v>91</v>
      </c>
    </row>
    <row r="1011" spans="1:10" x14ac:dyDescent="0.2">
      <c r="A1011" s="1" t="s">
        <v>1786</v>
      </c>
      <c r="B1011" t="s">
        <v>1787</v>
      </c>
      <c r="C1011" t="s">
        <v>1828</v>
      </c>
      <c r="D1011" s="6" t="str">
        <f t="shared" si="15"/>
        <v>PROT:AYN64648.1</v>
      </c>
      <c r="E1011" t="s">
        <v>1829</v>
      </c>
      <c r="F1011" t="s">
        <v>94</v>
      </c>
      <c r="G1011">
        <f>IF(ISERROR(MATCH(AllProtiens!F1011,Genomes!$C:$C,0)),0,1)</f>
        <v>1</v>
      </c>
      <c r="H1011">
        <f>IF(ISERROR(MATCH(AllProtiens!A1011,CoreProteinGroups!B:B,0)),0,1)</f>
        <v>1</v>
      </c>
      <c r="J1011" s="6" t="s">
        <v>95</v>
      </c>
    </row>
    <row r="1012" spans="1:10" x14ac:dyDescent="0.2">
      <c r="A1012" s="1" t="s">
        <v>1786</v>
      </c>
      <c r="B1012" t="s">
        <v>1787</v>
      </c>
      <c r="C1012" t="s">
        <v>1830</v>
      </c>
      <c r="D1012" s="6" t="str">
        <f t="shared" si="15"/>
        <v>PROT:AXN74874.1</v>
      </c>
      <c r="E1012" t="s">
        <v>333</v>
      </c>
      <c r="F1012" t="s">
        <v>97</v>
      </c>
      <c r="G1012">
        <f>IF(ISERROR(MATCH(AllProtiens!F1012,Genomes!$C:$C,0)),0,1)</f>
        <v>1</v>
      </c>
      <c r="H1012">
        <f>IF(ISERROR(MATCH(AllProtiens!A1012,CoreProteinGroups!B:B,0)),0,1)</f>
        <v>1</v>
      </c>
      <c r="J1012" s="6" t="s">
        <v>98</v>
      </c>
    </row>
    <row r="1013" spans="1:10" x14ac:dyDescent="0.2">
      <c r="A1013" s="1" t="s">
        <v>1786</v>
      </c>
      <c r="B1013" t="s">
        <v>1787</v>
      </c>
      <c r="C1013" t="s">
        <v>1831</v>
      </c>
      <c r="D1013" s="6" t="str">
        <f t="shared" si="15"/>
        <v>PROT:ABH08189.1</v>
      </c>
      <c r="E1013" t="s">
        <v>1832</v>
      </c>
      <c r="F1013" t="s">
        <v>101</v>
      </c>
      <c r="G1013">
        <f>IF(ISERROR(MATCH(AllProtiens!F1013,Genomes!$C:$C,0)),0,1)</f>
        <v>1</v>
      </c>
      <c r="H1013">
        <f>IF(ISERROR(MATCH(AllProtiens!A1013,CoreProteinGroups!B:B,0)),0,1)</f>
        <v>1</v>
      </c>
      <c r="J1013" s="6" t="s">
        <v>102</v>
      </c>
    </row>
    <row r="1014" spans="1:10" x14ac:dyDescent="0.2">
      <c r="A1014" s="1" t="s">
        <v>1786</v>
      </c>
      <c r="B1014" t="s">
        <v>1787</v>
      </c>
      <c r="C1014" t="s">
        <v>1833</v>
      </c>
      <c r="D1014" s="6" t="str">
        <f t="shared" si="15"/>
        <v>PROT:AAG37549.1</v>
      </c>
      <c r="E1014" t="s">
        <v>1834</v>
      </c>
      <c r="F1014" t="s">
        <v>105</v>
      </c>
      <c r="G1014">
        <f>IF(ISERROR(MATCH(AllProtiens!F1014,Genomes!$C:$C,0)),0,1)</f>
        <v>1</v>
      </c>
      <c r="H1014">
        <f>IF(ISERROR(MATCH(AllProtiens!A1014,CoreProteinGroups!B:B,0)),0,1)</f>
        <v>1</v>
      </c>
      <c r="J1014" s="6" t="s">
        <v>106</v>
      </c>
    </row>
    <row r="1015" spans="1:10" x14ac:dyDescent="0.2">
      <c r="A1015" s="1" t="s">
        <v>1786</v>
      </c>
      <c r="B1015" t="s">
        <v>1787</v>
      </c>
      <c r="C1015" t="s">
        <v>1835</v>
      </c>
      <c r="D1015" s="6" t="str">
        <f t="shared" si="15"/>
        <v>PROT:AAL73787.1</v>
      </c>
      <c r="E1015" t="s">
        <v>333</v>
      </c>
      <c r="F1015" t="s">
        <v>109</v>
      </c>
      <c r="G1015">
        <f>IF(ISERROR(MATCH(AllProtiens!F1015,Genomes!$C:$C,0)),0,1)</f>
        <v>1</v>
      </c>
      <c r="H1015">
        <f>IF(ISERROR(MATCH(AllProtiens!A1015,CoreProteinGroups!B:B,0)),0,1)</f>
        <v>1</v>
      </c>
      <c r="J1015" s="6" t="s">
        <v>110</v>
      </c>
    </row>
    <row r="1016" spans="1:10" x14ac:dyDescent="0.2">
      <c r="A1016" s="1" t="s">
        <v>1786</v>
      </c>
      <c r="B1016" t="s">
        <v>1787</v>
      </c>
      <c r="C1016" t="s">
        <v>1836</v>
      </c>
      <c r="D1016" s="6" t="str">
        <f t="shared" si="15"/>
        <v>PROT:AAM13537.1</v>
      </c>
      <c r="E1016" t="s">
        <v>1837</v>
      </c>
      <c r="F1016" t="s">
        <v>113</v>
      </c>
      <c r="G1016">
        <f>IF(ISERROR(MATCH(AllProtiens!F1016,Genomes!$C:$C,0)),0,1)</f>
        <v>1</v>
      </c>
      <c r="H1016">
        <f>IF(ISERROR(MATCH(AllProtiens!A1016,CoreProteinGroups!B:B,0)),0,1)</f>
        <v>1</v>
      </c>
      <c r="J1016" s="6" t="s">
        <v>114</v>
      </c>
    </row>
    <row r="1017" spans="1:10" x14ac:dyDescent="0.2">
      <c r="A1017" s="1" t="s">
        <v>1786</v>
      </c>
      <c r="B1017" t="s">
        <v>1787</v>
      </c>
      <c r="C1017" t="s">
        <v>1838</v>
      </c>
      <c r="D1017" s="6" t="str">
        <f t="shared" si="15"/>
        <v>PROT:AAM92370.1</v>
      </c>
      <c r="E1017" t="s">
        <v>1839</v>
      </c>
      <c r="F1017" t="s">
        <v>117</v>
      </c>
      <c r="G1017">
        <f>IF(ISERROR(MATCH(AllProtiens!F1017,Genomes!$C:$C,0)),0,1)</f>
        <v>1</v>
      </c>
      <c r="H1017">
        <f>IF(ISERROR(MATCH(AllProtiens!A1017,CoreProteinGroups!B:B,0)),0,1)</f>
        <v>1</v>
      </c>
      <c r="J1017" s="6" t="s">
        <v>118</v>
      </c>
    </row>
    <row r="1018" spans="1:10" x14ac:dyDescent="0.2">
      <c r="A1018" s="1" t="s">
        <v>1786</v>
      </c>
      <c r="B1018" t="s">
        <v>1787</v>
      </c>
      <c r="C1018" t="s">
        <v>1840</v>
      </c>
      <c r="D1018" s="6" t="str">
        <f t="shared" si="15"/>
        <v>PROT:AFH54629.1</v>
      </c>
      <c r="E1018" t="s">
        <v>1841</v>
      </c>
      <c r="F1018" t="s">
        <v>120</v>
      </c>
      <c r="G1018">
        <f>IF(ISERROR(MATCH(AllProtiens!F1018,Genomes!$C:$C,0)),0,1)</f>
        <v>1</v>
      </c>
      <c r="H1018">
        <f>IF(ISERROR(MATCH(AllProtiens!A1018,CoreProteinGroups!B:B,0)),0,1)</f>
        <v>1</v>
      </c>
      <c r="J1018" s="6" t="s">
        <v>121</v>
      </c>
    </row>
    <row r="1019" spans="1:10" x14ac:dyDescent="0.2">
      <c r="A1019" s="1" t="s">
        <v>1786</v>
      </c>
      <c r="B1019" t="s">
        <v>1787</v>
      </c>
      <c r="C1019" t="s">
        <v>1842</v>
      </c>
      <c r="D1019" s="6" t="str">
        <f t="shared" si="15"/>
        <v>PROT:AAL40532.1</v>
      </c>
      <c r="E1019" t="s">
        <v>1843</v>
      </c>
      <c r="F1019" t="s">
        <v>124</v>
      </c>
      <c r="G1019">
        <f>IF(ISERROR(MATCH(AllProtiens!F1019,Genomes!$C:$C,0)),0,1)</f>
        <v>1</v>
      </c>
      <c r="H1019">
        <f>IF(ISERROR(MATCH(AllProtiens!A1019,CoreProteinGroups!B:B,0)),0,1)</f>
        <v>1</v>
      </c>
      <c r="J1019" s="6" t="s">
        <v>125</v>
      </c>
    </row>
    <row r="1020" spans="1:10" x14ac:dyDescent="0.2">
      <c r="A1020" s="1" t="s">
        <v>1786</v>
      </c>
      <c r="B1020" t="s">
        <v>1787</v>
      </c>
      <c r="C1020" t="s">
        <v>1844</v>
      </c>
      <c r="D1020" s="6" t="str">
        <f t="shared" si="15"/>
        <v>PROT:AAX09169.1</v>
      </c>
      <c r="E1020" t="s">
        <v>1845</v>
      </c>
      <c r="F1020" t="s">
        <v>128</v>
      </c>
      <c r="G1020">
        <f>IF(ISERROR(MATCH(AllProtiens!F1020,Genomes!$C:$C,0)),0,1)</f>
        <v>1</v>
      </c>
      <c r="H1020">
        <f>IF(ISERROR(MATCH(AllProtiens!A1020,CoreProteinGroups!B:B,0)),0,1)</f>
        <v>1</v>
      </c>
      <c r="J1020" s="6" t="s">
        <v>129</v>
      </c>
    </row>
    <row r="1021" spans="1:10" x14ac:dyDescent="0.2">
      <c r="A1021" s="1" t="s">
        <v>1786</v>
      </c>
      <c r="B1021" t="s">
        <v>1787</v>
      </c>
      <c r="C1021" t="s">
        <v>1846</v>
      </c>
      <c r="D1021" s="6" t="str">
        <f t="shared" si="15"/>
        <v>PROT:AKJ93711.1</v>
      </c>
      <c r="E1021" t="s">
        <v>1789</v>
      </c>
      <c r="F1021" t="s">
        <v>131</v>
      </c>
      <c r="G1021">
        <f>IF(ISERROR(MATCH(AllProtiens!F1021,Genomes!$C:$C,0)),0,1)</f>
        <v>1</v>
      </c>
      <c r="H1021">
        <f>IF(ISERROR(MATCH(AllProtiens!A1021,CoreProteinGroups!B:B,0)),0,1)</f>
        <v>1</v>
      </c>
      <c r="J1021" s="6" t="s">
        <v>132</v>
      </c>
    </row>
    <row r="1022" spans="1:10" x14ac:dyDescent="0.2">
      <c r="A1022" s="1" t="s">
        <v>1786</v>
      </c>
      <c r="B1022" t="s">
        <v>1787</v>
      </c>
      <c r="C1022" t="s">
        <v>1847</v>
      </c>
      <c r="D1022" s="6" t="str">
        <f t="shared" si="15"/>
        <v>PROT:AOP31560.1</v>
      </c>
      <c r="E1022" t="s">
        <v>1796</v>
      </c>
      <c r="F1022" t="s">
        <v>134</v>
      </c>
      <c r="G1022">
        <f>IF(ISERROR(MATCH(AllProtiens!F1022,Genomes!$C:$C,0)),0,1)</f>
        <v>1</v>
      </c>
      <c r="H1022">
        <f>IF(ISERROR(MATCH(AllProtiens!A1022,CoreProteinGroups!B:B,0)),0,1)</f>
        <v>1</v>
      </c>
      <c r="J1022" s="6" t="s">
        <v>135</v>
      </c>
    </row>
    <row r="1023" spans="1:10" x14ac:dyDescent="0.2">
      <c r="A1023" s="1" t="s">
        <v>1786</v>
      </c>
      <c r="B1023" t="s">
        <v>1787</v>
      </c>
      <c r="C1023" t="s">
        <v>1848</v>
      </c>
      <c r="D1023" s="6" t="str">
        <f t="shared" si="15"/>
        <v>PROT:ABD97651.1</v>
      </c>
      <c r="E1023" t="s">
        <v>678</v>
      </c>
      <c r="F1023" t="s">
        <v>137</v>
      </c>
      <c r="G1023">
        <f>IF(ISERROR(MATCH(AllProtiens!F1023,Genomes!$C:$C,0)),0,1)</f>
        <v>1</v>
      </c>
      <c r="H1023">
        <f>IF(ISERROR(MATCH(AllProtiens!A1023,CoreProteinGroups!B:B,0)),0,1)</f>
        <v>1</v>
      </c>
      <c r="J1023" s="6" t="s">
        <v>138</v>
      </c>
    </row>
    <row r="1024" spans="1:10" x14ac:dyDescent="0.2">
      <c r="A1024" s="1" t="s">
        <v>1786</v>
      </c>
      <c r="B1024" t="s">
        <v>1787</v>
      </c>
      <c r="C1024" t="s">
        <v>1849</v>
      </c>
      <c r="D1024" s="6" t="str">
        <f t="shared" si="15"/>
        <v>PROT:AAO89361.1</v>
      </c>
      <c r="E1024" t="s">
        <v>678</v>
      </c>
      <c r="F1024" t="s">
        <v>140</v>
      </c>
      <c r="G1024">
        <f>IF(ISERROR(MATCH(AllProtiens!F1024,Genomes!$C:$C,0)),0,1)</f>
        <v>1</v>
      </c>
      <c r="H1024">
        <f>IF(ISERROR(MATCH(AllProtiens!A1024,CoreProteinGroups!B:B,0)),0,1)</f>
        <v>1</v>
      </c>
      <c r="J1024" s="6" t="s">
        <v>141</v>
      </c>
    </row>
    <row r="1025" spans="1:10" x14ac:dyDescent="0.2">
      <c r="A1025" s="1" t="s">
        <v>1786</v>
      </c>
      <c r="B1025" t="s">
        <v>1787</v>
      </c>
      <c r="C1025" t="s">
        <v>1850</v>
      </c>
      <c r="D1025" s="6" t="str">
        <f t="shared" si="15"/>
        <v>PROT:CAA49008.1</v>
      </c>
      <c r="E1025" t="s">
        <v>1851</v>
      </c>
      <c r="F1025" t="s">
        <v>144</v>
      </c>
      <c r="G1025">
        <f>IF(ISERROR(MATCH(AllProtiens!F1025,Genomes!$C:$C,0)),0,1)</f>
        <v>1</v>
      </c>
      <c r="H1025">
        <f>IF(ISERROR(MATCH(AllProtiens!A1025,CoreProteinGroups!B:B,0)),0,1)</f>
        <v>1</v>
      </c>
      <c r="J1025" s="6" t="s">
        <v>145</v>
      </c>
    </row>
    <row r="1026" spans="1:10" x14ac:dyDescent="0.2">
      <c r="A1026" s="1" t="s">
        <v>1786</v>
      </c>
      <c r="B1026" t="s">
        <v>1787</v>
      </c>
      <c r="C1026" t="s">
        <v>1852</v>
      </c>
      <c r="D1026" s="6" t="str">
        <f t="shared" ref="D1026:D1089" si="16">HYPERLINK(_xlfn.CONCAT("https://www.ncbi.nlm.nih.gov/protein/",C1026),_xlfn.CONCAT("PROT:",C1026))</f>
        <v>PROT:CAB54667.1</v>
      </c>
      <c r="E1026" t="s">
        <v>1853</v>
      </c>
      <c r="F1026" t="s">
        <v>148</v>
      </c>
      <c r="G1026">
        <f>IF(ISERROR(MATCH(AllProtiens!F1026,Genomes!$C:$C,0)),0,1)</f>
        <v>1</v>
      </c>
      <c r="H1026">
        <f>IF(ISERROR(MATCH(AllProtiens!A1026,CoreProteinGroups!B:B,0)),0,1)</f>
        <v>1</v>
      </c>
      <c r="J1026" s="6" t="s">
        <v>149</v>
      </c>
    </row>
    <row r="1027" spans="1:10" x14ac:dyDescent="0.2">
      <c r="A1027" s="1" t="s">
        <v>1786</v>
      </c>
      <c r="B1027" t="s">
        <v>1787</v>
      </c>
      <c r="C1027" t="s">
        <v>1854</v>
      </c>
      <c r="D1027" s="6" t="str">
        <f t="shared" si="16"/>
        <v>PROT:AOP31771.1</v>
      </c>
      <c r="E1027" t="s">
        <v>1796</v>
      </c>
      <c r="F1027" t="s">
        <v>151</v>
      </c>
      <c r="G1027">
        <f>IF(ISERROR(MATCH(AllProtiens!F1027,Genomes!$C:$C,0)),0,1)</f>
        <v>1</v>
      </c>
      <c r="H1027">
        <f>IF(ISERROR(MATCH(AllProtiens!A1027,CoreProteinGroups!B:B,0)),0,1)</f>
        <v>1</v>
      </c>
      <c r="J1027" s="6" t="s">
        <v>152</v>
      </c>
    </row>
    <row r="1028" spans="1:10" x14ac:dyDescent="0.2">
      <c r="A1028" s="1" t="s">
        <v>1786</v>
      </c>
      <c r="B1028" t="s">
        <v>1787</v>
      </c>
      <c r="C1028" t="s">
        <v>1855</v>
      </c>
      <c r="D1028" s="6" t="str">
        <f t="shared" si="16"/>
        <v>PROT:ASC55597.1</v>
      </c>
      <c r="E1028" t="s">
        <v>1856</v>
      </c>
      <c r="F1028" t="s">
        <v>155</v>
      </c>
      <c r="G1028">
        <f>IF(ISERROR(MATCH(AllProtiens!F1028,Genomes!$C:$C,0)),0,1)</f>
        <v>1</v>
      </c>
      <c r="H1028">
        <f>IF(ISERROR(MATCH(AllProtiens!A1028,CoreProteinGroups!B:B,0)),0,1)</f>
        <v>1</v>
      </c>
      <c r="J1028" s="6" t="s">
        <v>156</v>
      </c>
    </row>
    <row r="1029" spans="1:10" x14ac:dyDescent="0.2">
      <c r="A1029" s="1" t="s">
        <v>1786</v>
      </c>
      <c r="B1029" t="s">
        <v>1787</v>
      </c>
      <c r="C1029" t="s">
        <v>1857</v>
      </c>
      <c r="D1029" s="6" t="str">
        <f t="shared" si="16"/>
        <v>PROT:AAR98398.1</v>
      </c>
      <c r="E1029" t="s">
        <v>1858</v>
      </c>
      <c r="F1029" t="s">
        <v>159</v>
      </c>
      <c r="G1029">
        <f>IF(ISERROR(MATCH(AllProtiens!F1029,Genomes!$C:$C,0)),0,1)</f>
        <v>1</v>
      </c>
      <c r="H1029">
        <f>IF(ISERROR(MATCH(AllProtiens!A1029,CoreProteinGroups!B:B,0)),0,1)</f>
        <v>1</v>
      </c>
      <c r="J1029" s="6" t="s">
        <v>160</v>
      </c>
    </row>
    <row r="1030" spans="1:10" x14ac:dyDescent="0.2">
      <c r="A1030" s="1" t="s">
        <v>1786</v>
      </c>
      <c r="B1030" t="s">
        <v>1787</v>
      </c>
      <c r="C1030" t="s">
        <v>1859</v>
      </c>
      <c r="D1030" s="6" t="str">
        <f t="shared" si="16"/>
        <v>PROT:AAR98266.1</v>
      </c>
      <c r="E1030" t="s">
        <v>1858</v>
      </c>
      <c r="F1030" t="s">
        <v>162</v>
      </c>
      <c r="G1030">
        <f>IF(ISERROR(MATCH(AllProtiens!F1030,Genomes!$C:$C,0)),0,1)</f>
        <v>1</v>
      </c>
      <c r="H1030">
        <f>IF(ISERROR(MATCH(AllProtiens!A1030,CoreProteinGroups!B:B,0)),0,1)</f>
        <v>1</v>
      </c>
      <c r="J1030" s="6" t="s">
        <v>163</v>
      </c>
    </row>
    <row r="1031" spans="1:10" x14ac:dyDescent="0.2">
      <c r="A1031" s="1" t="s">
        <v>1786</v>
      </c>
      <c r="B1031" t="s">
        <v>1787</v>
      </c>
      <c r="C1031" t="s">
        <v>1860</v>
      </c>
      <c r="D1031" s="6" t="str">
        <f t="shared" si="16"/>
        <v>PROT:ABA00558.1</v>
      </c>
      <c r="E1031" t="s">
        <v>333</v>
      </c>
      <c r="F1031" t="s">
        <v>162</v>
      </c>
      <c r="G1031">
        <f>IF(ISERROR(MATCH(AllProtiens!F1031,Genomes!$C:$C,0)),0,1)</f>
        <v>1</v>
      </c>
      <c r="H1031">
        <f>IF(ISERROR(MATCH(AllProtiens!A1031,CoreProteinGroups!B:B,0)),0,1)</f>
        <v>1</v>
      </c>
      <c r="J1031" s="6" t="s">
        <v>163</v>
      </c>
    </row>
    <row r="1032" spans="1:10" x14ac:dyDescent="0.2">
      <c r="A1032" s="1" t="s">
        <v>1786</v>
      </c>
      <c r="B1032" t="s">
        <v>1787</v>
      </c>
      <c r="C1032" t="s">
        <v>1861</v>
      </c>
      <c r="D1032" s="6" t="str">
        <f t="shared" si="16"/>
        <v>PROT:AIZ77292.1</v>
      </c>
      <c r="E1032" t="s">
        <v>1862</v>
      </c>
      <c r="F1032" t="s">
        <v>167</v>
      </c>
      <c r="G1032">
        <f>IF(ISERROR(MATCH(AllProtiens!F1032,Genomes!$C:$C,0)),0,1)</f>
        <v>1</v>
      </c>
      <c r="H1032">
        <f>IF(ISERROR(MATCH(AllProtiens!A1032,CoreProteinGroups!B:B,0)),0,1)</f>
        <v>1</v>
      </c>
      <c r="J1032" s="6" t="s">
        <v>168</v>
      </c>
    </row>
    <row r="1033" spans="1:10" x14ac:dyDescent="0.2">
      <c r="A1033" s="1" t="s">
        <v>1786</v>
      </c>
      <c r="B1033" t="s">
        <v>1787</v>
      </c>
      <c r="C1033" t="s">
        <v>1863</v>
      </c>
      <c r="D1033" s="6" t="str">
        <f t="shared" si="16"/>
        <v>PROT:ADC53942.1</v>
      </c>
      <c r="E1033" t="s">
        <v>333</v>
      </c>
      <c r="F1033" t="s">
        <v>170</v>
      </c>
      <c r="G1033">
        <f>IF(ISERROR(MATCH(AllProtiens!F1033,Genomes!$C:$C,0)),0,1)</f>
        <v>1</v>
      </c>
      <c r="H1033">
        <f>IF(ISERROR(MATCH(AllProtiens!A1033,CoreProteinGroups!B:B,0)),0,1)</f>
        <v>1</v>
      </c>
      <c r="J1033" s="6" t="s">
        <v>171</v>
      </c>
    </row>
    <row r="1034" spans="1:10" x14ac:dyDescent="0.2">
      <c r="A1034" s="1" t="s">
        <v>1786</v>
      </c>
      <c r="B1034" t="s">
        <v>1787</v>
      </c>
      <c r="C1034" t="s">
        <v>1864</v>
      </c>
      <c r="D1034" s="6" t="str">
        <f t="shared" si="16"/>
        <v>PROT:AAL69790.1</v>
      </c>
      <c r="E1034" t="s">
        <v>1865</v>
      </c>
      <c r="F1034" t="s">
        <v>174</v>
      </c>
      <c r="G1034">
        <f>IF(ISERROR(MATCH(AllProtiens!F1034,Genomes!$C:$C,0)),0,1)</f>
        <v>1</v>
      </c>
      <c r="H1034">
        <f>IF(ISERROR(MATCH(AllProtiens!A1034,CoreProteinGroups!B:B,0)),0,1)</f>
        <v>1</v>
      </c>
      <c r="J1034" s="6" t="s">
        <v>175</v>
      </c>
    </row>
    <row r="1035" spans="1:10" x14ac:dyDescent="0.2">
      <c r="A1035" s="1" t="s">
        <v>1786</v>
      </c>
      <c r="B1035" t="s">
        <v>1787</v>
      </c>
      <c r="C1035" t="s">
        <v>1866</v>
      </c>
      <c r="D1035" s="6" t="str">
        <f t="shared" si="16"/>
        <v>PROT:CAC21292.1</v>
      </c>
      <c r="E1035" t="s">
        <v>1867</v>
      </c>
      <c r="F1035" t="s">
        <v>178</v>
      </c>
      <c r="G1035">
        <f>IF(ISERROR(MATCH(AllProtiens!F1035,Genomes!$C:$C,0)),0,1)</f>
        <v>1</v>
      </c>
      <c r="H1035">
        <f>IF(ISERROR(MATCH(AllProtiens!A1035,CoreProteinGroups!B:B,0)),0,1)</f>
        <v>1</v>
      </c>
      <c r="J1035" s="6" t="s">
        <v>179</v>
      </c>
    </row>
    <row r="1036" spans="1:10" x14ac:dyDescent="0.2">
      <c r="A1036" s="1" t="s">
        <v>1786</v>
      </c>
      <c r="B1036" t="s">
        <v>1787</v>
      </c>
      <c r="C1036" t="s">
        <v>1868</v>
      </c>
      <c r="D1036" s="6" t="str">
        <f t="shared" si="16"/>
        <v>PROT:AAR07410.1</v>
      </c>
      <c r="E1036" t="s">
        <v>1869</v>
      </c>
      <c r="F1036" t="s">
        <v>182</v>
      </c>
      <c r="G1036">
        <f>IF(ISERROR(MATCH(AllProtiens!F1036,Genomes!$C:$C,0)),0,1)</f>
        <v>1</v>
      </c>
      <c r="H1036">
        <f>IF(ISERROR(MATCH(AllProtiens!A1036,CoreProteinGroups!B:B,0)),0,1)</f>
        <v>1</v>
      </c>
      <c r="J1036" s="6" t="s">
        <v>183</v>
      </c>
    </row>
    <row r="1037" spans="1:10" x14ac:dyDescent="0.2">
      <c r="A1037" s="1" t="s">
        <v>1786</v>
      </c>
      <c r="B1037" t="s">
        <v>1787</v>
      </c>
      <c r="C1037" t="s">
        <v>1870</v>
      </c>
      <c r="D1037" s="6" t="str">
        <f t="shared" si="16"/>
        <v>PROT:AAC97659.1</v>
      </c>
      <c r="E1037" t="s">
        <v>1871</v>
      </c>
      <c r="F1037" t="s">
        <v>186</v>
      </c>
      <c r="G1037">
        <f>IF(ISERROR(MATCH(AllProtiens!F1037,Genomes!$C:$C,0)),0,1)</f>
        <v>1</v>
      </c>
      <c r="H1037">
        <f>IF(ISERROR(MATCH(AllProtiens!A1037,CoreProteinGroups!B:B,0)),0,1)</f>
        <v>1</v>
      </c>
      <c r="J1037" s="6" t="s">
        <v>187</v>
      </c>
    </row>
    <row r="1038" spans="1:10" x14ac:dyDescent="0.2">
      <c r="A1038" s="1" t="s">
        <v>1786</v>
      </c>
      <c r="B1038" t="s">
        <v>1787</v>
      </c>
      <c r="C1038" t="s">
        <v>1872</v>
      </c>
      <c r="D1038" s="6" t="str">
        <f t="shared" si="16"/>
        <v>PROT:BAO49469.1</v>
      </c>
      <c r="E1038" t="s">
        <v>1789</v>
      </c>
      <c r="F1038" t="s">
        <v>190</v>
      </c>
      <c r="G1038">
        <f>IF(ISERROR(MATCH(AllProtiens!F1038,Genomes!$C:$C,0)),0,1)</f>
        <v>1</v>
      </c>
      <c r="H1038">
        <f>IF(ISERROR(MATCH(AllProtiens!A1038,CoreProteinGroups!B:B,0)),0,1)</f>
        <v>1</v>
      </c>
      <c r="J1038" s="6" t="s">
        <v>191</v>
      </c>
    </row>
    <row r="1039" spans="1:10" x14ac:dyDescent="0.2">
      <c r="A1039" s="1" t="s">
        <v>1786</v>
      </c>
      <c r="B1039" t="s">
        <v>1787</v>
      </c>
      <c r="C1039" t="s">
        <v>1873</v>
      </c>
      <c r="D1039" s="6" t="str">
        <f t="shared" si="16"/>
        <v>PROT:CCU55478.1</v>
      </c>
      <c r="E1039" t="s">
        <v>1874</v>
      </c>
      <c r="F1039" t="s">
        <v>193</v>
      </c>
      <c r="G1039">
        <f>IF(ISERROR(MATCH(AllProtiens!F1039,Genomes!$C:$C,0)),0,1)</f>
        <v>1</v>
      </c>
      <c r="H1039">
        <f>IF(ISERROR(MATCH(AllProtiens!A1039,CoreProteinGroups!B:B,0)),0,1)</f>
        <v>1</v>
      </c>
      <c r="J1039" s="6" t="s">
        <v>194</v>
      </c>
    </row>
    <row r="1040" spans="1:10" x14ac:dyDescent="0.2">
      <c r="A1040" s="1" t="s">
        <v>1786</v>
      </c>
      <c r="B1040" t="s">
        <v>1787</v>
      </c>
      <c r="C1040" t="s">
        <v>1875</v>
      </c>
      <c r="D1040" s="6" t="str">
        <f t="shared" si="16"/>
        <v>PROT:AAG02885.1</v>
      </c>
      <c r="E1040" t="s">
        <v>1876</v>
      </c>
      <c r="F1040" t="s">
        <v>197</v>
      </c>
      <c r="G1040">
        <f>IF(ISERROR(MATCH(AllProtiens!F1040,Genomes!$C:$C,0)),0,1)</f>
        <v>1</v>
      </c>
      <c r="H1040">
        <f>IF(ISERROR(MATCH(AllProtiens!A1040,CoreProteinGroups!B:B,0)),0,1)</f>
        <v>1</v>
      </c>
      <c r="J1040" s="6" t="s">
        <v>198</v>
      </c>
    </row>
    <row r="1041" spans="1:10" x14ac:dyDescent="0.2">
      <c r="A1041" s="1" t="s">
        <v>1786</v>
      </c>
      <c r="B1041" t="s">
        <v>1787</v>
      </c>
      <c r="C1041" t="s">
        <v>1877</v>
      </c>
      <c r="D1041" s="6" t="str">
        <f t="shared" si="16"/>
        <v>PROT:CCU55786.1</v>
      </c>
      <c r="E1041" t="s">
        <v>1874</v>
      </c>
      <c r="F1041" t="s">
        <v>200</v>
      </c>
      <c r="G1041">
        <f>IF(ISERROR(MATCH(AllProtiens!F1041,Genomes!$C:$C,0)),0,1)</f>
        <v>1</v>
      </c>
      <c r="H1041">
        <f>IF(ISERROR(MATCH(AllProtiens!A1041,CoreProteinGroups!B:B,0)),0,1)</f>
        <v>1</v>
      </c>
      <c r="J1041" s="6" t="s">
        <v>201</v>
      </c>
    </row>
    <row r="1042" spans="1:10" x14ac:dyDescent="0.2">
      <c r="A1042" s="1" t="s">
        <v>1786</v>
      </c>
      <c r="B1042" t="s">
        <v>1787</v>
      </c>
      <c r="C1042" t="s">
        <v>1878</v>
      </c>
      <c r="D1042" s="6" t="str">
        <f t="shared" si="16"/>
        <v>PROT:CCU56088.1</v>
      </c>
      <c r="E1042" t="s">
        <v>1874</v>
      </c>
      <c r="F1042" t="s">
        <v>203</v>
      </c>
      <c r="G1042">
        <f>IF(ISERROR(MATCH(AllProtiens!F1042,Genomes!$C:$C,0)),0,1)</f>
        <v>1</v>
      </c>
      <c r="H1042">
        <f>IF(ISERROR(MATCH(AllProtiens!A1042,CoreProteinGroups!B:B,0)),0,1)</f>
        <v>1</v>
      </c>
      <c r="J1042" s="6" t="s">
        <v>204</v>
      </c>
    </row>
    <row r="1043" spans="1:10" x14ac:dyDescent="0.2">
      <c r="A1043" s="1" t="s">
        <v>1786</v>
      </c>
      <c r="B1043" t="s">
        <v>1787</v>
      </c>
      <c r="C1043" t="s">
        <v>1879</v>
      </c>
      <c r="D1043" s="6" t="str">
        <f t="shared" si="16"/>
        <v>PROT:CCU56413.1</v>
      </c>
      <c r="E1043" t="s">
        <v>1874</v>
      </c>
      <c r="F1043" t="s">
        <v>206</v>
      </c>
      <c r="G1043">
        <f>IF(ISERROR(MATCH(AllProtiens!F1043,Genomes!$C:$C,0)),0,1)</f>
        <v>1</v>
      </c>
      <c r="H1043">
        <f>IF(ISERROR(MATCH(AllProtiens!A1043,CoreProteinGroups!B:B,0)),0,1)</f>
        <v>1</v>
      </c>
      <c r="J1043" s="6" t="s">
        <v>207</v>
      </c>
    </row>
    <row r="1044" spans="1:10" x14ac:dyDescent="0.2">
      <c r="A1044" s="1" t="s">
        <v>1786</v>
      </c>
      <c r="B1044" t="s">
        <v>1787</v>
      </c>
      <c r="C1044" t="s">
        <v>1880</v>
      </c>
      <c r="D1044" s="6" t="str">
        <f t="shared" si="16"/>
        <v>PROT:NP_659626.1</v>
      </c>
      <c r="E1044" t="s">
        <v>1881</v>
      </c>
      <c r="F1044" t="s">
        <v>210</v>
      </c>
      <c r="G1044">
        <f>IF(ISERROR(MATCH(AllProtiens!F1044,Genomes!$C:$C,0)),0,1)</f>
        <v>1</v>
      </c>
      <c r="H1044">
        <f>IF(ISERROR(MATCH(AllProtiens!A1044,CoreProteinGroups!B:B,0)),0,1)</f>
        <v>1</v>
      </c>
      <c r="J1044" s="6" t="s">
        <v>211</v>
      </c>
    </row>
    <row r="1045" spans="1:10" x14ac:dyDescent="0.2">
      <c r="A1045" s="1" t="s">
        <v>1786</v>
      </c>
      <c r="B1045" t="s">
        <v>1787</v>
      </c>
      <c r="C1045" t="s">
        <v>1882</v>
      </c>
      <c r="D1045" s="6" t="str">
        <f t="shared" si="16"/>
        <v>PROT:YP_001293245.1</v>
      </c>
      <c r="E1045" t="s">
        <v>1883</v>
      </c>
      <c r="F1045" t="s">
        <v>214</v>
      </c>
      <c r="G1045">
        <f>IF(ISERROR(MATCH(AllProtiens!F1045,Genomes!$C:$C,0)),0,1)</f>
        <v>1</v>
      </c>
      <c r="H1045">
        <f>IF(ISERROR(MATCH(AllProtiens!A1045,CoreProteinGroups!B:B,0)),0,1)</f>
        <v>1</v>
      </c>
      <c r="J1045" s="6" t="s">
        <v>215</v>
      </c>
    </row>
    <row r="1046" spans="1:10" x14ac:dyDescent="0.2">
      <c r="A1046" s="1" t="s">
        <v>1884</v>
      </c>
      <c r="B1046" t="s">
        <v>1885</v>
      </c>
      <c r="C1046" t="s">
        <v>1886</v>
      </c>
      <c r="D1046" s="6" t="str">
        <f t="shared" si="16"/>
        <v>PROT:ATI21181.1</v>
      </c>
      <c r="E1046" t="s">
        <v>646</v>
      </c>
      <c r="F1046" t="s">
        <v>14</v>
      </c>
      <c r="G1046">
        <f>IF(ISERROR(MATCH(AllProtiens!F1046,Genomes!$C:$C,0)),0,1)</f>
        <v>1</v>
      </c>
      <c r="H1046">
        <f>IF(ISERROR(MATCH(AllProtiens!A1046,CoreProteinGroups!B:B,0)),0,1)</f>
        <v>1</v>
      </c>
      <c r="J1046" s="6" t="s">
        <v>15</v>
      </c>
    </row>
    <row r="1047" spans="1:10" x14ac:dyDescent="0.2">
      <c r="A1047" s="1" t="s">
        <v>1884</v>
      </c>
      <c r="B1047" t="s">
        <v>1885</v>
      </c>
      <c r="C1047" t="s">
        <v>1887</v>
      </c>
      <c r="D1047" s="6" t="str">
        <f t="shared" si="16"/>
        <v>PROT:AWU47116.1</v>
      </c>
      <c r="E1047" t="s">
        <v>1888</v>
      </c>
      <c r="F1047" t="s">
        <v>17</v>
      </c>
      <c r="G1047">
        <f>IF(ISERROR(MATCH(AllProtiens!F1047,Genomes!$C:$C,0)),0,1)</f>
        <v>1</v>
      </c>
      <c r="H1047">
        <f>IF(ISERROR(MATCH(AllProtiens!A1047,CoreProteinGroups!B:B,0)),0,1)</f>
        <v>1</v>
      </c>
      <c r="J1047" s="6" t="s">
        <v>18</v>
      </c>
    </row>
    <row r="1048" spans="1:10" x14ac:dyDescent="0.2">
      <c r="A1048" s="1" t="s">
        <v>1884</v>
      </c>
      <c r="B1048" t="s">
        <v>1885</v>
      </c>
      <c r="C1048" t="s">
        <v>1889</v>
      </c>
      <c r="D1048" s="6" t="str">
        <f t="shared" si="16"/>
        <v>PROT:APG58290.1</v>
      </c>
      <c r="E1048" t="s">
        <v>1890</v>
      </c>
      <c r="F1048" t="s">
        <v>21</v>
      </c>
      <c r="G1048">
        <f>IF(ISERROR(MATCH(AllProtiens!F1048,Genomes!$C:$C,0)),0,1)</f>
        <v>1</v>
      </c>
      <c r="H1048">
        <f>IF(ISERROR(MATCH(AllProtiens!A1048,CoreProteinGroups!B:B,0)),0,1)</f>
        <v>1</v>
      </c>
      <c r="J1048" s="6" t="s">
        <v>22</v>
      </c>
    </row>
    <row r="1049" spans="1:10" x14ac:dyDescent="0.2">
      <c r="A1049" s="1" t="s">
        <v>1884</v>
      </c>
      <c r="B1049" t="s">
        <v>1885</v>
      </c>
      <c r="C1049" t="s">
        <v>1891</v>
      </c>
      <c r="D1049" s="6" t="str">
        <f t="shared" si="16"/>
        <v>PROT:ADT91103.1</v>
      </c>
      <c r="E1049" t="s">
        <v>618</v>
      </c>
      <c r="F1049" t="s">
        <v>25</v>
      </c>
      <c r="G1049">
        <f>IF(ISERROR(MATCH(AllProtiens!F1049,Genomes!$C:$C,0)),0,1)</f>
        <v>1</v>
      </c>
      <c r="H1049">
        <f>IF(ISERROR(MATCH(AllProtiens!A1049,CoreProteinGroups!B:B,0)),0,1)</f>
        <v>1</v>
      </c>
      <c r="J1049" s="6" t="s">
        <v>26</v>
      </c>
    </row>
    <row r="1050" spans="1:10" x14ac:dyDescent="0.2">
      <c r="A1050" s="1" t="s">
        <v>1884</v>
      </c>
      <c r="B1050" t="s">
        <v>1885</v>
      </c>
      <c r="C1050" t="s">
        <v>1892</v>
      </c>
      <c r="D1050" s="6" t="str">
        <f t="shared" si="16"/>
        <v>PROT:ANS71160.1</v>
      </c>
      <c r="E1050" t="s">
        <v>1893</v>
      </c>
      <c r="F1050" t="s">
        <v>28</v>
      </c>
      <c r="G1050">
        <f>IF(ISERROR(MATCH(AllProtiens!F1050,Genomes!$C:$C,0)),0,1)</f>
        <v>1</v>
      </c>
      <c r="H1050">
        <f>IF(ISERROR(MATCH(AllProtiens!A1050,CoreProteinGroups!B:B,0)),0,1)</f>
        <v>1</v>
      </c>
      <c r="J1050" s="6" t="s">
        <v>29</v>
      </c>
    </row>
    <row r="1051" spans="1:10" x14ac:dyDescent="0.2">
      <c r="A1051" s="1" t="s">
        <v>1884</v>
      </c>
      <c r="B1051" t="s">
        <v>1885</v>
      </c>
      <c r="C1051" t="s">
        <v>1894</v>
      </c>
      <c r="D1051" s="6" t="str">
        <f t="shared" si="16"/>
        <v>PROT:AKR04292.1</v>
      </c>
      <c r="E1051" t="s">
        <v>1895</v>
      </c>
      <c r="F1051" t="s">
        <v>32</v>
      </c>
      <c r="G1051">
        <f>IF(ISERROR(MATCH(AllProtiens!F1051,Genomes!$C:$C,0)),0,1)</f>
        <v>1</v>
      </c>
      <c r="H1051">
        <f>IF(ISERROR(MATCH(AllProtiens!A1051,CoreProteinGroups!B:B,0)),0,1)</f>
        <v>1</v>
      </c>
      <c r="J1051" s="6" t="s">
        <v>33</v>
      </c>
    </row>
    <row r="1052" spans="1:10" x14ac:dyDescent="0.2">
      <c r="A1052" s="1" t="s">
        <v>1884</v>
      </c>
      <c r="B1052" t="s">
        <v>1885</v>
      </c>
      <c r="C1052" t="s">
        <v>1896</v>
      </c>
      <c r="D1052" s="6" t="str">
        <f t="shared" si="16"/>
        <v>PROT:CCD83249.1</v>
      </c>
      <c r="E1052" t="s">
        <v>1897</v>
      </c>
      <c r="F1052" t="s">
        <v>36</v>
      </c>
      <c r="G1052">
        <f>IF(ISERROR(MATCH(AllProtiens!F1052,Genomes!$C:$C,0)),0,1)</f>
        <v>1</v>
      </c>
      <c r="H1052">
        <f>IF(ISERROR(MATCH(AllProtiens!A1052,CoreProteinGroups!B:B,0)),0,1)</f>
        <v>1</v>
      </c>
      <c r="J1052" s="6" t="s">
        <v>37</v>
      </c>
    </row>
    <row r="1053" spans="1:10" x14ac:dyDescent="0.2">
      <c r="A1053" s="1" t="s">
        <v>1884</v>
      </c>
      <c r="B1053" t="s">
        <v>1885</v>
      </c>
      <c r="C1053" t="s">
        <v>1898</v>
      </c>
      <c r="D1053" s="6" t="str">
        <f t="shared" si="16"/>
        <v>PROT:ASK51278.1</v>
      </c>
      <c r="E1053" t="s">
        <v>1899</v>
      </c>
      <c r="F1053" t="s">
        <v>40</v>
      </c>
      <c r="G1053">
        <f>IF(ISERROR(MATCH(AllProtiens!F1053,Genomes!$C:$C,0)),0,1)</f>
        <v>1</v>
      </c>
      <c r="H1053">
        <f>IF(ISERROR(MATCH(AllProtiens!A1053,CoreProteinGroups!B:B,0)),0,1)</f>
        <v>1</v>
      </c>
      <c r="J1053" s="6" t="s">
        <v>41</v>
      </c>
    </row>
    <row r="1054" spans="1:10" x14ac:dyDescent="0.2">
      <c r="A1054" s="1" t="s">
        <v>1884</v>
      </c>
      <c r="B1054" t="s">
        <v>1885</v>
      </c>
      <c r="C1054" t="s">
        <v>1900</v>
      </c>
      <c r="D1054" s="6" t="str">
        <f t="shared" si="16"/>
        <v>PROT:AUD40243.1</v>
      </c>
      <c r="E1054" t="s">
        <v>1901</v>
      </c>
      <c r="F1054" t="s">
        <v>43</v>
      </c>
      <c r="G1054">
        <f>IF(ISERROR(MATCH(AllProtiens!F1054,Genomes!$C:$C,0)),0,1)</f>
        <v>1</v>
      </c>
      <c r="H1054">
        <f>IF(ISERROR(MATCH(AllProtiens!A1054,CoreProteinGroups!B:B,0)),0,1)</f>
        <v>1</v>
      </c>
      <c r="J1054" s="6" t="s">
        <v>44</v>
      </c>
    </row>
    <row r="1055" spans="1:10" x14ac:dyDescent="0.2">
      <c r="A1055" s="1" t="s">
        <v>1884</v>
      </c>
      <c r="B1055" t="s">
        <v>1885</v>
      </c>
      <c r="C1055" t="s">
        <v>1902</v>
      </c>
      <c r="D1055" s="6" t="str">
        <f t="shared" si="16"/>
        <v>PROT:AID46875.1</v>
      </c>
      <c r="E1055" t="s">
        <v>1903</v>
      </c>
      <c r="F1055" t="s">
        <v>46</v>
      </c>
      <c r="G1055">
        <f>IF(ISERROR(MATCH(AllProtiens!F1055,Genomes!$C:$C,0)),0,1)</f>
        <v>1</v>
      </c>
      <c r="H1055">
        <f>IF(ISERROR(MATCH(AllProtiens!A1055,CoreProteinGroups!B:B,0)),0,1)</f>
        <v>1</v>
      </c>
      <c r="J1055" s="6" t="s">
        <v>47</v>
      </c>
    </row>
    <row r="1056" spans="1:10" x14ac:dyDescent="0.2">
      <c r="A1056" s="1" t="s">
        <v>1884</v>
      </c>
      <c r="B1056" t="s">
        <v>1885</v>
      </c>
      <c r="C1056" t="s">
        <v>1904</v>
      </c>
      <c r="D1056" s="6" t="str">
        <f t="shared" si="16"/>
        <v>PROT:AID46646.1</v>
      </c>
      <c r="E1056" t="s">
        <v>1905</v>
      </c>
      <c r="F1056" t="s">
        <v>49</v>
      </c>
      <c r="G1056">
        <f>IF(ISERROR(MATCH(AllProtiens!F1056,Genomes!$C:$C,0)),0,1)</f>
        <v>1</v>
      </c>
      <c r="H1056">
        <f>IF(ISERROR(MATCH(AllProtiens!A1056,CoreProteinGroups!B:B,0)),0,1)</f>
        <v>1</v>
      </c>
      <c r="J1056" s="6" t="s">
        <v>50</v>
      </c>
    </row>
    <row r="1057" spans="1:10" x14ac:dyDescent="0.2">
      <c r="A1057" s="1" t="s">
        <v>1884</v>
      </c>
      <c r="B1057" t="s">
        <v>1885</v>
      </c>
      <c r="C1057" t="s">
        <v>1906</v>
      </c>
      <c r="D1057" s="6" t="str">
        <f t="shared" si="16"/>
        <v>PROT:ALA62476.1</v>
      </c>
      <c r="E1057" t="s">
        <v>333</v>
      </c>
      <c r="F1057" t="s">
        <v>53</v>
      </c>
      <c r="G1057">
        <f>IF(ISERROR(MATCH(AllProtiens!F1057,Genomes!$C:$C,0)),0,1)</f>
        <v>1</v>
      </c>
      <c r="H1057">
        <f>IF(ISERROR(MATCH(AllProtiens!A1057,CoreProteinGroups!B:B,0)),0,1)</f>
        <v>1</v>
      </c>
      <c r="J1057" s="6" t="s">
        <v>54</v>
      </c>
    </row>
    <row r="1058" spans="1:10" x14ac:dyDescent="0.2">
      <c r="A1058" s="1" t="s">
        <v>1884</v>
      </c>
      <c r="B1058" t="s">
        <v>1885</v>
      </c>
      <c r="C1058" t="s">
        <v>1907</v>
      </c>
      <c r="D1058" s="6" t="str">
        <f t="shared" si="16"/>
        <v>PROT:AAR83530.1</v>
      </c>
      <c r="E1058" t="s">
        <v>1908</v>
      </c>
      <c r="F1058" t="s">
        <v>57</v>
      </c>
      <c r="G1058">
        <f>IF(ISERROR(MATCH(AllProtiens!F1058,Genomes!$C:$C,0)),0,1)</f>
        <v>1</v>
      </c>
      <c r="H1058">
        <f>IF(ISERROR(MATCH(AllProtiens!A1058,CoreProteinGroups!B:B,0)),0,1)</f>
        <v>1</v>
      </c>
      <c r="J1058" s="6" t="s">
        <v>58</v>
      </c>
    </row>
    <row r="1059" spans="1:10" x14ac:dyDescent="0.2">
      <c r="A1059" s="1" t="s">
        <v>1884</v>
      </c>
      <c r="B1059" t="s">
        <v>1885</v>
      </c>
      <c r="C1059" t="s">
        <v>1909</v>
      </c>
      <c r="D1059" s="6" t="str">
        <f t="shared" si="16"/>
        <v>PROT:AAF44483.1</v>
      </c>
      <c r="E1059" t="s">
        <v>1910</v>
      </c>
      <c r="F1059" t="s">
        <v>61</v>
      </c>
      <c r="G1059">
        <f>IF(ISERROR(MATCH(AllProtiens!F1059,Genomes!$C:$C,0)),0,1)</f>
        <v>1</v>
      </c>
      <c r="H1059">
        <f>IF(ISERROR(MATCH(AllProtiens!A1059,CoreProteinGroups!B:B,0)),0,1)</f>
        <v>1</v>
      </c>
      <c r="J1059" s="6" t="s">
        <v>62</v>
      </c>
    </row>
    <row r="1060" spans="1:10" x14ac:dyDescent="0.2">
      <c r="A1060" s="1" t="s">
        <v>1884</v>
      </c>
      <c r="B1060" t="s">
        <v>1885</v>
      </c>
      <c r="C1060" t="s">
        <v>1911</v>
      </c>
      <c r="D1060" s="6" t="str">
        <f t="shared" si="16"/>
        <v>PROT:YP_001293264.1</v>
      </c>
      <c r="E1060" t="s">
        <v>1912</v>
      </c>
      <c r="F1060" t="s">
        <v>214</v>
      </c>
      <c r="G1060">
        <f>IF(ISERROR(MATCH(AllProtiens!F1060,Genomes!$C:$C,0)),0,1)</f>
        <v>1</v>
      </c>
      <c r="H1060">
        <f>IF(ISERROR(MATCH(AllProtiens!A1060,CoreProteinGroups!B:B,0)),0,1)</f>
        <v>1</v>
      </c>
      <c r="J1060" s="6" t="s">
        <v>215</v>
      </c>
    </row>
    <row r="1061" spans="1:10" x14ac:dyDescent="0.2">
      <c r="A1061" s="1" t="s">
        <v>1884</v>
      </c>
      <c r="B1061" t="s">
        <v>1885</v>
      </c>
      <c r="C1061" t="s">
        <v>1913</v>
      </c>
      <c r="D1061" s="6" t="str">
        <f t="shared" si="16"/>
        <v>PROT:AAK85034.1</v>
      </c>
      <c r="E1061" t="s">
        <v>1914</v>
      </c>
      <c r="F1061" t="s">
        <v>65</v>
      </c>
      <c r="G1061">
        <f>IF(ISERROR(MATCH(AllProtiens!F1061,Genomes!$C:$C,0)),0,1)</f>
        <v>1</v>
      </c>
      <c r="H1061">
        <f>IF(ISERROR(MATCH(AllProtiens!A1061,CoreProteinGroups!B:B,0)),0,1)</f>
        <v>1</v>
      </c>
      <c r="J1061" s="6" t="s">
        <v>66</v>
      </c>
    </row>
    <row r="1062" spans="1:10" x14ac:dyDescent="0.2">
      <c r="A1062" s="1" t="s">
        <v>1884</v>
      </c>
      <c r="B1062" t="s">
        <v>1885</v>
      </c>
      <c r="C1062" t="s">
        <v>1915</v>
      </c>
      <c r="D1062" s="6" t="str">
        <f t="shared" si="16"/>
        <v>PROT:NP_659645.1</v>
      </c>
      <c r="E1062" t="s">
        <v>1916</v>
      </c>
      <c r="F1062" t="s">
        <v>210</v>
      </c>
      <c r="G1062">
        <f>IF(ISERROR(MATCH(AllProtiens!F1062,Genomes!$C:$C,0)),0,1)</f>
        <v>1</v>
      </c>
      <c r="H1062">
        <f>IF(ISERROR(MATCH(AllProtiens!A1062,CoreProteinGroups!B:B,0)),0,1)</f>
        <v>1</v>
      </c>
      <c r="J1062" s="6" t="s">
        <v>211</v>
      </c>
    </row>
    <row r="1063" spans="1:10" x14ac:dyDescent="0.2">
      <c r="A1063" s="1" t="s">
        <v>1884</v>
      </c>
      <c r="B1063" t="s">
        <v>1885</v>
      </c>
      <c r="C1063" t="s">
        <v>1917</v>
      </c>
      <c r="D1063" s="6" t="str">
        <f t="shared" si="16"/>
        <v>PROT:AST09291.1</v>
      </c>
      <c r="E1063" t="s">
        <v>1918</v>
      </c>
      <c r="F1063" t="s">
        <v>68</v>
      </c>
      <c r="G1063">
        <f>IF(ISERROR(MATCH(AllProtiens!F1063,Genomes!$C:$C,0)),0,1)</f>
        <v>1</v>
      </c>
      <c r="H1063">
        <f>IF(ISERROR(MATCH(AllProtiens!A1063,CoreProteinGroups!B:B,0)),0,1)</f>
        <v>1</v>
      </c>
      <c r="J1063" s="6" t="s">
        <v>69</v>
      </c>
    </row>
    <row r="1064" spans="1:10" x14ac:dyDescent="0.2">
      <c r="A1064" s="1" t="s">
        <v>1884</v>
      </c>
      <c r="B1064" t="s">
        <v>1885</v>
      </c>
      <c r="C1064" t="s">
        <v>1919</v>
      </c>
      <c r="D1064" s="6" t="str">
        <f t="shared" si="16"/>
        <v>PROT:AEN03669.1</v>
      </c>
      <c r="E1064" t="s">
        <v>1918</v>
      </c>
      <c r="F1064" t="s">
        <v>71</v>
      </c>
      <c r="G1064">
        <f>IF(ISERROR(MATCH(AllProtiens!F1064,Genomes!$C:$C,0)),0,1)</f>
        <v>1</v>
      </c>
      <c r="H1064">
        <f>IF(ISERROR(MATCH(AllProtiens!A1064,CoreProteinGroups!B:B,0)),0,1)</f>
        <v>1</v>
      </c>
      <c r="J1064" s="6" t="s">
        <v>72</v>
      </c>
    </row>
    <row r="1065" spans="1:10" x14ac:dyDescent="0.2">
      <c r="A1065" s="1" t="s">
        <v>1884</v>
      </c>
      <c r="B1065" t="s">
        <v>1885</v>
      </c>
      <c r="C1065" t="s">
        <v>1920</v>
      </c>
      <c r="D1065" s="6" t="str">
        <f t="shared" si="16"/>
        <v>PROT:ABI99237.1</v>
      </c>
      <c r="E1065" t="s">
        <v>1921</v>
      </c>
      <c r="F1065" t="s">
        <v>74</v>
      </c>
      <c r="G1065">
        <f>IF(ISERROR(MATCH(AllProtiens!F1065,Genomes!$C:$C,0)),0,1)</f>
        <v>1</v>
      </c>
      <c r="H1065">
        <f>IF(ISERROR(MATCH(AllProtiens!A1065,CoreProteinGroups!B:B,0)),0,1)</f>
        <v>1</v>
      </c>
      <c r="J1065" s="6" t="s">
        <v>75</v>
      </c>
    </row>
    <row r="1066" spans="1:10" x14ac:dyDescent="0.2">
      <c r="A1066" s="1" t="s">
        <v>1884</v>
      </c>
      <c r="B1066" t="s">
        <v>1885</v>
      </c>
      <c r="C1066" t="s">
        <v>1922</v>
      </c>
      <c r="D1066" s="6" t="str">
        <f t="shared" si="16"/>
        <v>PROT:ABJ08992.1</v>
      </c>
      <c r="E1066" t="s">
        <v>646</v>
      </c>
      <c r="F1066" t="s">
        <v>77</v>
      </c>
      <c r="G1066">
        <f>IF(ISERROR(MATCH(AllProtiens!F1066,Genomes!$C:$C,0)),0,1)</f>
        <v>1</v>
      </c>
      <c r="H1066">
        <f>IF(ISERROR(MATCH(AllProtiens!A1066,CoreProteinGroups!B:B,0)),0,1)</f>
        <v>1</v>
      </c>
      <c r="J1066" s="6" t="s">
        <v>78</v>
      </c>
    </row>
    <row r="1067" spans="1:10" x14ac:dyDescent="0.2">
      <c r="A1067" s="1" t="s">
        <v>1884</v>
      </c>
      <c r="B1067" t="s">
        <v>1885</v>
      </c>
      <c r="C1067" t="s">
        <v>1923</v>
      </c>
      <c r="D1067" s="6" t="str">
        <f t="shared" si="16"/>
        <v>PROT:AAF14958.1</v>
      </c>
      <c r="E1067" t="s">
        <v>1924</v>
      </c>
      <c r="F1067" t="s">
        <v>81</v>
      </c>
      <c r="G1067">
        <f>IF(ISERROR(MATCH(AllProtiens!F1067,Genomes!$C:$C,0)),0,1)</f>
        <v>0</v>
      </c>
      <c r="H1067">
        <f>IF(ISERROR(MATCH(AllProtiens!A1067,CoreProteinGroups!B:B,0)),0,1)</f>
        <v>1</v>
      </c>
      <c r="J1067" s="6" t="s">
        <v>82</v>
      </c>
    </row>
    <row r="1068" spans="1:10" x14ac:dyDescent="0.2">
      <c r="A1068" s="1" t="s">
        <v>1884</v>
      </c>
      <c r="B1068" t="s">
        <v>1885</v>
      </c>
      <c r="C1068" t="s">
        <v>1925</v>
      </c>
      <c r="D1068" s="6" t="str">
        <f t="shared" si="16"/>
        <v>PROT:AFU77334.1</v>
      </c>
      <c r="E1068" t="s">
        <v>1924</v>
      </c>
      <c r="F1068" t="s">
        <v>81</v>
      </c>
      <c r="G1068">
        <f>IF(ISERROR(MATCH(AllProtiens!F1068,Genomes!$C:$C,0)),0,1)</f>
        <v>0</v>
      </c>
      <c r="H1068">
        <f>IF(ISERROR(MATCH(AllProtiens!A1068,CoreProteinGroups!B:B,0)),0,1)</f>
        <v>1</v>
      </c>
      <c r="J1068" s="6" t="s">
        <v>82</v>
      </c>
    </row>
    <row r="1069" spans="1:10" x14ac:dyDescent="0.2">
      <c r="A1069" s="1" t="s">
        <v>1884</v>
      </c>
      <c r="B1069" t="s">
        <v>1885</v>
      </c>
      <c r="C1069" t="s">
        <v>1926</v>
      </c>
      <c r="D1069" s="6" t="str">
        <f t="shared" si="16"/>
        <v>PROT:AAF17952.1</v>
      </c>
      <c r="E1069" t="s">
        <v>1927</v>
      </c>
      <c r="F1069" t="s">
        <v>86</v>
      </c>
      <c r="G1069">
        <f>IF(ISERROR(MATCH(AllProtiens!F1069,Genomes!$C:$C,0)),0,1)</f>
        <v>1</v>
      </c>
      <c r="H1069">
        <f>IF(ISERROR(MATCH(AllProtiens!A1069,CoreProteinGroups!B:B,0)),0,1)</f>
        <v>1</v>
      </c>
      <c r="J1069" s="6" t="s">
        <v>87</v>
      </c>
    </row>
    <row r="1070" spans="1:10" x14ac:dyDescent="0.2">
      <c r="A1070" s="1" t="s">
        <v>1884</v>
      </c>
      <c r="B1070" t="s">
        <v>1885</v>
      </c>
      <c r="C1070" t="s">
        <v>1928</v>
      </c>
      <c r="D1070" s="6" t="str">
        <f t="shared" si="16"/>
        <v>PROT:AAC55211.1</v>
      </c>
      <c r="E1070" t="s">
        <v>1929</v>
      </c>
      <c r="F1070" t="s">
        <v>90</v>
      </c>
      <c r="G1070">
        <f>IF(ISERROR(MATCH(AllProtiens!F1070,Genomes!$C:$C,0)),0,1)</f>
        <v>1</v>
      </c>
      <c r="H1070">
        <f>IF(ISERROR(MATCH(AllProtiens!A1070,CoreProteinGroups!B:B,0)),0,1)</f>
        <v>1</v>
      </c>
      <c r="J1070" s="6" t="s">
        <v>91</v>
      </c>
    </row>
    <row r="1071" spans="1:10" x14ac:dyDescent="0.2">
      <c r="A1071" s="1" t="s">
        <v>1884</v>
      </c>
      <c r="B1071" t="s">
        <v>1885</v>
      </c>
      <c r="C1071" t="s">
        <v>1930</v>
      </c>
      <c r="D1071" s="6" t="str">
        <f t="shared" si="16"/>
        <v>PROT:AYN64666.1</v>
      </c>
      <c r="E1071" t="s">
        <v>1931</v>
      </c>
      <c r="F1071" t="s">
        <v>94</v>
      </c>
      <c r="G1071">
        <f>IF(ISERROR(MATCH(AllProtiens!F1071,Genomes!$C:$C,0)),0,1)</f>
        <v>1</v>
      </c>
      <c r="H1071">
        <f>IF(ISERROR(MATCH(AllProtiens!A1071,CoreProteinGroups!B:B,0)),0,1)</f>
        <v>1</v>
      </c>
      <c r="J1071" s="6" t="s">
        <v>95</v>
      </c>
    </row>
    <row r="1072" spans="1:10" x14ac:dyDescent="0.2">
      <c r="A1072" s="1" t="s">
        <v>1884</v>
      </c>
      <c r="B1072" t="s">
        <v>1885</v>
      </c>
      <c r="C1072" t="s">
        <v>1932</v>
      </c>
      <c r="D1072" s="6" t="str">
        <f t="shared" si="16"/>
        <v>PROT:AXN74893.1</v>
      </c>
      <c r="E1072" t="s">
        <v>1933</v>
      </c>
      <c r="F1072" t="s">
        <v>97</v>
      </c>
      <c r="G1072">
        <f>IF(ISERROR(MATCH(AllProtiens!F1072,Genomes!$C:$C,0)),0,1)</f>
        <v>1</v>
      </c>
      <c r="H1072">
        <f>IF(ISERROR(MATCH(AllProtiens!A1072,CoreProteinGroups!B:B,0)),0,1)</f>
        <v>1</v>
      </c>
      <c r="J1072" s="6" t="s">
        <v>98</v>
      </c>
    </row>
    <row r="1073" spans="1:10" x14ac:dyDescent="0.2">
      <c r="A1073" s="1" t="s">
        <v>1884</v>
      </c>
      <c r="B1073" t="s">
        <v>1885</v>
      </c>
      <c r="C1073" t="s">
        <v>1934</v>
      </c>
      <c r="D1073" s="6" t="str">
        <f t="shared" si="16"/>
        <v>PROT:ABH08207.1</v>
      </c>
      <c r="E1073" t="s">
        <v>1935</v>
      </c>
      <c r="F1073" t="s">
        <v>101</v>
      </c>
      <c r="G1073">
        <f>IF(ISERROR(MATCH(AllProtiens!F1073,Genomes!$C:$C,0)),0,1)</f>
        <v>1</v>
      </c>
      <c r="H1073">
        <f>IF(ISERROR(MATCH(AllProtiens!A1073,CoreProteinGroups!B:B,0)),0,1)</f>
        <v>1</v>
      </c>
      <c r="J1073" s="6" t="s">
        <v>102</v>
      </c>
    </row>
    <row r="1074" spans="1:10" x14ac:dyDescent="0.2">
      <c r="A1074" s="1" t="s">
        <v>1884</v>
      </c>
      <c r="B1074" t="s">
        <v>1885</v>
      </c>
      <c r="C1074" t="s">
        <v>1936</v>
      </c>
      <c r="D1074" s="6" t="str">
        <f t="shared" si="16"/>
        <v>PROT:AAL73805.1</v>
      </c>
      <c r="E1074" t="s">
        <v>333</v>
      </c>
      <c r="F1074" t="s">
        <v>109</v>
      </c>
      <c r="G1074">
        <f>IF(ISERROR(MATCH(AllProtiens!F1074,Genomes!$C:$C,0)),0,1)</f>
        <v>1</v>
      </c>
      <c r="H1074">
        <f>IF(ISERROR(MATCH(AllProtiens!A1074,CoreProteinGroups!B:B,0)),0,1)</f>
        <v>1</v>
      </c>
      <c r="J1074" s="6" t="s">
        <v>110</v>
      </c>
    </row>
    <row r="1075" spans="1:10" x14ac:dyDescent="0.2">
      <c r="A1075" s="1" t="s">
        <v>1884</v>
      </c>
      <c r="B1075" t="s">
        <v>1885</v>
      </c>
      <c r="C1075" t="s">
        <v>1937</v>
      </c>
      <c r="D1075" s="6" t="str">
        <f t="shared" si="16"/>
        <v>PROT:AAG37570.1</v>
      </c>
      <c r="E1075" t="s">
        <v>1938</v>
      </c>
      <c r="F1075" t="s">
        <v>105</v>
      </c>
      <c r="G1075">
        <f>IF(ISERROR(MATCH(AllProtiens!F1075,Genomes!$C:$C,0)),0,1)</f>
        <v>1</v>
      </c>
      <c r="H1075">
        <f>IF(ISERROR(MATCH(AllProtiens!A1075,CoreProteinGroups!B:B,0)),0,1)</f>
        <v>1</v>
      </c>
      <c r="J1075" s="6" t="s">
        <v>106</v>
      </c>
    </row>
    <row r="1076" spans="1:10" x14ac:dyDescent="0.2">
      <c r="A1076" s="1" t="s">
        <v>1884</v>
      </c>
      <c r="B1076" t="s">
        <v>1885</v>
      </c>
      <c r="C1076" t="s">
        <v>1939</v>
      </c>
      <c r="D1076" s="6" t="str">
        <f t="shared" si="16"/>
        <v>PROT:AAM13554.1</v>
      </c>
      <c r="E1076" t="s">
        <v>1940</v>
      </c>
      <c r="F1076" t="s">
        <v>113</v>
      </c>
      <c r="G1076">
        <f>IF(ISERROR(MATCH(AllProtiens!F1076,Genomes!$C:$C,0)),0,1)</f>
        <v>1</v>
      </c>
      <c r="H1076">
        <f>IF(ISERROR(MATCH(AllProtiens!A1076,CoreProteinGroups!B:B,0)),0,1)</f>
        <v>1</v>
      </c>
      <c r="J1076" s="6" t="s">
        <v>114</v>
      </c>
    </row>
    <row r="1077" spans="1:10" x14ac:dyDescent="0.2">
      <c r="A1077" s="1" t="s">
        <v>1884</v>
      </c>
      <c r="B1077" t="s">
        <v>1885</v>
      </c>
      <c r="C1077" t="s">
        <v>1941</v>
      </c>
      <c r="D1077" s="6" t="str">
        <f t="shared" si="16"/>
        <v>PROT:AAM92388.1</v>
      </c>
      <c r="E1077" t="s">
        <v>1942</v>
      </c>
      <c r="F1077" t="s">
        <v>117</v>
      </c>
      <c r="G1077">
        <f>IF(ISERROR(MATCH(AllProtiens!F1077,Genomes!$C:$C,0)),0,1)</f>
        <v>1</v>
      </c>
      <c r="H1077">
        <f>IF(ISERROR(MATCH(AllProtiens!A1077,CoreProteinGroups!B:B,0)),0,1)</f>
        <v>1</v>
      </c>
      <c r="J1077" s="6" t="s">
        <v>118</v>
      </c>
    </row>
    <row r="1078" spans="1:10" x14ac:dyDescent="0.2">
      <c r="A1078" s="1" t="s">
        <v>1884</v>
      </c>
      <c r="B1078" t="s">
        <v>1885</v>
      </c>
      <c r="C1078" t="s">
        <v>1943</v>
      </c>
      <c r="D1078" s="6" t="str">
        <f t="shared" si="16"/>
        <v>PROT:AFH54647.1</v>
      </c>
      <c r="E1078" t="s">
        <v>1944</v>
      </c>
      <c r="F1078" t="s">
        <v>120</v>
      </c>
      <c r="G1078">
        <f>IF(ISERROR(MATCH(AllProtiens!F1078,Genomes!$C:$C,0)),0,1)</f>
        <v>1</v>
      </c>
      <c r="H1078">
        <f>IF(ISERROR(MATCH(AllProtiens!A1078,CoreProteinGroups!B:B,0)),0,1)</f>
        <v>1</v>
      </c>
      <c r="J1078" s="6" t="s">
        <v>121</v>
      </c>
    </row>
    <row r="1079" spans="1:10" x14ac:dyDescent="0.2">
      <c r="A1079" s="1" t="s">
        <v>1884</v>
      </c>
      <c r="B1079" t="s">
        <v>1885</v>
      </c>
      <c r="C1079" t="s">
        <v>1945</v>
      </c>
      <c r="D1079" s="6" t="str">
        <f t="shared" si="16"/>
        <v>PROT:AAL40550.1</v>
      </c>
      <c r="E1079" t="s">
        <v>1946</v>
      </c>
      <c r="F1079" t="s">
        <v>124</v>
      </c>
      <c r="G1079">
        <f>IF(ISERROR(MATCH(AllProtiens!F1079,Genomes!$C:$C,0)),0,1)</f>
        <v>1</v>
      </c>
      <c r="H1079">
        <f>IF(ISERROR(MATCH(AllProtiens!A1079,CoreProteinGroups!B:B,0)),0,1)</f>
        <v>1</v>
      </c>
      <c r="J1079" s="6" t="s">
        <v>125</v>
      </c>
    </row>
    <row r="1080" spans="1:10" x14ac:dyDescent="0.2">
      <c r="A1080" s="1" t="s">
        <v>1884</v>
      </c>
      <c r="B1080" t="s">
        <v>1885</v>
      </c>
      <c r="C1080" t="s">
        <v>1947</v>
      </c>
      <c r="D1080" s="6" t="str">
        <f t="shared" si="16"/>
        <v>PROT:AAX09187.1</v>
      </c>
      <c r="E1080" t="s">
        <v>1948</v>
      </c>
      <c r="F1080" t="s">
        <v>128</v>
      </c>
      <c r="G1080">
        <f>IF(ISERROR(MATCH(AllProtiens!F1080,Genomes!$C:$C,0)),0,1)</f>
        <v>1</v>
      </c>
      <c r="H1080">
        <f>IF(ISERROR(MATCH(AllProtiens!A1080,CoreProteinGroups!B:B,0)),0,1)</f>
        <v>1</v>
      </c>
      <c r="J1080" s="6" t="s">
        <v>129</v>
      </c>
    </row>
    <row r="1081" spans="1:10" x14ac:dyDescent="0.2">
      <c r="A1081" s="1" t="s">
        <v>1884</v>
      </c>
      <c r="B1081" t="s">
        <v>1885</v>
      </c>
      <c r="C1081" t="s">
        <v>1949</v>
      </c>
      <c r="D1081" s="6" t="str">
        <f t="shared" si="16"/>
        <v>PROT:AKJ93729.1</v>
      </c>
      <c r="E1081" t="s">
        <v>1950</v>
      </c>
      <c r="F1081" t="s">
        <v>131</v>
      </c>
      <c r="G1081">
        <f>IF(ISERROR(MATCH(AllProtiens!F1081,Genomes!$C:$C,0)),0,1)</f>
        <v>1</v>
      </c>
      <c r="H1081">
        <f>IF(ISERROR(MATCH(AllProtiens!A1081,CoreProteinGroups!B:B,0)),0,1)</f>
        <v>1</v>
      </c>
      <c r="J1081" s="6" t="s">
        <v>132</v>
      </c>
    </row>
    <row r="1082" spans="1:10" x14ac:dyDescent="0.2">
      <c r="A1082" s="1" t="s">
        <v>1884</v>
      </c>
      <c r="B1082" t="s">
        <v>1885</v>
      </c>
      <c r="C1082" t="s">
        <v>1951</v>
      </c>
      <c r="D1082" s="6" t="str">
        <f t="shared" si="16"/>
        <v>PROT:AOP31578.1</v>
      </c>
      <c r="E1082" t="s">
        <v>1952</v>
      </c>
      <c r="F1082" t="s">
        <v>134</v>
      </c>
      <c r="G1082">
        <f>IF(ISERROR(MATCH(AllProtiens!F1082,Genomes!$C:$C,0)),0,1)</f>
        <v>1</v>
      </c>
      <c r="H1082">
        <f>IF(ISERROR(MATCH(AllProtiens!A1082,CoreProteinGroups!B:B,0)),0,1)</f>
        <v>1</v>
      </c>
      <c r="J1082" s="6" t="s">
        <v>135</v>
      </c>
    </row>
    <row r="1083" spans="1:10" x14ac:dyDescent="0.2">
      <c r="A1083" s="1" t="s">
        <v>1884</v>
      </c>
      <c r="B1083" t="s">
        <v>1885</v>
      </c>
      <c r="C1083" t="s">
        <v>1953</v>
      </c>
      <c r="D1083" s="6" t="str">
        <f t="shared" si="16"/>
        <v>PROT:ABD97668.1</v>
      </c>
      <c r="E1083" t="s">
        <v>646</v>
      </c>
      <c r="F1083" t="s">
        <v>137</v>
      </c>
      <c r="G1083">
        <f>IF(ISERROR(MATCH(AllProtiens!F1083,Genomes!$C:$C,0)),0,1)</f>
        <v>1</v>
      </c>
      <c r="H1083">
        <f>IF(ISERROR(MATCH(AllProtiens!A1083,CoreProteinGroups!B:B,0)),0,1)</f>
        <v>1</v>
      </c>
      <c r="J1083" s="6" t="s">
        <v>138</v>
      </c>
    </row>
    <row r="1084" spans="1:10" x14ac:dyDescent="0.2">
      <c r="A1084" s="1" t="s">
        <v>1884</v>
      </c>
      <c r="B1084" t="s">
        <v>1885</v>
      </c>
      <c r="C1084" t="s">
        <v>1954</v>
      </c>
      <c r="D1084" s="6" t="str">
        <f t="shared" si="16"/>
        <v>PROT:AAO89379.1</v>
      </c>
      <c r="E1084" t="s">
        <v>678</v>
      </c>
      <c r="F1084" t="s">
        <v>140</v>
      </c>
      <c r="G1084">
        <f>IF(ISERROR(MATCH(AllProtiens!F1084,Genomes!$C:$C,0)),0,1)</f>
        <v>1</v>
      </c>
      <c r="H1084">
        <f>IF(ISERROR(MATCH(AllProtiens!A1084,CoreProteinGroups!B:B,0)),0,1)</f>
        <v>1</v>
      </c>
      <c r="J1084" s="6" t="s">
        <v>141</v>
      </c>
    </row>
    <row r="1085" spans="1:10" x14ac:dyDescent="0.2">
      <c r="A1085" s="1" t="s">
        <v>1884</v>
      </c>
      <c r="B1085" t="s">
        <v>1885</v>
      </c>
      <c r="C1085" t="s">
        <v>1955</v>
      </c>
      <c r="D1085" s="6" t="str">
        <f t="shared" si="16"/>
        <v>PROT:CAA49026.1</v>
      </c>
      <c r="E1085" t="s">
        <v>1956</v>
      </c>
      <c r="F1085" t="s">
        <v>144</v>
      </c>
      <c r="G1085">
        <f>IF(ISERROR(MATCH(AllProtiens!F1085,Genomes!$C:$C,0)),0,1)</f>
        <v>1</v>
      </c>
      <c r="H1085">
        <f>IF(ISERROR(MATCH(AllProtiens!A1085,CoreProteinGroups!B:B,0)),0,1)</f>
        <v>1</v>
      </c>
      <c r="J1085" s="6" t="s">
        <v>145</v>
      </c>
    </row>
    <row r="1086" spans="1:10" x14ac:dyDescent="0.2">
      <c r="A1086" s="1" t="s">
        <v>1884</v>
      </c>
      <c r="B1086" t="s">
        <v>1885</v>
      </c>
      <c r="C1086" t="s">
        <v>1957</v>
      </c>
      <c r="D1086" s="6" t="str">
        <f t="shared" si="16"/>
        <v>PROT:CAB54685.1</v>
      </c>
      <c r="E1086" t="s">
        <v>1958</v>
      </c>
      <c r="F1086" t="s">
        <v>148</v>
      </c>
      <c r="G1086">
        <f>IF(ISERROR(MATCH(AllProtiens!F1086,Genomes!$C:$C,0)),0,1)</f>
        <v>1</v>
      </c>
      <c r="H1086">
        <f>IF(ISERROR(MATCH(AllProtiens!A1086,CoreProteinGroups!B:B,0)),0,1)</f>
        <v>1</v>
      </c>
      <c r="J1086" s="6" t="s">
        <v>149</v>
      </c>
    </row>
    <row r="1087" spans="1:10" x14ac:dyDescent="0.2">
      <c r="A1087" s="1" t="s">
        <v>1884</v>
      </c>
      <c r="B1087" t="s">
        <v>1885</v>
      </c>
      <c r="C1087" t="s">
        <v>1959</v>
      </c>
      <c r="D1087" s="6" t="str">
        <f t="shared" si="16"/>
        <v>PROT:AOP31789.1</v>
      </c>
      <c r="E1087" t="s">
        <v>1952</v>
      </c>
      <c r="F1087" t="s">
        <v>151</v>
      </c>
      <c r="G1087">
        <f>IF(ISERROR(MATCH(AllProtiens!F1087,Genomes!$C:$C,0)),0,1)</f>
        <v>1</v>
      </c>
      <c r="H1087">
        <f>IF(ISERROR(MATCH(AllProtiens!A1087,CoreProteinGroups!B:B,0)),0,1)</f>
        <v>1</v>
      </c>
      <c r="J1087" s="6" t="s">
        <v>152</v>
      </c>
    </row>
    <row r="1088" spans="1:10" x14ac:dyDescent="0.2">
      <c r="A1088" s="1" t="s">
        <v>1884</v>
      </c>
      <c r="B1088" t="s">
        <v>1885</v>
      </c>
      <c r="C1088" t="s">
        <v>1960</v>
      </c>
      <c r="D1088" s="6" t="str">
        <f t="shared" si="16"/>
        <v>PROT:ASF89969.1</v>
      </c>
      <c r="E1088" t="s">
        <v>1961</v>
      </c>
      <c r="F1088" t="s">
        <v>155</v>
      </c>
      <c r="G1088">
        <f>IF(ISERROR(MATCH(AllProtiens!F1088,Genomes!$C:$C,0)),0,1)</f>
        <v>1</v>
      </c>
      <c r="H1088">
        <f>IF(ISERROR(MATCH(AllProtiens!A1088,CoreProteinGroups!B:B,0)),0,1)</f>
        <v>1</v>
      </c>
      <c r="J1088" s="6" t="s">
        <v>156</v>
      </c>
    </row>
    <row r="1089" spans="1:10" x14ac:dyDescent="0.2">
      <c r="A1089" s="1" t="s">
        <v>1884</v>
      </c>
      <c r="B1089" t="s">
        <v>1885</v>
      </c>
      <c r="C1089" t="s">
        <v>1962</v>
      </c>
      <c r="D1089" s="6" t="str">
        <f t="shared" si="16"/>
        <v>PROT:AAR98415.1</v>
      </c>
      <c r="E1089" t="s">
        <v>1963</v>
      </c>
      <c r="F1089" t="s">
        <v>159</v>
      </c>
      <c r="G1089">
        <f>IF(ISERROR(MATCH(AllProtiens!F1089,Genomes!$C:$C,0)),0,1)</f>
        <v>1</v>
      </c>
      <c r="H1089">
        <f>IF(ISERROR(MATCH(AllProtiens!A1089,CoreProteinGroups!B:B,0)),0,1)</f>
        <v>1</v>
      </c>
      <c r="J1089" s="6" t="s">
        <v>160</v>
      </c>
    </row>
    <row r="1090" spans="1:10" x14ac:dyDescent="0.2">
      <c r="A1090" s="1" t="s">
        <v>1884</v>
      </c>
      <c r="B1090" t="s">
        <v>1885</v>
      </c>
      <c r="C1090" t="s">
        <v>1964</v>
      </c>
      <c r="D1090" s="6" t="str">
        <f t="shared" ref="D1090:D1153" si="17">HYPERLINK(_xlfn.CONCAT("https://www.ncbi.nlm.nih.gov/protein/",C1090),_xlfn.CONCAT("PROT:",C1090))</f>
        <v>PROT:AAR98283.1</v>
      </c>
      <c r="E1090" t="s">
        <v>1963</v>
      </c>
      <c r="F1090" t="s">
        <v>162</v>
      </c>
      <c r="G1090">
        <f>IF(ISERROR(MATCH(AllProtiens!F1090,Genomes!$C:$C,0)),0,1)</f>
        <v>1</v>
      </c>
      <c r="H1090">
        <f>IF(ISERROR(MATCH(AllProtiens!A1090,CoreProteinGroups!B:B,0)),0,1)</f>
        <v>1</v>
      </c>
      <c r="J1090" s="6" t="s">
        <v>163</v>
      </c>
    </row>
    <row r="1091" spans="1:10" x14ac:dyDescent="0.2">
      <c r="A1091" s="1" t="s">
        <v>1884</v>
      </c>
      <c r="B1091" t="s">
        <v>1885</v>
      </c>
      <c r="C1091" t="s">
        <v>1965</v>
      </c>
      <c r="D1091" s="6" t="str">
        <f t="shared" si="17"/>
        <v>PROT:ABA00575.1</v>
      </c>
      <c r="E1091" t="s">
        <v>1966</v>
      </c>
      <c r="F1091" t="s">
        <v>162</v>
      </c>
      <c r="G1091">
        <f>IF(ISERROR(MATCH(AllProtiens!F1091,Genomes!$C:$C,0)),0,1)</f>
        <v>1</v>
      </c>
      <c r="H1091">
        <f>IF(ISERROR(MATCH(AllProtiens!A1091,CoreProteinGroups!B:B,0)),0,1)</f>
        <v>1</v>
      </c>
      <c r="J1091" s="6" t="s">
        <v>163</v>
      </c>
    </row>
    <row r="1092" spans="1:10" x14ac:dyDescent="0.2">
      <c r="A1092" s="1" t="s">
        <v>1884</v>
      </c>
      <c r="B1092" t="s">
        <v>1885</v>
      </c>
      <c r="C1092" t="s">
        <v>1967</v>
      </c>
      <c r="D1092" s="6" t="str">
        <f t="shared" si="17"/>
        <v>PROT:AIZ77309.1</v>
      </c>
      <c r="E1092" t="s">
        <v>333</v>
      </c>
      <c r="F1092" t="s">
        <v>167</v>
      </c>
      <c r="G1092">
        <f>IF(ISERROR(MATCH(AllProtiens!F1092,Genomes!$C:$C,0)),0,1)</f>
        <v>1</v>
      </c>
      <c r="H1092">
        <f>IF(ISERROR(MATCH(AllProtiens!A1092,CoreProteinGroups!B:B,0)),0,1)</f>
        <v>1</v>
      </c>
      <c r="J1092" s="6" t="s">
        <v>168</v>
      </c>
    </row>
    <row r="1093" spans="1:10" x14ac:dyDescent="0.2">
      <c r="A1093" s="1" t="s">
        <v>1884</v>
      </c>
      <c r="B1093" t="s">
        <v>1885</v>
      </c>
      <c r="C1093" t="s">
        <v>1968</v>
      </c>
      <c r="D1093" s="6" t="str">
        <f t="shared" si="17"/>
        <v>PROT:ADC53959.1</v>
      </c>
      <c r="E1093" t="s">
        <v>1969</v>
      </c>
      <c r="F1093" t="s">
        <v>170</v>
      </c>
      <c r="G1093">
        <f>IF(ISERROR(MATCH(AllProtiens!F1093,Genomes!$C:$C,0)),0,1)</f>
        <v>1</v>
      </c>
      <c r="H1093">
        <f>IF(ISERROR(MATCH(AllProtiens!A1093,CoreProteinGroups!B:B,0)),0,1)</f>
        <v>1</v>
      </c>
      <c r="J1093" s="6" t="s">
        <v>171</v>
      </c>
    </row>
    <row r="1094" spans="1:10" x14ac:dyDescent="0.2">
      <c r="A1094" s="1" t="s">
        <v>1884</v>
      </c>
      <c r="B1094" t="s">
        <v>1885</v>
      </c>
      <c r="C1094" t="s">
        <v>1970</v>
      </c>
      <c r="D1094" s="6" t="str">
        <f t="shared" si="17"/>
        <v>PROT:AAL69809.1</v>
      </c>
      <c r="E1094" t="s">
        <v>1971</v>
      </c>
      <c r="F1094" t="s">
        <v>174</v>
      </c>
      <c r="G1094">
        <f>IF(ISERROR(MATCH(AllProtiens!F1094,Genomes!$C:$C,0)),0,1)</f>
        <v>1</v>
      </c>
      <c r="H1094">
        <f>IF(ISERROR(MATCH(AllProtiens!A1094,CoreProteinGroups!B:B,0)),0,1)</f>
        <v>1</v>
      </c>
      <c r="J1094" s="6" t="s">
        <v>175</v>
      </c>
    </row>
    <row r="1095" spans="1:10" x14ac:dyDescent="0.2">
      <c r="A1095" s="1" t="s">
        <v>1884</v>
      </c>
      <c r="B1095" t="s">
        <v>1885</v>
      </c>
      <c r="C1095" t="s">
        <v>1972</v>
      </c>
      <c r="D1095" s="6" t="str">
        <f t="shared" si="17"/>
        <v>PROT:CAC21311.1</v>
      </c>
      <c r="E1095" t="s">
        <v>1973</v>
      </c>
      <c r="F1095" t="s">
        <v>178</v>
      </c>
      <c r="G1095">
        <f>IF(ISERROR(MATCH(AllProtiens!F1095,Genomes!$C:$C,0)),0,1)</f>
        <v>1</v>
      </c>
      <c r="H1095">
        <f>IF(ISERROR(MATCH(AllProtiens!A1095,CoreProteinGroups!B:B,0)),0,1)</f>
        <v>1</v>
      </c>
      <c r="J1095" s="6" t="s">
        <v>179</v>
      </c>
    </row>
    <row r="1096" spans="1:10" x14ac:dyDescent="0.2">
      <c r="A1096" s="1" t="s">
        <v>1884</v>
      </c>
      <c r="B1096" t="s">
        <v>1885</v>
      </c>
      <c r="C1096" t="s">
        <v>1974</v>
      </c>
      <c r="D1096" s="6" t="str">
        <f t="shared" si="17"/>
        <v>PROT:AAR07429.1</v>
      </c>
      <c r="E1096" t="s">
        <v>1975</v>
      </c>
      <c r="F1096" t="s">
        <v>182</v>
      </c>
      <c r="G1096">
        <f>IF(ISERROR(MATCH(AllProtiens!F1096,Genomes!$C:$C,0)),0,1)</f>
        <v>1</v>
      </c>
      <c r="H1096">
        <f>IF(ISERROR(MATCH(AllProtiens!A1096,CoreProteinGroups!B:B,0)),0,1)</f>
        <v>1</v>
      </c>
      <c r="J1096" s="6" t="s">
        <v>183</v>
      </c>
    </row>
    <row r="1097" spans="1:10" x14ac:dyDescent="0.2">
      <c r="A1097" s="1" t="s">
        <v>1884</v>
      </c>
      <c r="B1097" t="s">
        <v>1885</v>
      </c>
      <c r="C1097" t="s">
        <v>1976</v>
      </c>
      <c r="D1097" s="6" t="str">
        <f t="shared" si="17"/>
        <v>PROT:AAC97818.1</v>
      </c>
      <c r="E1097" t="s">
        <v>1977</v>
      </c>
      <c r="F1097" t="s">
        <v>186</v>
      </c>
      <c r="G1097">
        <f>IF(ISERROR(MATCH(AllProtiens!F1097,Genomes!$C:$C,0)),0,1)</f>
        <v>1</v>
      </c>
      <c r="H1097">
        <f>IF(ISERROR(MATCH(AllProtiens!A1097,CoreProteinGroups!B:B,0)),0,1)</f>
        <v>1</v>
      </c>
      <c r="J1097" s="6" t="s">
        <v>187</v>
      </c>
    </row>
    <row r="1098" spans="1:10" x14ac:dyDescent="0.2">
      <c r="A1098" s="1" t="s">
        <v>1884</v>
      </c>
      <c r="B1098" t="s">
        <v>1885</v>
      </c>
      <c r="C1098" t="s">
        <v>1978</v>
      </c>
      <c r="D1098" s="6" t="str">
        <f t="shared" si="17"/>
        <v>PROT:BAO49538.1</v>
      </c>
      <c r="E1098" t="s">
        <v>1933</v>
      </c>
      <c r="F1098" t="s">
        <v>190</v>
      </c>
      <c r="G1098">
        <f>IF(ISERROR(MATCH(AllProtiens!F1098,Genomes!$C:$C,0)),0,1)</f>
        <v>1</v>
      </c>
      <c r="H1098">
        <f>IF(ISERROR(MATCH(AllProtiens!A1098,CoreProteinGroups!B:B,0)),0,1)</f>
        <v>1</v>
      </c>
      <c r="J1098" s="6" t="s">
        <v>191</v>
      </c>
    </row>
    <row r="1099" spans="1:10" x14ac:dyDescent="0.2">
      <c r="A1099" s="1" t="s">
        <v>1884</v>
      </c>
      <c r="B1099" t="s">
        <v>1885</v>
      </c>
      <c r="C1099" t="s">
        <v>1979</v>
      </c>
      <c r="D1099" s="6" t="str">
        <f t="shared" si="17"/>
        <v>PROT:CCU55515.1</v>
      </c>
      <c r="E1099" t="s">
        <v>1980</v>
      </c>
      <c r="F1099" t="s">
        <v>193</v>
      </c>
      <c r="G1099">
        <f>IF(ISERROR(MATCH(AllProtiens!F1099,Genomes!$C:$C,0)),0,1)</f>
        <v>1</v>
      </c>
      <c r="H1099">
        <f>IF(ISERROR(MATCH(AllProtiens!A1099,CoreProteinGroups!B:B,0)),0,1)</f>
        <v>1</v>
      </c>
      <c r="J1099" s="6" t="s">
        <v>194</v>
      </c>
    </row>
    <row r="1100" spans="1:10" x14ac:dyDescent="0.2">
      <c r="A1100" s="1" t="s">
        <v>1884</v>
      </c>
      <c r="B1100" t="s">
        <v>1885</v>
      </c>
      <c r="C1100" t="s">
        <v>1981</v>
      </c>
      <c r="D1100" s="6" t="str">
        <f t="shared" si="17"/>
        <v>PROT:AAG02833.1</v>
      </c>
      <c r="E1100" t="s">
        <v>1982</v>
      </c>
      <c r="F1100" t="s">
        <v>197</v>
      </c>
      <c r="G1100">
        <f>IF(ISERROR(MATCH(AllProtiens!F1100,Genomes!$C:$C,0)),0,1)</f>
        <v>1</v>
      </c>
      <c r="H1100">
        <f>IF(ISERROR(MATCH(AllProtiens!A1100,CoreProteinGroups!B:B,0)),0,1)</f>
        <v>1</v>
      </c>
      <c r="J1100" s="6" t="s">
        <v>198</v>
      </c>
    </row>
    <row r="1101" spans="1:10" x14ac:dyDescent="0.2">
      <c r="A1101" s="1" t="s">
        <v>1884</v>
      </c>
      <c r="B1101" t="s">
        <v>1885</v>
      </c>
      <c r="C1101" t="s">
        <v>1983</v>
      </c>
      <c r="D1101" s="6" t="str">
        <f t="shared" si="17"/>
        <v>PROT:CCU55749.1</v>
      </c>
      <c r="E1101" t="s">
        <v>1980</v>
      </c>
      <c r="F1101" t="s">
        <v>200</v>
      </c>
      <c r="G1101">
        <f>IF(ISERROR(MATCH(AllProtiens!F1101,Genomes!$C:$C,0)),0,1)</f>
        <v>1</v>
      </c>
      <c r="H1101">
        <f>IF(ISERROR(MATCH(AllProtiens!A1101,CoreProteinGroups!B:B,0)),0,1)</f>
        <v>1</v>
      </c>
      <c r="J1101" s="6" t="s">
        <v>201</v>
      </c>
    </row>
    <row r="1102" spans="1:10" x14ac:dyDescent="0.2">
      <c r="A1102" s="1" t="s">
        <v>1884</v>
      </c>
      <c r="B1102" t="s">
        <v>1885</v>
      </c>
      <c r="C1102" t="s">
        <v>1984</v>
      </c>
      <c r="D1102" s="6" t="str">
        <f t="shared" si="17"/>
        <v>PROT:CCU56051.1</v>
      </c>
      <c r="E1102" t="s">
        <v>1980</v>
      </c>
      <c r="F1102" t="s">
        <v>203</v>
      </c>
      <c r="G1102">
        <f>IF(ISERROR(MATCH(AllProtiens!F1102,Genomes!$C:$C,0)),0,1)</f>
        <v>1</v>
      </c>
      <c r="H1102">
        <f>IF(ISERROR(MATCH(AllProtiens!A1102,CoreProteinGroups!B:B,0)),0,1)</f>
        <v>1</v>
      </c>
      <c r="J1102" s="6" t="s">
        <v>204</v>
      </c>
    </row>
    <row r="1103" spans="1:10" x14ac:dyDescent="0.2">
      <c r="A1103" s="1" t="s">
        <v>1884</v>
      </c>
      <c r="B1103" t="s">
        <v>1885</v>
      </c>
      <c r="C1103" t="s">
        <v>1985</v>
      </c>
      <c r="D1103" s="6" t="str">
        <f t="shared" si="17"/>
        <v>PROT:CCU56354.1</v>
      </c>
      <c r="E1103" t="s">
        <v>1980</v>
      </c>
      <c r="F1103" t="s">
        <v>206</v>
      </c>
      <c r="G1103">
        <f>IF(ISERROR(MATCH(AllProtiens!F1103,Genomes!$C:$C,0)),0,1)</f>
        <v>1</v>
      </c>
      <c r="H1103">
        <f>IF(ISERROR(MATCH(AllProtiens!A1103,CoreProteinGroups!B:B,0)),0,1)</f>
        <v>1</v>
      </c>
      <c r="J1103" s="6" t="s">
        <v>207</v>
      </c>
    </row>
    <row r="1104" spans="1:10" x14ac:dyDescent="0.2">
      <c r="A1104" s="1" t="s">
        <v>1986</v>
      </c>
      <c r="B1104" t="s">
        <v>1987</v>
      </c>
      <c r="C1104" t="s">
        <v>1988</v>
      </c>
      <c r="D1104" s="6" t="str">
        <f t="shared" si="17"/>
        <v>PROT:ATI21183.1</v>
      </c>
      <c r="E1104" t="s">
        <v>1987</v>
      </c>
      <c r="F1104" t="s">
        <v>14</v>
      </c>
      <c r="G1104">
        <f>IF(ISERROR(MATCH(AllProtiens!F1104,Genomes!$C:$C,0)),0,1)</f>
        <v>1</v>
      </c>
      <c r="H1104">
        <f>IF(ISERROR(MATCH(AllProtiens!A1104,CoreProteinGroups!B:B,0)),0,1)</f>
        <v>1</v>
      </c>
      <c r="J1104" s="6" t="s">
        <v>15</v>
      </c>
    </row>
    <row r="1105" spans="1:10" x14ac:dyDescent="0.2">
      <c r="A1105" s="1" t="s">
        <v>1986</v>
      </c>
      <c r="B1105" t="s">
        <v>1987</v>
      </c>
      <c r="C1105" t="s">
        <v>1989</v>
      </c>
      <c r="D1105" s="6" t="str">
        <f t="shared" si="17"/>
        <v>PROT:AWU47118.1</v>
      </c>
      <c r="E1105" t="s">
        <v>1990</v>
      </c>
      <c r="F1105" t="s">
        <v>17</v>
      </c>
      <c r="G1105">
        <f>IF(ISERROR(MATCH(AllProtiens!F1105,Genomes!$C:$C,0)),0,1)</f>
        <v>1</v>
      </c>
      <c r="H1105">
        <f>IF(ISERROR(MATCH(AllProtiens!A1105,CoreProteinGroups!B:B,0)),0,1)</f>
        <v>1</v>
      </c>
      <c r="J1105" s="6" t="s">
        <v>18</v>
      </c>
    </row>
    <row r="1106" spans="1:10" x14ac:dyDescent="0.2">
      <c r="A1106" s="1" t="s">
        <v>1986</v>
      </c>
      <c r="B1106" t="s">
        <v>1987</v>
      </c>
      <c r="C1106" t="s">
        <v>1991</v>
      </c>
      <c r="D1106" s="6" t="str">
        <f t="shared" si="17"/>
        <v>PROT:APG58293.1</v>
      </c>
      <c r="E1106" t="s">
        <v>1992</v>
      </c>
      <c r="F1106" t="s">
        <v>21</v>
      </c>
      <c r="G1106">
        <f>IF(ISERROR(MATCH(AllProtiens!F1106,Genomes!$C:$C,0)),0,1)</f>
        <v>1</v>
      </c>
      <c r="H1106">
        <f>IF(ISERROR(MATCH(AllProtiens!A1106,CoreProteinGroups!B:B,0)),0,1)</f>
        <v>1</v>
      </c>
      <c r="J1106" s="6" t="s">
        <v>22</v>
      </c>
    </row>
    <row r="1107" spans="1:10" x14ac:dyDescent="0.2">
      <c r="A1107" s="1" t="s">
        <v>1986</v>
      </c>
      <c r="B1107" t="s">
        <v>1987</v>
      </c>
      <c r="C1107" t="s">
        <v>1993</v>
      </c>
      <c r="D1107" s="6" t="str">
        <f t="shared" si="17"/>
        <v>PROT:ADT91105.1</v>
      </c>
      <c r="E1107" t="s">
        <v>1994</v>
      </c>
      <c r="F1107" t="s">
        <v>25</v>
      </c>
      <c r="G1107">
        <f>IF(ISERROR(MATCH(AllProtiens!F1107,Genomes!$C:$C,0)),0,1)</f>
        <v>1</v>
      </c>
      <c r="H1107">
        <f>IF(ISERROR(MATCH(AllProtiens!A1107,CoreProteinGroups!B:B,0)),0,1)</f>
        <v>1</v>
      </c>
      <c r="J1107" s="6" t="s">
        <v>26</v>
      </c>
    </row>
    <row r="1108" spans="1:10" x14ac:dyDescent="0.2">
      <c r="A1108" s="1" t="s">
        <v>1986</v>
      </c>
      <c r="B1108" t="s">
        <v>1987</v>
      </c>
      <c r="C1108" t="s">
        <v>1995</v>
      </c>
      <c r="D1108" s="6" t="str">
        <f t="shared" si="17"/>
        <v>PROT:ANS71162.1</v>
      </c>
      <c r="E1108" t="s">
        <v>1990</v>
      </c>
      <c r="F1108" t="s">
        <v>28</v>
      </c>
      <c r="G1108">
        <f>IF(ISERROR(MATCH(AllProtiens!F1108,Genomes!$C:$C,0)),0,1)</f>
        <v>1</v>
      </c>
      <c r="H1108">
        <f>IF(ISERROR(MATCH(AllProtiens!A1108,CoreProteinGroups!B:B,0)),0,1)</f>
        <v>1</v>
      </c>
      <c r="J1108" s="6" t="s">
        <v>29</v>
      </c>
    </row>
    <row r="1109" spans="1:10" x14ac:dyDescent="0.2">
      <c r="A1109" s="1" t="s">
        <v>1986</v>
      </c>
      <c r="B1109" t="s">
        <v>1987</v>
      </c>
      <c r="C1109" t="s">
        <v>1996</v>
      </c>
      <c r="D1109" s="6" t="str">
        <f t="shared" si="17"/>
        <v>PROT:AKR04293.1</v>
      </c>
      <c r="E1109" t="s">
        <v>1997</v>
      </c>
      <c r="F1109" t="s">
        <v>32</v>
      </c>
      <c r="G1109">
        <f>IF(ISERROR(MATCH(AllProtiens!F1109,Genomes!$C:$C,0)),0,1)</f>
        <v>1</v>
      </c>
      <c r="H1109">
        <f>IF(ISERROR(MATCH(AllProtiens!A1109,CoreProteinGroups!B:B,0)),0,1)</f>
        <v>1</v>
      </c>
      <c r="J1109" s="6" t="s">
        <v>33</v>
      </c>
    </row>
    <row r="1110" spans="1:10" x14ac:dyDescent="0.2">
      <c r="A1110" s="1" t="s">
        <v>1986</v>
      </c>
      <c r="B1110" t="s">
        <v>1987</v>
      </c>
      <c r="C1110" t="s">
        <v>1998</v>
      </c>
      <c r="D1110" s="6" t="str">
        <f t="shared" si="17"/>
        <v>PROT:CCD83251.1</v>
      </c>
      <c r="E1110" t="s">
        <v>1999</v>
      </c>
      <c r="F1110" t="s">
        <v>36</v>
      </c>
      <c r="G1110">
        <f>IF(ISERROR(MATCH(AllProtiens!F1110,Genomes!$C:$C,0)),0,1)</f>
        <v>1</v>
      </c>
      <c r="H1110">
        <f>IF(ISERROR(MATCH(AllProtiens!A1110,CoreProteinGroups!B:B,0)),0,1)</f>
        <v>1</v>
      </c>
      <c r="J1110" s="6" t="s">
        <v>37</v>
      </c>
    </row>
    <row r="1111" spans="1:10" x14ac:dyDescent="0.2">
      <c r="A1111" s="1" t="s">
        <v>1986</v>
      </c>
      <c r="B1111" t="s">
        <v>1987</v>
      </c>
      <c r="C1111" t="s">
        <v>2000</v>
      </c>
      <c r="D1111" s="6" t="str">
        <f t="shared" si="17"/>
        <v>PROT:ASK51280.1</v>
      </c>
      <c r="E1111" t="s">
        <v>2001</v>
      </c>
      <c r="F1111" t="s">
        <v>40</v>
      </c>
      <c r="G1111">
        <f>IF(ISERROR(MATCH(AllProtiens!F1111,Genomes!$C:$C,0)),0,1)</f>
        <v>1</v>
      </c>
      <c r="H1111">
        <f>IF(ISERROR(MATCH(AllProtiens!A1111,CoreProteinGroups!B:B,0)),0,1)</f>
        <v>1</v>
      </c>
      <c r="J1111" s="6" t="s">
        <v>41</v>
      </c>
    </row>
    <row r="1112" spans="1:10" x14ac:dyDescent="0.2">
      <c r="A1112" s="1" t="s">
        <v>1986</v>
      </c>
      <c r="B1112" t="s">
        <v>1987</v>
      </c>
      <c r="C1112" t="s">
        <v>2002</v>
      </c>
      <c r="D1112" s="6" t="str">
        <f t="shared" si="17"/>
        <v>PROT:AUD40245.1</v>
      </c>
      <c r="E1112" t="s">
        <v>2003</v>
      </c>
      <c r="F1112" t="s">
        <v>43</v>
      </c>
      <c r="G1112">
        <f>IF(ISERROR(MATCH(AllProtiens!F1112,Genomes!$C:$C,0)),0,1)</f>
        <v>1</v>
      </c>
      <c r="H1112">
        <f>IF(ISERROR(MATCH(AllProtiens!A1112,CoreProteinGroups!B:B,0)),0,1)</f>
        <v>1</v>
      </c>
      <c r="J1112" s="6" t="s">
        <v>44</v>
      </c>
    </row>
    <row r="1113" spans="1:10" x14ac:dyDescent="0.2">
      <c r="A1113" s="1" t="s">
        <v>1986</v>
      </c>
      <c r="B1113" t="s">
        <v>1987</v>
      </c>
      <c r="C1113" t="s">
        <v>2004</v>
      </c>
      <c r="D1113" s="6" t="str">
        <f t="shared" si="17"/>
        <v>PROT:AID46877.1</v>
      </c>
      <c r="E1113" t="s">
        <v>2005</v>
      </c>
      <c r="F1113" t="s">
        <v>46</v>
      </c>
      <c r="G1113">
        <f>IF(ISERROR(MATCH(AllProtiens!F1113,Genomes!$C:$C,0)),0,1)</f>
        <v>1</v>
      </c>
      <c r="H1113">
        <f>IF(ISERROR(MATCH(AllProtiens!A1113,CoreProteinGroups!B:B,0)),0,1)</f>
        <v>1</v>
      </c>
      <c r="J1113" s="6" t="s">
        <v>47</v>
      </c>
    </row>
    <row r="1114" spans="1:10" x14ac:dyDescent="0.2">
      <c r="A1114" s="1" t="s">
        <v>1986</v>
      </c>
      <c r="B1114" t="s">
        <v>1987</v>
      </c>
      <c r="C1114" t="s">
        <v>2006</v>
      </c>
      <c r="D1114" s="6" t="str">
        <f t="shared" si="17"/>
        <v>PROT:AID46648.1</v>
      </c>
      <c r="E1114" t="s">
        <v>2005</v>
      </c>
      <c r="F1114" t="s">
        <v>49</v>
      </c>
      <c r="G1114">
        <f>IF(ISERROR(MATCH(AllProtiens!F1114,Genomes!$C:$C,0)),0,1)</f>
        <v>1</v>
      </c>
      <c r="H1114">
        <f>IF(ISERROR(MATCH(AllProtiens!A1114,CoreProteinGroups!B:B,0)),0,1)</f>
        <v>1</v>
      </c>
      <c r="J1114" s="6" t="s">
        <v>50</v>
      </c>
    </row>
    <row r="1115" spans="1:10" x14ac:dyDescent="0.2">
      <c r="A1115" s="1" t="s">
        <v>1986</v>
      </c>
      <c r="B1115" t="s">
        <v>1987</v>
      </c>
      <c r="C1115" t="s">
        <v>2007</v>
      </c>
      <c r="D1115" s="6" t="str">
        <f t="shared" si="17"/>
        <v>PROT:ALA62479.1</v>
      </c>
      <c r="E1115" t="s">
        <v>2008</v>
      </c>
      <c r="F1115" t="s">
        <v>53</v>
      </c>
      <c r="G1115">
        <f>IF(ISERROR(MATCH(AllProtiens!F1115,Genomes!$C:$C,0)),0,1)</f>
        <v>1</v>
      </c>
      <c r="H1115">
        <f>IF(ISERROR(MATCH(AllProtiens!A1115,CoreProteinGroups!B:B,0)),0,1)</f>
        <v>1</v>
      </c>
      <c r="J1115" s="6" t="s">
        <v>54</v>
      </c>
    </row>
    <row r="1116" spans="1:10" x14ac:dyDescent="0.2">
      <c r="A1116" s="1" t="s">
        <v>1986</v>
      </c>
      <c r="B1116" t="s">
        <v>1987</v>
      </c>
      <c r="C1116" t="s">
        <v>2009</v>
      </c>
      <c r="D1116" s="6" t="str">
        <f t="shared" si="17"/>
        <v>PROT:AAR83533.1</v>
      </c>
      <c r="E1116" t="s">
        <v>2010</v>
      </c>
      <c r="F1116" t="s">
        <v>57</v>
      </c>
      <c r="G1116">
        <f>IF(ISERROR(MATCH(AllProtiens!F1116,Genomes!$C:$C,0)),0,1)</f>
        <v>1</v>
      </c>
      <c r="H1116">
        <f>IF(ISERROR(MATCH(AllProtiens!A1116,CoreProteinGroups!B:B,0)),0,1)</f>
        <v>1</v>
      </c>
      <c r="J1116" s="6" t="s">
        <v>58</v>
      </c>
    </row>
    <row r="1117" spans="1:10" x14ac:dyDescent="0.2">
      <c r="A1117" s="1" t="s">
        <v>1986</v>
      </c>
      <c r="B1117" t="s">
        <v>1987</v>
      </c>
      <c r="C1117" t="s">
        <v>2011</v>
      </c>
      <c r="D1117" s="6" t="str">
        <f t="shared" si="17"/>
        <v>PROT:AAF44485.1</v>
      </c>
      <c r="E1117" t="s">
        <v>2012</v>
      </c>
      <c r="F1117" t="s">
        <v>61</v>
      </c>
      <c r="G1117">
        <f>IF(ISERROR(MATCH(AllProtiens!F1117,Genomes!$C:$C,0)),0,1)</f>
        <v>1</v>
      </c>
      <c r="H1117">
        <f>IF(ISERROR(MATCH(AllProtiens!A1117,CoreProteinGroups!B:B,0)),0,1)</f>
        <v>1</v>
      </c>
      <c r="J1117" s="6" t="s">
        <v>62</v>
      </c>
    </row>
    <row r="1118" spans="1:10" x14ac:dyDescent="0.2">
      <c r="A1118" s="1" t="s">
        <v>1986</v>
      </c>
      <c r="B1118" t="s">
        <v>1987</v>
      </c>
      <c r="C1118" t="s">
        <v>2013</v>
      </c>
      <c r="D1118" s="6" t="str">
        <f t="shared" si="17"/>
        <v>PROT:AAK85036.1</v>
      </c>
      <c r="E1118" t="s">
        <v>2014</v>
      </c>
      <c r="F1118" t="s">
        <v>65</v>
      </c>
      <c r="G1118">
        <f>IF(ISERROR(MATCH(AllProtiens!F1118,Genomes!$C:$C,0)),0,1)</f>
        <v>1</v>
      </c>
      <c r="H1118">
        <f>IF(ISERROR(MATCH(AllProtiens!A1118,CoreProteinGroups!B:B,0)),0,1)</f>
        <v>1</v>
      </c>
      <c r="J1118" s="6" t="s">
        <v>66</v>
      </c>
    </row>
    <row r="1119" spans="1:10" x14ac:dyDescent="0.2">
      <c r="A1119" s="1" t="s">
        <v>1986</v>
      </c>
      <c r="B1119" t="s">
        <v>1987</v>
      </c>
      <c r="C1119" t="s">
        <v>2015</v>
      </c>
      <c r="D1119" s="6" t="str">
        <f t="shared" si="17"/>
        <v>PROT:AST09293.1</v>
      </c>
      <c r="E1119" t="s">
        <v>2016</v>
      </c>
      <c r="F1119" t="s">
        <v>68</v>
      </c>
      <c r="G1119">
        <f>IF(ISERROR(MATCH(AllProtiens!F1119,Genomes!$C:$C,0)),0,1)</f>
        <v>1</v>
      </c>
      <c r="H1119">
        <f>IF(ISERROR(MATCH(AllProtiens!A1119,CoreProteinGroups!B:B,0)),0,1)</f>
        <v>1</v>
      </c>
      <c r="J1119" s="6" t="s">
        <v>69</v>
      </c>
    </row>
    <row r="1120" spans="1:10" x14ac:dyDescent="0.2">
      <c r="A1120" s="1" t="s">
        <v>1986</v>
      </c>
      <c r="B1120" t="s">
        <v>1987</v>
      </c>
      <c r="C1120" t="s">
        <v>2017</v>
      </c>
      <c r="D1120" s="6" t="str">
        <f t="shared" si="17"/>
        <v>PROT:AEN03671.1</v>
      </c>
      <c r="E1120" t="s">
        <v>2018</v>
      </c>
      <c r="F1120" t="s">
        <v>71</v>
      </c>
      <c r="G1120">
        <f>IF(ISERROR(MATCH(AllProtiens!F1120,Genomes!$C:$C,0)),0,1)</f>
        <v>1</v>
      </c>
      <c r="H1120">
        <f>IF(ISERROR(MATCH(AllProtiens!A1120,CoreProteinGroups!B:B,0)),0,1)</f>
        <v>1</v>
      </c>
      <c r="J1120" s="6" t="s">
        <v>72</v>
      </c>
    </row>
    <row r="1121" spans="1:10" x14ac:dyDescent="0.2">
      <c r="A1121" s="1" t="s">
        <v>1986</v>
      </c>
      <c r="B1121" t="s">
        <v>1987</v>
      </c>
      <c r="C1121" t="s">
        <v>2019</v>
      </c>
      <c r="D1121" s="6" t="str">
        <f t="shared" si="17"/>
        <v>PROT:ABI99239.1</v>
      </c>
      <c r="E1121" t="s">
        <v>2020</v>
      </c>
      <c r="F1121" t="s">
        <v>74</v>
      </c>
      <c r="G1121">
        <f>IF(ISERROR(MATCH(AllProtiens!F1121,Genomes!$C:$C,0)),0,1)</f>
        <v>1</v>
      </c>
      <c r="H1121">
        <f>IF(ISERROR(MATCH(AllProtiens!A1121,CoreProteinGroups!B:B,0)),0,1)</f>
        <v>1</v>
      </c>
      <c r="J1121" s="6" t="s">
        <v>75</v>
      </c>
    </row>
    <row r="1122" spans="1:10" x14ac:dyDescent="0.2">
      <c r="A1122" s="1" t="s">
        <v>1986</v>
      </c>
      <c r="B1122" t="s">
        <v>1987</v>
      </c>
      <c r="C1122" t="s">
        <v>2021</v>
      </c>
      <c r="D1122" s="6" t="str">
        <f t="shared" si="17"/>
        <v>PROT:ABJ08995.1</v>
      </c>
      <c r="E1122" t="s">
        <v>2022</v>
      </c>
      <c r="F1122" t="s">
        <v>77</v>
      </c>
      <c r="G1122">
        <f>IF(ISERROR(MATCH(AllProtiens!F1122,Genomes!$C:$C,0)),0,1)</f>
        <v>1</v>
      </c>
      <c r="H1122">
        <f>IF(ISERROR(MATCH(AllProtiens!A1122,CoreProteinGroups!B:B,0)),0,1)</f>
        <v>1</v>
      </c>
      <c r="J1122" s="6" t="s">
        <v>78</v>
      </c>
    </row>
    <row r="1123" spans="1:10" x14ac:dyDescent="0.2">
      <c r="A1123" s="1" t="s">
        <v>1986</v>
      </c>
      <c r="B1123" t="s">
        <v>1987</v>
      </c>
      <c r="C1123" t="s">
        <v>2023</v>
      </c>
      <c r="D1123" s="6" t="str">
        <f t="shared" si="17"/>
        <v>PROT:AAF14960.1</v>
      </c>
      <c r="E1123" t="s">
        <v>2024</v>
      </c>
      <c r="F1123" t="s">
        <v>81</v>
      </c>
      <c r="G1123">
        <f>IF(ISERROR(MATCH(AllProtiens!F1123,Genomes!$C:$C,0)),0,1)</f>
        <v>0</v>
      </c>
      <c r="H1123">
        <f>IF(ISERROR(MATCH(AllProtiens!A1123,CoreProteinGroups!B:B,0)),0,1)</f>
        <v>1</v>
      </c>
      <c r="J1123" s="6" t="s">
        <v>82</v>
      </c>
    </row>
    <row r="1124" spans="1:10" x14ac:dyDescent="0.2">
      <c r="A1124" s="1" t="s">
        <v>1986</v>
      </c>
      <c r="B1124" t="s">
        <v>1987</v>
      </c>
      <c r="C1124" t="s">
        <v>2025</v>
      </c>
      <c r="D1124" s="6" t="str">
        <f t="shared" si="17"/>
        <v>PROT:AFU77336.1</v>
      </c>
      <c r="E1124" t="s">
        <v>2024</v>
      </c>
      <c r="F1124" t="s">
        <v>81</v>
      </c>
      <c r="G1124">
        <f>IF(ISERROR(MATCH(AllProtiens!F1124,Genomes!$C:$C,0)),0,1)</f>
        <v>0</v>
      </c>
      <c r="H1124">
        <f>IF(ISERROR(MATCH(AllProtiens!A1124,CoreProteinGroups!B:B,0)),0,1)</f>
        <v>1</v>
      </c>
      <c r="J1124" s="6" t="s">
        <v>82</v>
      </c>
    </row>
    <row r="1125" spans="1:10" x14ac:dyDescent="0.2">
      <c r="A1125" s="1" t="s">
        <v>1986</v>
      </c>
      <c r="B1125" t="s">
        <v>1987</v>
      </c>
      <c r="C1125" t="s">
        <v>2026</v>
      </c>
      <c r="D1125" s="6" t="str">
        <f t="shared" si="17"/>
        <v>PROT:AAF17954.1</v>
      </c>
      <c r="E1125" t="s">
        <v>2027</v>
      </c>
      <c r="F1125" t="s">
        <v>86</v>
      </c>
      <c r="G1125">
        <f>IF(ISERROR(MATCH(AllProtiens!F1125,Genomes!$C:$C,0)),0,1)</f>
        <v>1</v>
      </c>
      <c r="H1125">
        <f>IF(ISERROR(MATCH(AllProtiens!A1125,CoreProteinGroups!B:B,0)),0,1)</f>
        <v>1</v>
      </c>
      <c r="J1125" s="6" t="s">
        <v>87</v>
      </c>
    </row>
    <row r="1126" spans="1:10" x14ac:dyDescent="0.2">
      <c r="A1126" s="1" t="s">
        <v>1986</v>
      </c>
      <c r="B1126" t="s">
        <v>1987</v>
      </c>
      <c r="C1126" t="s">
        <v>2028</v>
      </c>
      <c r="D1126" s="6" t="str">
        <f t="shared" si="17"/>
        <v>PROT:AAC55213.1</v>
      </c>
      <c r="E1126" t="s">
        <v>2029</v>
      </c>
      <c r="F1126" t="s">
        <v>90</v>
      </c>
      <c r="G1126">
        <f>IF(ISERROR(MATCH(AllProtiens!F1126,Genomes!$C:$C,0)),0,1)</f>
        <v>1</v>
      </c>
      <c r="H1126">
        <f>IF(ISERROR(MATCH(AllProtiens!A1126,CoreProteinGroups!B:B,0)),0,1)</f>
        <v>1</v>
      </c>
      <c r="J1126" s="6" t="s">
        <v>91</v>
      </c>
    </row>
    <row r="1127" spans="1:10" x14ac:dyDescent="0.2">
      <c r="A1127" s="1" t="s">
        <v>1986</v>
      </c>
      <c r="B1127" t="s">
        <v>1987</v>
      </c>
      <c r="C1127" t="s">
        <v>2030</v>
      </c>
      <c r="D1127" s="6" t="str">
        <f t="shared" si="17"/>
        <v>PROT:AYN64668.1</v>
      </c>
      <c r="E1127" t="s">
        <v>2031</v>
      </c>
      <c r="F1127" t="s">
        <v>94</v>
      </c>
      <c r="G1127">
        <f>IF(ISERROR(MATCH(AllProtiens!F1127,Genomes!$C:$C,0)),0,1)</f>
        <v>1</v>
      </c>
      <c r="H1127">
        <f>IF(ISERROR(MATCH(AllProtiens!A1127,CoreProteinGroups!B:B,0)),0,1)</f>
        <v>1</v>
      </c>
      <c r="J1127" s="6" t="s">
        <v>95</v>
      </c>
    </row>
    <row r="1128" spans="1:10" x14ac:dyDescent="0.2">
      <c r="A1128" s="1" t="s">
        <v>1986</v>
      </c>
      <c r="B1128" t="s">
        <v>1987</v>
      </c>
      <c r="C1128" t="s">
        <v>2032</v>
      </c>
      <c r="D1128" s="6" t="str">
        <f t="shared" si="17"/>
        <v>PROT:AXN74895.1</v>
      </c>
      <c r="E1128" t="s">
        <v>2001</v>
      </c>
      <c r="F1128" t="s">
        <v>97</v>
      </c>
      <c r="G1128">
        <f>IF(ISERROR(MATCH(AllProtiens!F1128,Genomes!$C:$C,0)),0,1)</f>
        <v>1</v>
      </c>
      <c r="H1128">
        <f>IF(ISERROR(MATCH(AllProtiens!A1128,CoreProteinGroups!B:B,0)),0,1)</f>
        <v>1</v>
      </c>
      <c r="J1128" s="6" t="s">
        <v>98</v>
      </c>
    </row>
    <row r="1129" spans="1:10" x14ac:dyDescent="0.2">
      <c r="A1129" s="1" t="s">
        <v>1986</v>
      </c>
      <c r="B1129" t="s">
        <v>1987</v>
      </c>
      <c r="C1129" t="s">
        <v>2033</v>
      </c>
      <c r="D1129" s="6" t="str">
        <f t="shared" si="17"/>
        <v>PROT:ABH08209.1</v>
      </c>
      <c r="E1129" t="s">
        <v>2034</v>
      </c>
      <c r="F1129" t="s">
        <v>101</v>
      </c>
      <c r="G1129">
        <f>IF(ISERROR(MATCH(AllProtiens!F1129,Genomes!$C:$C,0)),0,1)</f>
        <v>1</v>
      </c>
      <c r="H1129">
        <f>IF(ISERROR(MATCH(AllProtiens!A1129,CoreProteinGroups!B:B,0)),0,1)</f>
        <v>1</v>
      </c>
      <c r="J1129" s="6" t="s">
        <v>102</v>
      </c>
    </row>
    <row r="1130" spans="1:10" x14ac:dyDescent="0.2">
      <c r="A1130" s="1" t="s">
        <v>1986</v>
      </c>
      <c r="B1130" t="s">
        <v>1987</v>
      </c>
      <c r="C1130" t="s">
        <v>2035</v>
      </c>
      <c r="D1130" s="6" t="str">
        <f t="shared" si="17"/>
        <v>PROT:AAL73807.1</v>
      </c>
      <c r="E1130" t="s">
        <v>2020</v>
      </c>
      <c r="F1130" t="s">
        <v>109</v>
      </c>
      <c r="G1130">
        <f>IF(ISERROR(MATCH(AllProtiens!F1130,Genomes!$C:$C,0)),0,1)</f>
        <v>1</v>
      </c>
      <c r="H1130">
        <f>IF(ISERROR(MATCH(AllProtiens!A1130,CoreProteinGroups!B:B,0)),0,1)</f>
        <v>1</v>
      </c>
      <c r="J1130" s="6" t="s">
        <v>110</v>
      </c>
    </row>
    <row r="1131" spans="1:10" x14ac:dyDescent="0.2">
      <c r="A1131" s="1" t="s">
        <v>1986</v>
      </c>
      <c r="B1131" t="s">
        <v>1987</v>
      </c>
      <c r="C1131" t="s">
        <v>2036</v>
      </c>
      <c r="D1131" s="6" t="str">
        <f t="shared" si="17"/>
        <v>PROT:AAG37572.1</v>
      </c>
      <c r="E1131" t="s">
        <v>2037</v>
      </c>
      <c r="F1131" t="s">
        <v>105</v>
      </c>
      <c r="G1131">
        <f>IF(ISERROR(MATCH(AllProtiens!F1131,Genomes!$C:$C,0)),0,1)</f>
        <v>1</v>
      </c>
      <c r="H1131">
        <f>IF(ISERROR(MATCH(AllProtiens!A1131,CoreProteinGroups!B:B,0)),0,1)</f>
        <v>1</v>
      </c>
      <c r="J1131" s="6" t="s">
        <v>106</v>
      </c>
    </row>
    <row r="1132" spans="1:10" x14ac:dyDescent="0.2">
      <c r="A1132" s="1" t="s">
        <v>1986</v>
      </c>
      <c r="B1132" t="s">
        <v>1987</v>
      </c>
      <c r="C1132" t="s">
        <v>2038</v>
      </c>
      <c r="D1132" s="6" t="str">
        <f t="shared" si="17"/>
        <v>PROT:AAM13556.1</v>
      </c>
      <c r="E1132" t="s">
        <v>2039</v>
      </c>
      <c r="F1132" t="s">
        <v>113</v>
      </c>
      <c r="G1132">
        <f>IF(ISERROR(MATCH(AllProtiens!F1132,Genomes!$C:$C,0)),0,1)</f>
        <v>1</v>
      </c>
      <c r="H1132">
        <f>IF(ISERROR(MATCH(AllProtiens!A1132,CoreProteinGroups!B:B,0)),0,1)</f>
        <v>1</v>
      </c>
      <c r="J1132" s="6" t="s">
        <v>114</v>
      </c>
    </row>
    <row r="1133" spans="1:10" x14ac:dyDescent="0.2">
      <c r="A1133" s="1" t="s">
        <v>1986</v>
      </c>
      <c r="B1133" t="s">
        <v>1987</v>
      </c>
      <c r="C1133" t="s">
        <v>2040</v>
      </c>
      <c r="D1133" s="6" t="str">
        <f t="shared" si="17"/>
        <v>PROT:AAM92390.1</v>
      </c>
      <c r="E1133" t="s">
        <v>2041</v>
      </c>
      <c r="F1133" t="s">
        <v>117</v>
      </c>
      <c r="G1133">
        <f>IF(ISERROR(MATCH(AllProtiens!F1133,Genomes!$C:$C,0)),0,1)</f>
        <v>1</v>
      </c>
      <c r="H1133">
        <f>IF(ISERROR(MATCH(AllProtiens!A1133,CoreProteinGroups!B:B,0)),0,1)</f>
        <v>1</v>
      </c>
      <c r="J1133" s="6" t="s">
        <v>118</v>
      </c>
    </row>
    <row r="1134" spans="1:10" x14ac:dyDescent="0.2">
      <c r="A1134" s="1" t="s">
        <v>1986</v>
      </c>
      <c r="B1134" t="s">
        <v>1987</v>
      </c>
      <c r="C1134" t="s">
        <v>2042</v>
      </c>
      <c r="D1134" s="6" t="str">
        <f t="shared" si="17"/>
        <v>PROT:AFH54649.1</v>
      </c>
      <c r="E1134" t="s">
        <v>2043</v>
      </c>
      <c r="F1134" t="s">
        <v>120</v>
      </c>
      <c r="G1134">
        <f>IF(ISERROR(MATCH(AllProtiens!F1134,Genomes!$C:$C,0)),0,1)</f>
        <v>1</v>
      </c>
      <c r="H1134">
        <f>IF(ISERROR(MATCH(AllProtiens!A1134,CoreProteinGroups!B:B,0)),0,1)</f>
        <v>1</v>
      </c>
      <c r="J1134" s="6" t="s">
        <v>121</v>
      </c>
    </row>
    <row r="1135" spans="1:10" x14ac:dyDescent="0.2">
      <c r="A1135" s="1" t="s">
        <v>1986</v>
      </c>
      <c r="B1135" t="s">
        <v>1987</v>
      </c>
      <c r="C1135" t="s">
        <v>2044</v>
      </c>
      <c r="D1135" s="6" t="str">
        <f t="shared" si="17"/>
        <v>PROT:AAL40552.1</v>
      </c>
      <c r="E1135" t="s">
        <v>2045</v>
      </c>
      <c r="F1135" t="s">
        <v>124</v>
      </c>
      <c r="G1135">
        <f>IF(ISERROR(MATCH(AllProtiens!F1135,Genomes!$C:$C,0)),0,1)</f>
        <v>1</v>
      </c>
      <c r="H1135">
        <f>IF(ISERROR(MATCH(AllProtiens!A1135,CoreProteinGroups!B:B,0)),0,1)</f>
        <v>1</v>
      </c>
      <c r="J1135" s="6" t="s">
        <v>125</v>
      </c>
    </row>
    <row r="1136" spans="1:10" x14ac:dyDescent="0.2">
      <c r="A1136" s="1" t="s">
        <v>1986</v>
      </c>
      <c r="B1136" t="s">
        <v>1987</v>
      </c>
      <c r="C1136" t="s">
        <v>2046</v>
      </c>
      <c r="D1136" s="6" t="str">
        <f t="shared" si="17"/>
        <v>PROT:AAX09189.1</v>
      </c>
      <c r="E1136" t="s">
        <v>2047</v>
      </c>
      <c r="F1136" t="s">
        <v>128</v>
      </c>
      <c r="G1136">
        <f>IF(ISERROR(MATCH(AllProtiens!F1136,Genomes!$C:$C,0)),0,1)</f>
        <v>1</v>
      </c>
      <c r="H1136">
        <f>IF(ISERROR(MATCH(AllProtiens!A1136,CoreProteinGroups!B:B,0)),0,1)</f>
        <v>1</v>
      </c>
      <c r="J1136" s="6" t="s">
        <v>129</v>
      </c>
    </row>
    <row r="1137" spans="1:10" x14ac:dyDescent="0.2">
      <c r="A1137" s="1" t="s">
        <v>1986</v>
      </c>
      <c r="B1137" t="s">
        <v>1987</v>
      </c>
      <c r="C1137" t="s">
        <v>2048</v>
      </c>
      <c r="D1137" s="6" t="str">
        <f t="shared" si="17"/>
        <v>PROT:AKJ93731.1</v>
      </c>
      <c r="E1137" t="s">
        <v>1987</v>
      </c>
      <c r="F1137" t="s">
        <v>131</v>
      </c>
      <c r="G1137">
        <f>IF(ISERROR(MATCH(AllProtiens!F1137,Genomes!$C:$C,0)),0,1)</f>
        <v>1</v>
      </c>
      <c r="H1137">
        <f>IF(ISERROR(MATCH(AllProtiens!A1137,CoreProteinGroups!B:B,0)),0,1)</f>
        <v>1</v>
      </c>
      <c r="J1137" s="6" t="s">
        <v>132</v>
      </c>
    </row>
    <row r="1138" spans="1:10" x14ac:dyDescent="0.2">
      <c r="A1138" s="1" t="s">
        <v>1986</v>
      </c>
      <c r="B1138" t="s">
        <v>1987</v>
      </c>
      <c r="C1138" t="s">
        <v>2049</v>
      </c>
      <c r="D1138" s="6" t="str">
        <f t="shared" si="17"/>
        <v>PROT:AOP31580.1</v>
      </c>
      <c r="E1138" t="s">
        <v>2050</v>
      </c>
      <c r="F1138" t="s">
        <v>134</v>
      </c>
      <c r="G1138">
        <f>IF(ISERROR(MATCH(AllProtiens!F1138,Genomes!$C:$C,0)),0,1)</f>
        <v>1</v>
      </c>
      <c r="H1138">
        <f>IF(ISERROR(MATCH(AllProtiens!A1138,CoreProteinGroups!B:B,0)),0,1)</f>
        <v>1</v>
      </c>
      <c r="J1138" s="6" t="s">
        <v>135</v>
      </c>
    </row>
    <row r="1139" spans="1:10" x14ac:dyDescent="0.2">
      <c r="A1139" s="1" t="s">
        <v>1986</v>
      </c>
      <c r="B1139" t="s">
        <v>1987</v>
      </c>
      <c r="C1139" t="s">
        <v>2051</v>
      </c>
      <c r="D1139" s="6" t="str">
        <f t="shared" si="17"/>
        <v>PROT:ABD97670.1</v>
      </c>
      <c r="E1139" t="s">
        <v>2052</v>
      </c>
      <c r="F1139" t="s">
        <v>137</v>
      </c>
      <c r="G1139">
        <f>IF(ISERROR(MATCH(AllProtiens!F1139,Genomes!$C:$C,0)),0,1)</f>
        <v>1</v>
      </c>
      <c r="H1139">
        <f>IF(ISERROR(MATCH(AllProtiens!A1139,CoreProteinGroups!B:B,0)),0,1)</f>
        <v>1</v>
      </c>
      <c r="J1139" s="6" t="s">
        <v>138</v>
      </c>
    </row>
    <row r="1140" spans="1:10" x14ac:dyDescent="0.2">
      <c r="A1140" s="1" t="s">
        <v>1986</v>
      </c>
      <c r="B1140" t="s">
        <v>1987</v>
      </c>
      <c r="C1140" t="s">
        <v>2053</v>
      </c>
      <c r="D1140" s="6" t="str">
        <f t="shared" si="17"/>
        <v>PROT:AAO89381.1</v>
      </c>
      <c r="E1140" t="s">
        <v>1987</v>
      </c>
      <c r="F1140" t="s">
        <v>140</v>
      </c>
      <c r="G1140">
        <f>IF(ISERROR(MATCH(AllProtiens!F1140,Genomes!$C:$C,0)),0,1)</f>
        <v>1</v>
      </c>
      <c r="H1140">
        <f>IF(ISERROR(MATCH(AllProtiens!A1140,CoreProteinGroups!B:B,0)),0,1)</f>
        <v>1</v>
      </c>
      <c r="J1140" s="6" t="s">
        <v>141</v>
      </c>
    </row>
    <row r="1141" spans="1:10" x14ac:dyDescent="0.2">
      <c r="A1141" s="1" t="s">
        <v>1986</v>
      </c>
      <c r="B1141" t="s">
        <v>1987</v>
      </c>
      <c r="C1141" t="s">
        <v>2054</v>
      </c>
      <c r="D1141" s="6" t="str">
        <f t="shared" si="17"/>
        <v>PROT:CAA49028.1</v>
      </c>
      <c r="E1141" t="s">
        <v>2055</v>
      </c>
      <c r="F1141" t="s">
        <v>144</v>
      </c>
      <c r="G1141">
        <f>IF(ISERROR(MATCH(AllProtiens!F1141,Genomes!$C:$C,0)),0,1)</f>
        <v>1</v>
      </c>
      <c r="H1141">
        <f>IF(ISERROR(MATCH(AllProtiens!A1141,CoreProteinGroups!B:B,0)),0,1)</f>
        <v>1</v>
      </c>
      <c r="J1141" s="6" t="s">
        <v>145</v>
      </c>
    </row>
    <row r="1142" spans="1:10" x14ac:dyDescent="0.2">
      <c r="A1142" s="1" t="s">
        <v>1986</v>
      </c>
      <c r="B1142" t="s">
        <v>1987</v>
      </c>
      <c r="C1142" t="s">
        <v>2056</v>
      </c>
      <c r="D1142" s="6" t="str">
        <f t="shared" si="17"/>
        <v>PROT:CAB54687.1</v>
      </c>
      <c r="E1142" t="s">
        <v>2057</v>
      </c>
      <c r="F1142" t="s">
        <v>148</v>
      </c>
      <c r="G1142">
        <f>IF(ISERROR(MATCH(AllProtiens!F1142,Genomes!$C:$C,0)),0,1)</f>
        <v>1</v>
      </c>
      <c r="H1142">
        <f>IF(ISERROR(MATCH(AllProtiens!A1142,CoreProteinGroups!B:B,0)),0,1)</f>
        <v>1</v>
      </c>
      <c r="J1142" s="6" t="s">
        <v>149</v>
      </c>
    </row>
    <row r="1143" spans="1:10" x14ac:dyDescent="0.2">
      <c r="A1143" s="1" t="s">
        <v>1986</v>
      </c>
      <c r="B1143" t="s">
        <v>1987</v>
      </c>
      <c r="C1143" t="s">
        <v>2058</v>
      </c>
      <c r="D1143" s="6" t="str">
        <f t="shared" si="17"/>
        <v>PROT:AOP31791.1</v>
      </c>
      <c r="E1143" t="s">
        <v>2050</v>
      </c>
      <c r="F1143" t="s">
        <v>151</v>
      </c>
      <c r="G1143">
        <f>IF(ISERROR(MATCH(AllProtiens!F1143,Genomes!$C:$C,0)),0,1)</f>
        <v>1</v>
      </c>
      <c r="H1143">
        <f>IF(ISERROR(MATCH(AllProtiens!A1143,CoreProteinGroups!B:B,0)),0,1)</f>
        <v>1</v>
      </c>
      <c r="J1143" s="6" t="s">
        <v>152</v>
      </c>
    </row>
    <row r="1144" spans="1:10" x14ac:dyDescent="0.2">
      <c r="A1144" s="1" t="s">
        <v>1986</v>
      </c>
      <c r="B1144" t="s">
        <v>1987</v>
      </c>
      <c r="C1144" t="s">
        <v>2059</v>
      </c>
      <c r="D1144" s="6" t="str">
        <f t="shared" si="17"/>
        <v>PROT:ASC55580.1</v>
      </c>
      <c r="E1144" t="s">
        <v>2060</v>
      </c>
      <c r="F1144" t="s">
        <v>155</v>
      </c>
      <c r="G1144">
        <f>IF(ISERROR(MATCH(AllProtiens!F1144,Genomes!$C:$C,0)),0,1)</f>
        <v>1</v>
      </c>
      <c r="H1144">
        <f>IF(ISERROR(MATCH(AllProtiens!A1144,CoreProteinGroups!B:B,0)),0,1)</f>
        <v>1</v>
      </c>
      <c r="J1144" s="6" t="s">
        <v>156</v>
      </c>
    </row>
    <row r="1145" spans="1:10" x14ac:dyDescent="0.2">
      <c r="A1145" s="1" t="s">
        <v>1986</v>
      </c>
      <c r="B1145" t="s">
        <v>1987</v>
      </c>
      <c r="C1145" t="s">
        <v>2061</v>
      </c>
      <c r="D1145" s="6" t="str">
        <f t="shared" si="17"/>
        <v>PROT:AAR98417.1</v>
      </c>
      <c r="E1145" t="s">
        <v>2062</v>
      </c>
      <c r="F1145" t="s">
        <v>159</v>
      </c>
      <c r="G1145">
        <f>IF(ISERROR(MATCH(AllProtiens!F1145,Genomes!$C:$C,0)),0,1)</f>
        <v>1</v>
      </c>
      <c r="H1145">
        <f>IF(ISERROR(MATCH(AllProtiens!A1145,CoreProteinGroups!B:B,0)),0,1)</f>
        <v>1</v>
      </c>
      <c r="J1145" s="6" t="s">
        <v>160</v>
      </c>
    </row>
    <row r="1146" spans="1:10" x14ac:dyDescent="0.2">
      <c r="A1146" s="1" t="s">
        <v>1986</v>
      </c>
      <c r="B1146" t="s">
        <v>1987</v>
      </c>
      <c r="C1146" t="s">
        <v>2063</v>
      </c>
      <c r="D1146" s="6" t="str">
        <f t="shared" si="17"/>
        <v>PROT:AAR98285.1</v>
      </c>
      <c r="E1146" t="s">
        <v>2062</v>
      </c>
      <c r="F1146" t="s">
        <v>162</v>
      </c>
      <c r="G1146">
        <f>IF(ISERROR(MATCH(AllProtiens!F1146,Genomes!$C:$C,0)),0,1)</f>
        <v>1</v>
      </c>
      <c r="H1146">
        <f>IF(ISERROR(MATCH(AllProtiens!A1146,CoreProteinGroups!B:B,0)),0,1)</f>
        <v>1</v>
      </c>
      <c r="J1146" s="6" t="s">
        <v>163</v>
      </c>
    </row>
    <row r="1147" spans="1:10" x14ac:dyDescent="0.2">
      <c r="A1147" s="1" t="s">
        <v>1986</v>
      </c>
      <c r="B1147" t="s">
        <v>1987</v>
      </c>
      <c r="C1147" t="s">
        <v>2064</v>
      </c>
      <c r="D1147" s="6" t="str">
        <f t="shared" si="17"/>
        <v>PROT:ABA00577.1</v>
      </c>
      <c r="E1147" t="s">
        <v>2065</v>
      </c>
      <c r="F1147" t="s">
        <v>162</v>
      </c>
      <c r="G1147">
        <f>IF(ISERROR(MATCH(AllProtiens!F1147,Genomes!$C:$C,0)),0,1)</f>
        <v>1</v>
      </c>
      <c r="H1147">
        <f>IF(ISERROR(MATCH(AllProtiens!A1147,CoreProteinGroups!B:B,0)),0,1)</f>
        <v>1</v>
      </c>
      <c r="J1147" s="6" t="s">
        <v>163</v>
      </c>
    </row>
    <row r="1148" spans="1:10" x14ac:dyDescent="0.2">
      <c r="A1148" s="1" t="s">
        <v>1986</v>
      </c>
      <c r="B1148" t="s">
        <v>1987</v>
      </c>
      <c r="C1148" t="s">
        <v>2066</v>
      </c>
      <c r="D1148" s="6" t="str">
        <f t="shared" si="17"/>
        <v>PROT:AIZ77311.1</v>
      </c>
      <c r="E1148" t="s">
        <v>2067</v>
      </c>
      <c r="F1148" t="s">
        <v>167</v>
      </c>
      <c r="G1148">
        <f>IF(ISERROR(MATCH(AllProtiens!F1148,Genomes!$C:$C,0)),0,1)</f>
        <v>1</v>
      </c>
      <c r="H1148">
        <f>IF(ISERROR(MATCH(AllProtiens!A1148,CoreProteinGroups!B:B,0)),0,1)</f>
        <v>1</v>
      </c>
      <c r="J1148" s="6" t="s">
        <v>168</v>
      </c>
    </row>
    <row r="1149" spans="1:10" x14ac:dyDescent="0.2">
      <c r="A1149" s="1" t="s">
        <v>1986</v>
      </c>
      <c r="B1149" t="s">
        <v>1987</v>
      </c>
      <c r="C1149" t="s">
        <v>2068</v>
      </c>
      <c r="D1149" s="6" t="str">
        <f t="shared" si="17"/>
        <v>PROT:ADC53961.1</v>
      </c>
      <c r="E1149" t="s">
        <v>2065</v>
      </c>
      <c r="F1149" t="s">
        <v>170</v>
      </c>
      <c r="G1149">
        <f>IF(ISERROR(MATCH(AllProtiens!F1149,Genomes!$C:$C,0)),0,1)</f>
        <v>1</v>
      </c>
      <c r="H1149">
        <f>IF(ISERROR(MATCH(AllProtiens!A1149,CoreProteinGroups!B:B,0)),0,1)</f>
        <v>1</v>
      </c>
      <c r="J1149" s="6" t="s">
        <v>171</v>
      </c>
    </row>
    <row r="1150" spans="1:10" x14ac:dyDescent="0.2">
      <c r="A1150" s="1" t="s">
        <v>1986</v>
      </c>
      <c r="B1150" t="s">
        <v>1987</v>
      </c>
      <c r="C1150" t="s">
        <v>2069</v>
      </c>
      <c r="D1150" s="6" t="str">
        <f t="shared" si="17"/>
        <v>PROT:AAL69811.1</v>
      </c>
      <c r="E1150" t="s">
        <v>2070</v>
      </c>
      <c r="F1150" t="s">
        <v>174</v>
      </c>
      <c r="G1150">
        <f>IF(ISERROR(MATCH(AllProtiens!F1150,Genomes!$C:$C,0)),0,1)</f>
        <v>1</v>
      </c>
      <c r="H1150">
        <f>IF(ISERROR(MATCH(AllProtiens!A1150,CoreProteinGroups!B:B,0)),0,1)</f>
        <v>1</v>
      </c>
      <c r="J1150" s="6" t="s">
        <v>175</v>
      </c>
    </row>
    <row r="1151" spans="1:10" x14ac:dyDescent="0.2">
      <c r="A1151" s="1" t="s">
        <v>1986</v>
      </c>
      <c r="B1151" t="s">
        <v>1987</v>
      </c>
      <c r="C1151" t="s">
        <v>2071</v>
      </c>
      <c r="D1151" s="6" t="str">
        <f t="shared" si="17"/>
        <v>PROT:CAC21313.1</v>
      </c>
      <c r="E1151" t="s">
        <v>2072</v>
      </c>
      <c r="F1151" t="s">
        <v>178</v>
      </c>
      <c r="G1151">
        <f>IF(ISERROR(MATCH(AllProtiens!F1151,Genomes!$C:$C,0)),0,1)</f>
        <v>1</v>
      </c>
      <c r="H1151">
        <f>IF(ISERROR(MATCH(AllProtiens!A1151,CoreProteinGroups!B:B,0)),0,1)</f>
        <v>1</v>
      </c>
      <c r="J1151" s="6" t="s">
        <v>179</v>
      </c>
    </row>
    <row r="1152" spans="1:10" x14ac:dyDescent="0.2">
      <c r="A1152" s="1" t="s">
        <v>1986</v>
      </c>
      <c r="B1152" t="s">
        <v>1987</v>
      </c>
      <c r="C1152" t="s">
        <v>2073</v>
      </c>
      <c r="D1152" s="6" t="str">
        <f t="shared" si="17"/>
        <v>PROT:AAR07431.1</v>
      </c>
      <c r="E1152" t="s">
        <v>2074</v>
      </c>
      <c r="F1152" t="s">
        <v>182</v>
      </c>
      <c r="G1152">
        <f>IF(ISERROR(MATCH(AllProtiens!F1152,Genomes!$C:$C,0)),0,1)</f>
        <v>1</v>
      </c>
      <c r="H1152">
        <f>IF(ISERROR(MATCH(AllProtiens!A1152,CoreProteinGroups!B:B,0)),0,1)</f>
        <v>1</v>
      </c>
      <c r="J1152" s="6" t="s">
        <v>183</v>
      </c>
    </row>
    <row r="1153" spans="1:10" x14ac:dyDescent="0.2">
      <c r="A1153" s="1" t="s">
        <v>1986</v>
      </c>
      <c r="B1153" t="s">
        <v>1987</v>
      </c>
      <c r="C1153" t="s">
        <v>2075</v>
      </c>
      <c r="D1153" s="6" t="str">
        <f t="shared" si="17"/>
        <v>PROT:AAC97801.1</v>
      </c>
      <c r="E1153" t="s">
        <v>2076</v>
      </c>
      <c r="F1153" t="s">
        <v>186</v>
      </c>
      <c r="G1153">
        <f>IF(ISERROR(MATCH(AllProtiens!F1153,Genomes!$C:$C,0)),0,1)</f>
        <v>1</v>
      </c>
      <c r="H1153">
        <f>IF(ISERROR(MATCH(AllProtiens!A1153,CoreProteinGroups!B:B,0)),0,1)</f>
        <v>1</v>
      </c>
      <c r="J1153" s="6" t="s">
        <v>187</v>
      </c>
    </row>
    <row r="1154" spans="1:10" x14ac:dyDescent="0.2">
      <c r="A1154" s="1" t="s">
        <v>1986</v>
      </c>
      <c r="B1154" t="s">
        <v>1987</v>
      </c>
      <c r="C1154" t="s">
        <v>2077</v>
      </c>
      <c r="D1154" s="6" t="str">
        <f t="shared" ref="D1154:D1217" si="18">HYPERLINK(_xlfn.CONCAT("https://www.ncbi.nlm.nih.gov/protein/",C1154),_xlfn.CONCAT("PROT:",C1154))</f>
        <v>PROT:BAO49510.1</v>
      </c>
      <c r="E1154" t="s">
        <v>2078</v>
      </c>
      <c r="F1154" t="s">
        <v>190</v>
      </c>
      <c r="G1154">
        <f>IF(ISERROR(MATCH(AllProtiens!F1154,Genomes!$C:$C,0)),0,1)</f>
        <v>1</v>
      </c>
      <c r="H1154">
        <f>IF(ISERROR(MATCH(AllProtiens!A1154,CoreProteinGroups!B:B,0)),0,1)</f>
        <v>1</v>
      </c>
      <c r="J1154" s="6" t="s">
        <v>191</v>
      </c>
    </row>
    <row r="1155" spans="1:10" x14ac:dyDescent="0.2">
      <c r="A1155" s="1" t="s">
        <v>1986</v>
      </c>
      <c r="B1155" t="s">
        <v>1987</v>
      </c>
      <c r="C1155" t="s">
        <v>2079</v>
      </c>
      <c r="D1155" s="6" t="str">
        <f t="shared" si="18"/>
        <v>PROT:CCU55375.1</v>
      </c>
      <c r="E1155" t="s">
        <v>2080</v>
      </c>
      <c r="F1155" t="s">
        <v>193</v>
      </c>
      <c r="G1155">
        <f>IF(ISERROR(MATCH(AllProtiens!F1155,Genomes!$C:$C,0)),0,1)</f>
        <v>1</v>
      </c>
      <c r="H1155">
        <f>IF(ISERROR(MATCH(AllProtiens!A1155,CoreProteinGroups!B:B,0)),0,1)</f>
        <v>1</v>
      </c>
      <c r="J1155" s="6" t="s">
        <v>194</v>
      </c>
    </row>
    <row r="1156" spans="1:10" x14ac:dyDescent="0.2">
      <c r="A1156" s="1" t="s">
        <v>1986</v>
      </c>
      <c r="B1156" t="s">
        <v>1987</v>
      </c>
      <c r="C1156" t="s">
        <v>2081</v>
      </c>
      <c r="D1156" s="6" t="str">
        <f t="shared" si="18"/>
        <v>PROT:AAG02760.1</v>
      </c>
      <c r="E1156" t="s">
        <v>2082</v>
      </c>
      <c r="F1156" t="s">
        <v>197</v>
      </c>
      <c r="G1156">
        <f>IF(ISERROR(MATCH(AllProtiens!F1156,Genomes!$C:$C,0)),0,1)</f>
        <v>1</v>
      </c>
      <c r="H1156">
        <f>IF(ISERROR(MATCH(AllProtiens!A1156,CoreProteinGroups!B:B,0)),0,1)</f>
        <v>1</v>
      </c>
      <c r="J1156" s="6" t="s">
        <v>198</v>
      </c>
    </row>
    <row r="1157" spans="1:10" x14ac:dyDescent="0.2">
      <c r="A1157" s="1" t="s">
        <v>1986</v>
      </c>
      <c r="B1157" t="s">
        <v>1987</v>
      </c>
      <c r="C1157" t="s">
        <v>2083</v>
      </c>
      <c r="D1157" s="6" t="str">
        <f t="shared" si="18"/>
        <v>PROT:CCU55665.1</v>
      </c>
      <c r="E1157" t="s">
        <v>2080</v>
      </c>
      <c r="F1157" t="s">
        <v>200</v>
      </c>
      <c r="G1157">
        <f>IF(ISERROR(MATCH(AllProtiens!F1157,Genomes!$C:$C,0)),0,1)</f>
        <v>1</v>
      </c>
      <c r="H1157">
        <f>IF(ISERROR(MATCH(AllProtiens!A1157,CoreProteinGroups!B:B,0)),0,1)</f>
        <v>1</v>
      </c>
      <c r="J1157" s="6" t="s">
        <v>201</v>
      </c>
    </row>
    <row r="1158" spans="1:10" x14ac:dyDescent="0.2">
      <c r="A1158" s="1" t="s">
        <v>1986</v>
      </c>
      <c r="B1158" t="s">
        <v>1987</v>
      </c>
      <c r="C1158" t="s">
        <v>2084</v>
      </c>
      <c r="D1158" s="6" t="str">
        <f t="shared" si="18"/>
        <v>PROT:CCU55975.1</v>
      </c>
      <c r="E1158" t="s">
        <v>2080</v>
      </c>
      <c r="F1158" t="s">
        <v>203</v>
      </c>
      <c r="G1158">
        <f>IF(ISERROR(MATCH(AllProtiens!F1158,Genomes!$C:$C,0)),0,1)</f>
        <v>1</v>
      </c>
      <c r="H1158">
        <f>IF(ISERROR(MATCH(AllProtiens!A1158,CoreProteinGroups!B:B,0)),0,1)</f>
        <v>1</v>
      </c>
      <c r="J1158" s="6" t="s">
        <v>204</v>
      </c>
    </row>
    <row r="1159" spans="1:10" x14ac:dyDescent="0.2">
      <c r="A1159" s="1" t="s">
        <v>1986</v>
      </c>
      <c r="B1159" t="s">
        <v>1987</v>
      </c>
      <c r="C1159" t="s">
        <v>2085</v>
      </c>
      <c r="D1159" s="6" t="str">
        <f t="shared" si="18"/>
        <v>PROT:CCU56277.1</v>
      </c>
      <c r="E1159" t="s">
        <v>2080</v>
      </c>
      <c r="F1159" t="s">
        <v>206</v>
      </c>
      <c r="G1159">
        <f>IF(ISERROR(MATCH(AllProtiens!F1159,Genomes!$C:$C,0)),0,1)</f>
        <v>1</v>
      </c>
      <c r="H1159">
        <f>IF(ISERROR(MATCH(AllProtiens!A1159,CoreProteinGroups!B:B,0)),0,1)</f>
        <v>1</v>
      </c>
      <c r="J1159" s="6" t="s">
        <v>207</v>
      </c>
    </row>
    <row r="1160" spans="1:10" x14ac:dyDescent="0.2">
      <c r="A1160" s="1" t="s">
        <v>1986</v>
      </c>
      <c r="B1160" t="s">
        <v>1987</v>
      </c>
      <c r="C1160" t="s">
        <v>2086</v>
      </c>
      <c r="D1160" s="6" t="str">
        <f t="shared" si="18"/>
        <v>PROT:YP_001293266.1</v>
      </c>
      <c r="E1160" t="s">
        <v>2087</v>
      </c>
      <c r="F1160" t="s">
        <v>214</v>
      </c>
      <c r="G1160">
        <f>IF(ISERROR(MATCH(AllProtiens!F1160,Genomes!$C:$C,0)),0,1)</f>
        <v>1</v>
      </c>
      <c r="H1160">
        <f>IF(ISERROR(MATCH(AllProtiens!A1160,CoreProteinGroups!B:B,0)),0,1)</f>
        <v>1</v>
      </c>
      <c r="J1160" s="6" t="s">
        <v>215</v>
      </c>
    </row>
    <row r="1161" spans="1:10" x14ac:dyDescent="0.2">
      <c r="A1161" s="1" t="s">
        <v>1986</v>
      </c>
      <c r="B1161" t="s">
        <v>1987</v>
      </c>
      <c r="C1161" t="s">
        <v>2088</v>
      </c>
      <c r="D1161" s="6" t="str">
        <f t="shared" si="18"/>
        <v>PROT:NP_659647.1</v>
      </c>
      <c r="E1161" t="s">
        <v>2089</v>
      </c>
      <c r="F1161" t="s">
        <v>210</v>
      </c>
      <c r="G1161">
        <f>IF(ISERROR(MATCH(AllProtiens!F1161,Genomes!$C:$C,0)),0,1)</f>
        <v>1</v>
      </c>
      <c r="H1161">
        <f>IF(ISERROR(MATCH(AllProtiens!A1161,CoreProteinGroups!B:B,0)),0,1)</f>
        <v>1</v>
      </c>
      <c r="J1161" s="6" t="s">
        <v>211</v>
      </c>
    </row>
    <row r="1162" spans="1:10" x14ac:dyDescent="0.2">
      <c r="A1162" s="1" t="s">
        <v>2090</v>
      </c>
      <c r="B1162" t="s">
        <v>2091</v>
      </c>
      <c r="C1162" t="s">
        <v>2092</v>
      </c>
      <c r="D1162" s="6" t="str">
        <f t="shared" si="18"/>
        <v>PROT:ATI21185.1</v>
      </c>
      <c r="E1162" t="s">
        <v>2093</v>
      </c>
      <c r="F1162" t="s">
        <v>14</v>
      </c>
      <c r="G1162">
        <f>IF(ISERROR(MATCH(AllProtiens!F1162,Genomes!$C:$C,0)),0,1)</f>
        <v>1</v>
      </c>
      <c r="H1162">
        <f>IF(ISERROR(MATCH(AllProtiens!A1162,CoreProteinGroups!B:B,0)),0,1)</f>
        <v>1</v>
      </c>
      <c r="J1162" s="6" t="s">
        <v>15</v>
      </c>
    </row>
    <row r="1163" spans="1:10" x14ac:dyDescent="0.2">
      <c r="A1163" s="1" t="s">
        <v>2090</v>
      </c>
      <c r="B1163" t="s">
        <v>2091</v>
      </c>
      <c r="C1163" t="s">
        <v>2094</v>
      </c>
      <c r="D1163" s="6" t="str">
        <f t="shared" si="18"/>
        <v>PROT:AWU47120.1</v>
      </c>
      <c r="E1163" t="s">
        <v>2093</v>
      </c>
      <c r="F1163" t="s">
        <v>17</v>
      </c>
      <c r="G1163">
        <f>IF(ISERROR(MATCH(AllProtiens!F1163,Genomes!$C:$C,0)),0,1)</f>
        <v>1</v>
      </c>
      <c r="H1163">
        <f>IF(ISERROR(MATCH(AllProtiens!A1163,CoreProteinGroups!B:B,0)),0,1)</f>
        <v>1</v>
      </c>
      <c r="J1163" s="6" t="s">
        <v>18</v>
      </c>
    </row>
    <row r="1164" spans="1:10" x14ac:dyDescent="0.2">
      <c r="A1164" s="1" t="s">
        <v>2090</v>
      </c>
      <c r="B1164" t="s">
        <v>2091</v>
      </c>
      <c r="C1164" t="s">
        <v>2095</v>
      </c>
      <c r="D1164" s="6" t="str">
        <f t="shared" si="18"/>
        <v>PROT:APG58296.1</v>
      </c>
      <c r="E1164" t="s">
        <v>2096</v>
      </c>
      <c r="F1164" t="s">
        <v>21</v>
      </c>
      <c r="G1164">
        <f>IF(ISERROR(MATCH(AllProtiens!F1164,Genomes!$C:$C,0)),0,1)</f>
        <v>1</v>
      </c>
      <c r="H1164">
        <f>IF(ISERROR(MATCH(AllProtiens!A1164,CoreProteinGroups!B:B,0)),0,1)</f>
        <v>1</v>
      </c>
      <c r="J1164" s="6" t="s">
        <v>22</v>
      </c>
    </row>
    <row r="1165" spans="1:10" x14ac:dyDescent="0.2">
      <c r="A1165" s="1" t="s">
        <v>2090</v>
      </c>
      <c r="B1165" t="s">
        <v>2091</v>
      </c>
      <c r="C1165" t="s">
        <v>2097</v>
      </c>
      <c r="D1165" s="6" t="str">
        <f t="shared" si="18"/>
        <v>PROT:ADT91107.1</v>
      </c>
      <c r="E1165" t="s">
        <v>2093</v>
      </c>
      <c r="F1165" t="s">
        <v>25</v>
      </c>
      <c r="G1165">
        <f>IF(ISERROR(MATCH(AllProtiens!F1165,Genomes!$C:$C,0)),0,1)</f>
        <v>1</v>
      </c>
      <c r="H1165">
        <f>IF(ISERROR(MATCH(AllProtiens!A1165,CoreProteinGroups!B:B,0)),0,1)</f>
        <v>1</v>
      </c>
      <c r="J1165" s="6" t="s">
        <v>26</v>
      </c>
    </row>
    <row r="1166" spans="1:10" x14ac:dyDescent="0.2">
      <c r="A1166" s="1" t="s">
        <v>2090</v>
      </c>
      <c r="B1166" t="s">
        <v>2091</v>
      </c>
      <c r="C1166" t="s">
        <v>2098</v>
      </c>
      <c r="D1166" s="6" t="str">
        <f t="shared" si="18"/>
        <v>PROT:ANS71164.1</v>
      </c>
      <c r="E1166" t="s">
        <v>2093</v>
      </c>
      <c r="F1166" t="s">
        <v>28</v>
      </c>
      <c r="G1166">
        <f>IF(ISERROR(MATCH(AllProtiens!F1166,Genomes!$C:$C,0)),0,1)</f>
        <v>1</v>
      </c>
      <c r="H1166">
        <f>IF(ISERROR(MATCH(AllProtiens!A1166,CoreProteinGroups!B:B,0)),0,1)</f>
        <v>1</v>
      </c>
      <c r="J1166" s="6" t="s">
        <v>29</v>
      </c>
    </row>
    <row r="1167" spans="1:10" x14ac:dyDescent="0.2">
      <c r="A1167" s="1" t="s">
        <v>2090</v>
      </c>
      <c r="B1167" t="s">
        <v>2091</v>
      </c>
      <c r="C1167" t="s">
        <v>2099</v>
      </c>
      <c r="D1167" s="6" t="str">
        <f t="shared" si="18"/>
        <v>PROT:AKR04295.1</v>
      </c>
      <c r="E1167" t="s">
        <v>2100</v>
      </c>
      <c r="F1167" t="s">
        <v>32</v>
      </c>
      <c r="G1167">
        <f>IF(ISERROR(MATCH(AllProtiens!F1167,Genomes!$C:$C,0)),0,1)</f>
        <v>1</v>
      </c>
      <c r="H1167">
        <f>IF(ISERROR(MATCH(AllProtiens!A1167,CoreProteinGroups!B:B,0)),0,1)</f>
        <v>1</v>
      </c>
      <c r="J1167" s="6" t="s">
        <v>33</v>
      </c>
    </row>
    <row r="1168" spans="1:10" x14ac:dyDescent="0.2">
      <c r="A1168" s="1" t="s">
        <v>2090</v>
      </c>
      <c r="B1168" t="s">
        <v>2091</v>
      </c>
      <c r="C1168" t="s">
        <v>2101</v>
      </c>
      <c r="D1168" s="6" t="str">
        <f t="shared" si="18"/>
        <v>PROT:CCD83253.1</v>
      </c>
      <c r="E1168" t="s">
        <v>2102</v>
      </c>
      <c r="F1168" t="s">
        <v>36</v>
      </c>
      <c r="G1168">
        <f>IF(ISERROR(MATCH(AllProtiens!F1168,Genomes!$C:$C,0)),0,1)</f>
        <v>1</v>
      </c>
      <c r="H1168">
        <f>IF(ISERROR(MATCH(AllProtiens!A1168,CoreProteinGroups!B:B,0)),0,1)</f>
        <v>1</v>
      </c>
      <c r="J1168" s="6" t="s">
        <v>37</v>
      </c>
    </row>
    <row r="1169" spans="1:10" x14ac:dyDescent="0.2">
      <c r="A1169" s="1" t="s">
        <v>2090</v>
      </c>
      <c r="B1169" t="s">
        <v>2091</v>
      </c>
      <c r="C1169" t="s">
        <v>2103</v>
      </c>
      <c r="D1169" s="6" t="str">
        <f t="shared" si="18"/>
        <v>PROT:ASK51282.1</v>
      </c>
      <c r="E1169" t="s">
        <v>2093</v>
      </c>
      <c r="F1169" t="s">
        <v>40</v>
      </c>
      <c r="G1169">
        <f>IF(ISERROR(MATCH(AllProtiens!F1169,Genomes!$C:$C,0)),0,1)</f>
        <v>1</v>
      </c>
      <c r="H1169">
        <f>IF(ISERROR(MATCH(AllProtiens!A1169,CoreProteinGroups!B:B,0)),0,1)</f>
        <v>1</v>
      </c>
      <c r="J1169" s="6" t="s">
        <v>41</v>
      </c>
    </row>
    <row r="1170" spans="1:10" x14ac:dyDescent="0.2">
      <c r="A1170" s="1" t="s">
        <v>2090</v>
      </c>
      <c r="B1170" t="s">
        <v>2091</v>
      </c>
      <c r="C1170" t="s">
        <v>2104</v>
      </c>
      <c r="D1170" s="6" t="str">
        <f t="shared" si="18"/>
        <v>PROT:AUD40247.1</v>
      </c>
      <c r="E1170" t="s">
        <v>2091</v>
      </c>
      <c r="F1170" t="s">
        <v>43</v>
      </c>
      <c r="G1170">
        <f>IF(ISERROR(MATCH(AllProtiens!F1170,Genomes!$C:$C,0)),0,1)</f>
        <v>1</v>
      </c>
      <c r="H1170">
        <f>IF(ISERROR(MATCH(AllProtiens!A1170,CoreProteinGroups!B:B,0)),0,1)</f>
        <v>1</v>
      </c>
      <c r="J1170" s="6" t="s">
        <v>44</v>
      </c>
    </row>
    <row r="1171" spans="1:10" x14ac:dyDescent="0.2">
      <c r="A1171" s="1" t="s">
        <v>2090</v>
      </c>
      <c r="B1171" t="s">
        <v>2091</v>
      </c>
      <c r="C1171" t="s">
        <v>2105</v>
      </c>
      <c r="D1171" s="6" t="str">
        <f t="shared" si="18"/>
        <v>PROT:AID46879.1</v>
      </c>
      <c r="E1171" t="s">
        <v>2091</v>
      </c>
      <c r="F1171" t="s">
        <v>46</v>
      </c>
      <c r="G1171">
        <f>IF(ISERROR(MATCH(AllProtiens!F1171,Genomes!$C:$C,0)),0,1)</f>
        <v>1</v>
      </c>
      <c r="H1171">
        <f>IF(ISERROR(MATCH(AllProtiens!A1171,CoreProteinGroups!B:B,0)),0,1)</f>
        <v>1</v>
      </c>
      <c r="J1171" s="6" t="s">
        <v>47</v>
      </c>
    </row>
    <row r="1172" spans="1:10" x14ac:dyDescent="0.2">
      <c r="A1172" s="1" t="s">
        <v>2090</v>
      </c>
      <c r="B1172" t="s">
        <v>2091</v>
      </c>
      <c r="C1172" t="s">
        <v>2106</v>
      </c>
      <c r="D1172" s="6" t="str">
        <f t="shared" si="18"/>
        <v>PROT:AID46650.1</v>
      </c>
      <c r="E1172" t="s">
        <v>2091</v>
      </c>
      <c r="F1172" t="s">
        <v>49</v>
      </c>
      <c r="G1172">
        <f>IF(ISERROR(MATCH(AllProtiens!F1172,Genomes!$C:$C,0)),0,1)</f>
        <v>1</v>
      </c>
      <c r="H1172">
        <f>IF(ISERROR(MATCH(AllProtiens!A1172,CoreProteinGroups!B:B,0)),0,1)</f>
        <v>1</v>
      </c>
      <c r="J1172" s="6" t="s">
        <v>50</v>
      </c>
    </row>
    <row r="1173" spans="1:10" x14ac:dyDescent="0.2">
      <c r="A1173" s="1" t="s">
        <v>2090</v>
      </c>
      <c r="B1173" t="s">
        <v>2091</v>
      </c>
      <c r="C1173" t="s">
        <v>2107</v>
      </c>
      <c r="D1173" s="6" t="str">
        <f t="shared" si="18"/>
        <v>PROT:ALA62481.1</v>
      </c>
      <c r="E1173" t="s">
        <v>2091</v>
      </c>
      <c r="F1173" t="s">
        <v>53</v>
      </c>
      <c r="G1173">
        <f>IF(ISERROR(MATCH(AllProtiens!F1173,Genomes!$C:$C,0)),0,1)</f>
        <v>1</v>
      </c>
      <c r="H1173">
        <f>IF(ISERROR(MATCH(AllProtiens!A1173,CoreProteinGroups!B:B,0)),0,1)</f>
        <v>1</v>
      </c>
      <c r="J1173" s="6" t="s">
        <v>54</v>
      </c>
    </row>
    <row r="1174" spans="1:10" x14ac:dyDescent="0.2">
      <c r="A1174" s="1" t="s">
        <v>2090</v>
      </c>
      <c r="B1174" t="s">
        <v>2091</v>
      </c>
      <c r="C1174" t="s">
        <v>2108</v>
      </c>
      <c r="D1174" s="6" t="str">
        <f t="shared" si="18"/>
        <v>PROT:AAR83535.1</v>
      </c>
      <c r="E1174" t="s">
        <v>2109</v>
      </c>
      <c r="F1174" t="s">
        <v>57</v>
      </c>
      <c r="G1174">
        <f>IF(ISERROR(MATCH(AllProtiens!F1174,Genomes!$C:$C,0)),0,1)</f>
        <v>1</v>
      </c>
      <c r="H1174">
        <f>IF(ISERROR(MATCH(AllProtiens!A1174,CoreProteinGroups!B:B,0)),0,1)</f>
        <v>1</v>
      </c>
      <c r="J1174" s="6" t="s">
        <v>58</v>
      </c>
    </row>
    <row r="1175" spans="1:10" x14ac:dyDescent="0.2">
      <c r="A1175" s="1" t="s">
        <v>2090</v>
      </c>
      <c r="B1175" t="s">
        <v>2091</v>
      </c>
      <c r="C1175" t="s">
        <v>2110</v>
      </c>
      <c r="D1175" s="6" t="str">
        <f t="shared" si="18"/>
        <v>PROT:AAF44487.1</v>
      </c>
      <c r="E1175" t="s">
        <v>2111</v>
      </c>
      <c r="F1175" t="s">
        <v>61</v>
      </c>
      <c r="G1175">
        <f>IF(ISERROR(MATCH(AllProtiens!F1175,Genomes!$C:$C,0)),0,1)</f>
        <v>1</v>
      </c>
      <c r="H1175">
        <f>IF(ISERROR(MATCH(AllProtiens!A1175,CoreProteinGroups!B:B,0)),0,1)</f>
        <v>1</v>
      </c>
      <c r="J1175" s="6" t="s">
        <v>62</v>
      </c>
    </row>
    <row r="1176" spans="1:10" x14ac:dyDescent="0.2">
      <c r="A1176" s="1" t="s">
        <v>2090</v>
      </c>
      <c r="B1176" t="s">
        <v>2091</v>
      </c>
      <c r="C1176" t="s">
        <v>2112</v>
      </c>
      <c r="D1176" s="6" t="str">
        <f t="shared" si="18"/>
        <v>PROT:AAK85038.1</v>
      </c>
      <c r="E1176" t="s">
        <v>2113</v>
      </c>
      <c r="F1176" t="s">
        <v>65</v>
      </c>
      <c r="G1176">
        <f>IF(ISERROR(MATCH(AllProtiens!F1176,Genomes!$C:$C,0)),0,1)</f>
        <v>1</v>
      </c>
      <c r="H1176">
        <f>IF(ISERROR(MATCH(AllProtiens!A1176,CoreProteinGroups!B:B,0)),0,1)</f>
        <v>1</v>
      </c>
      <c r="J1176" s="6" t="s">
        <v>66</v>
      </c>
    </row>
    <row r="1177" spans="1:10" x14ac:dyDescent="0.2">
      <c r="A1177" s="1" t="s">
        <v>2090</v>
      </c>
      <c r="B1177" t="s">
        <v>2091</v>
      </c>
      <c r="C1177" t="s">
        <v>2114</v>
      </c>
      <c r="D1177" s="6" t="str">
        <f t="shared" si="18"/>
        <v>PROT:AST09295.1</v>
      </c>
      <c r="E1177" t="s">
        <v>2093</v>
      </c>
      <c r="F1177" t="s">
        <v>68</v>
      </c>
      <c r="G1177">
        <f>IF(ISERROR(MATCH(AllProtiens!F1177,Genomes!$C:$C,0)),0,1)</f>
        <v>1</v>
      </c>
      <c r="H1177">
        <f>IF(ISERROR(MATCH(AllProtiens!A1177,CoreProteinGroups!B:B,0)),0,1)</f>
        <v>1</v>
      </c>
      <c r="J1177" s="6" t="s">
        <v>69</v>
      </c>
    </row>
    <row r="1178" spans="1:10" x14ac:dyDescent="0.2">
      <c r="A1178" s="1" t="s">
        <v>2090</v>
      </c>
      <c r="B1178" t="s">
        <v>2091</v>
      </c>
      <c r="C1178" t="s">
        <v>2115</v>
      </c>
      <c r="D1178" s="6" t="str">
        <f t="shared" si="18"/>
        <v>PROT:AEN03673.1</v>
      </c>
      <c r="E1178" t="s">
        <v>2093</v>
      </c>
      <c r="F1178" t="s">
        <v>71</v>
      </c>
      <c r="G1178">
        <f>IF(ISERROR(MATCH(AllProtiens!F1178,Genomes!$C:$C,0)),0,1)</f>
        <v>1</v>
      </c>
      <c r="H1178">
        <f>IF(ISERROR(MATCH(AllProtiens!A1178,CoreProteinGroups!B:B,0)),0,1)</f>
        <v>1</v>
      </c>
      <c r="J1178" s="6" t="s">
        <v>72</v>
      </c>
    </row>
    <row r="1179" spans="1:10" x14ac:dyDescent="0.2">
      <c r="A1179" s="1" t="s">
        <v>2090</v>
      </c>
      <c r="B1179" t="s">
        <v>2091</v>
      </c>
      <c r="C1179" t="s">
        <v>2116</v>
      </c>
      <c r="D1179" s="6" t="str">
        <f t="shared" si="18"/>
        <v>PROT:ABI99241.1</v>
      </c>
      <c r="E1179" t="s">
        <v>2091</v>
      </c>
      <c r="F1179" t="s">
        <v>74</v>
      </c>
      <c r="G1179">
        <f>IF(ISERROR(MATCH(AllProtiens!F1179,Genomes!$C:$C,0)),0,1)</f>
        <v>1</v>
      </c>
      <c r="H1179">
        <f>IF(ISERROR(MATCH(AllProtiens!A1179,CoreProteinGroups!B:B,0)),0,1)</f>
        <v>1</v>
      </c>
      <c r="J1179" s="6" t="s">
        <v>75</v>
      </c>
    </row>
    <row r="1180" spans="1:10" x14ac:dyDescent="0.2">
      <c r="A1180" s="1" t="s">
        <v>2090</v>
      </c>
      <c r="B1180" t="s">
        <v>2091</v>
      </c>
      <c r="C1180" t="s">
        <v>2117</v>
      </c>
      <c r="D1180" s="6" t="str">
        <f t="shared" si="18"/>
        <v>PROT:ABJ08997.1</v>
      </c>
      <c r="E1180" t="s">
        <v>2118</v>
      </c>
      <c r="F1180" t="s">
        <v>77</v>
      </c>
      <c r="G1180">
        <f>IF(ISERROR(MATCH(AllProtiens!F1180,Genomes!$C:$C,0)),0,1)</f>
        <v>1</v>
      </c>
      <c r="H1180">
        <f>IF(ISERROR(MATCH(AllProtiens!A1180,CoreProteinGroups!B:B,0)),0,1)</f>
        <v>1</v>
      </c>
      <c r="J1180" s="6" t="s">
        <v>78</v>
      </c>
    </row>
    <row r="1181" spans="1:10" x14ac:dyDescent="0.2">
      <c r="A1181" s="1" t="s">
        <v>2090</v>
      </c>
      <c r="B1181" t="s">
        <v>2091</v>
      </c>
      <c r="C1181" t="s">
        <v>2119</v>
      </c>
      <c r="D1181" s="6" t="str">
        <f t="shared" si="18"/>
        <v>PROT:AAF14962.1</v>
      </c>
      <c r="E1181" t="s">
        <v>2120</v>
      </c>
      <c r="F1181" t="s">
        <v>81</v>
      </c>
      <c r="G1181">
        <f>IF(ISERROR(MATCH(AllProtiens!F1181,Genomes!$C:$C,0)),0,1)</f>
        <v>0</v>
      </c>
      <c r="H1181">
        <f>IF(ISERROR(MATCH(AllProtiens!A1181,CoreProteinGroups!B:B,0)),0,1)</f>
        <v>1</v>
      </c>
      <c r="J1181" s="6" t="s">
        <v>82</v>
      </c>
    </row>
    <row r="1182" spans="1:10" x14ac:dyDescent="0.2">
      <c r="A1182" s="1" t="s">
        <v>2090</v>
      </c>
      <c r="B1182" t="s">
        <v>2091</v>
      </c>
      <c r="C1182" t="s">
        <v>2121</v>
      </c>
      <c r="D1182" s="6" t="str">
        <f t="shared" si="18"/>
        <v>PROT:AFU77338.1</v>
      </c>
      <c r="E1182" t="s">
        <v>2120</v>
      </c>
      <c r="F1182" t="s">
        <v>81</v>
      </c>
      <c r="G1182">
        <f>IF(ISERROR(MATCH(AllProtiens!F1182,Genomes!$C:$C,0)),0,1)</f>
        <v>0</v>
      </c>
      <c r="H1182">
        <f>IF(ISERROR(MATCH(AllProtiens!A1182,CoreProteinGroups!B:B,0)),0,1)</f>
        <v>1</v>
      </c>
      <c r="J1182" s="6" t="s">
        <v>82</v>
      </c>
    </row>
    <row r="1183" spans="1:10" x14ac:dyDescent="0.2">
      <c r="A1183" s="1" t="s">
        <v>2090</v>
      </c>
      <c r="B1183" t="s">
        <v>2091</v>
      </c>
      <c r="C1183" t="s">
        <v>2122</v>
      </c>
      <c r="D1183" s="6" t="str">
        <f t="shared" si="18"/>
        <v>PROT:AAF17956.1</v>
      </c>
      <c r="E1183" t="s">
        <v>2123</v>
      </c>
      <c r="F1183" t="s">
        <v>86</v>
      </c>
      <c r="G1183">
        <f>IF(ISERROR(MATCH(AllProtiens!F1183,Genomes!$C:$C,0)),0,1)</f>
        <v>1</v>
      </c>
      <c r="H1183">
        <f>IF(ISERROR(MATCH(AllProtiens!A1183,CoreProteinGroups!B:B,0)),0,1)</f>
        <v>1</v>
      </c>
      <c r="J1183" s="6" t="s">
        <v>87</v>
      </c>
    </row>
    <row r="1184" spans="1:10" x14ac:dyDescent="0.2">
      <c r="A1184" s="1" t="s">
        <v>2090</v>
      </c>
      <c r="B1184" t="s">
        <v>2091</v>
      </c>
      <c r="C1184" t="s">
        <v>2124</v>
      </c>
      <c r="D1184" s="6" t="str">
        <f t="shared" si="18"/>
        <v>PROT:AAC55215.1</v>
      </c>
      <c r="E1184" t="s">
        <v>2125</v>
      </c>
      <c r="F1184" t="s">
        <v>90</v>
      </c>
      <c r="G1184">
        <f>IF(ISERROR(MATCH(AllProtiens!F1184,Genomes!$C:$C,0)),0,1)</f>
        <v>1</v>
      </c>
      <c r="H1184">
        <f>IF(ISERROR(MATCH(AllProtiens!A1184,CoreProteinGroups!B:B,0)),0,1)</f>
        <v>1</v>
      </c>
      <c r="J1184" s="6" t="s">
        <v>91</v>
      </c>
    </row>
    <row r="1185" spans="1:10" x14ac:dyDescent="0.2">
      <c r="A1185" s="1" t="s">
        <v>2090</v>
      </c>
      <c r="B1185" t="s">
        <v>2091</v>
      </c>
      <c r="C1185" t="s">
        <v>2126</v>
      </c>
      <c r="D1185" s="6" t="str">
        <f t="shared" si="18"/>
        <v>PROT:AYN64670.1</v>
      </c>
      <c r="E1185" t="s">
        <v>2127</v>
      </c>
      <c r="F1185" t="s">
        <v>94</v>
      </c>
      <c r="G1185">
        <f>IF(ISERROR(MATCH(AllProtiens!F1185,Genomes!$C:$C,0)),0,1)</f>
        <v>1</v>
      </c>
      <c r="H1185">
        <f>IF(ISERROR(MATCH(AllProtiens!A1185,CoreProteinGroups!B:B,0)),0,1)</f>
        <v>1</v>
      </c>
      <c r="J1185" s="6" t="s">
        <v>95</v>
      </c>
    </row>
    <row r="1186" spans="1:10" x14ac:dyDescent="0.2">
      <c r="A1186" s="1" t="s">
        <v>2090</v>
      </c>
      <c r="B1186" t="s">
        <v>2091</v>
      </c>
      <c r="C1186" t="s">
        <v>2128</v>
      </c>
      <c r="D1186" s="6" t="str">
        <f t="shared" si="18"/>
        <v>PROT:AXN74897.1</v>
      </c>
      <c r="E1186" t="s">
        <v>2129</v>
      </c>
      <c r="F1186" t="s">
        <v>97</v>
      </c>
      <c r="G1186">
        <f>IF(ISERROR(MATCH(AllProtiens!F1186,Genomes!$C:$C,0)),0,1)</f>
        <v>1</v>
      </c>
      <c r="H1186">
        <f>IF(ISERROR(MATCH(AllProtiens!A1186,CoreProteinGroups!B:B,0)),0,1)</f>
        <v>1</v>
      </c>
      <c r="J1186" s="6" t="s">
        <v>98</v>
      </c>
    </row>
    <row r="1187" spans="1:10" x14ac:dyDescent="0.2">
      <c r="A1187" s="1" t="s">
        <v>2090</v>
      </c>
      <c r="B1187" t="s">
        <v>2091</v>
      </c>
      <c r="C1187" t="s">
        <v>2130</v>
      </c>
      <c r="D1187" s="6" t="str">
        <f t="shared" si="18"/>
        <v>PROT:ABH08211.1</v>
      </c>
      <c r="E1187" t="s">
        <v>2131</v>
      </c>
      <c r="F1187" t="s">
        <v>101</v>
      </c>
      <c r="G1187">
        <f>IF(ISERROR(MATCH(AllProtiens!F1187,Genomes!$C:$C,0)),0,1)</f>
        <v>1</v>
      </c>
      <c r="H1187">
        <f>IF(ISERROR(MATCH(AllProtiens!A1187,CoreProteinGroups!B:B,0)),0,1)</f>
        <v>1</v>
      </c>
      <c r="J1187" s="6" t="s">
        <v>102</v>
      </c>
    </row>
    <row r="1188" spans="1:10" x14ac:dyDescent="0.2">
      <c r="A1188" s="1" t="s">
        <v>2090</v>
      </c>
      <c r="B1188" t="s">
        <v>2091</v>
      </c>
      <c r="C1188" t="s">
        <v>2132</v>
      </c>
      <c r="D1188" s="6" t="str">
        <f t="shared" si="18"/>
        <v>PROT:AAG37574.1</v>
      </c>
      <c r="E1188" t="s">
        <v>2133</v>
      </c>
      <c r="F1188" t="s">
        <v>105</v>
      </c>
      <c r="G1188">
        <f>IF(ISERROR(MATCH(AllProtiens!F1188,Genomes!$C:$C,0)),0,1)</f>
        <v>1</v>
      </c>
      <c r="H1188">
        <f>IF(ISERROR(MATCH(AllProtiens!A1188,CoreProteinGroups!B:B,0)),0,1)</f>
        <v>1</v>
      </c>
      <c r="J1188" s="6" t="s">
        <v>106</v>
      </c>
    </row>
    <row r="1189" spans="1:10" x14ac:dyDescent="0.2">
      <c r="A1189" s="1" t="s">
        <v>2090</v>
      </c>
      <c r="B1189" t="s">
        <v>2091</v>
      </c>
      <c r="C1189" t="s">
        <v>2134</v>
      </c>
      <c r="D1189" s="6" t="str">
        <f t="shared" si="18"/>
        <v>PROT:AAL73809.1</v>
      </c>
      <c r="E1189" t="s">
        <v>2091</v>
      </c>
      <c r="F1189" t="s">
        <v>109</v>
      </c>
      <c r="G1189">
        <f>IF(ISERROR(MATCH(AllProtiens!F1189,Genomes!$C:$C,0)),0,1)</f>
        <v>1</v>
      </c>
      <c r="H1189">
        <f>IF(ISERROR(MATCH(AllProtiens!A1189,CoreProteinGroups!B:B,0)),0,1)</f>
        <v>1</v>
      </c>
      <c r="J1189" s="6" t="s">
        <v>110</v>
      </c>
    </row>
    <row r="1190" spans="1:10" x14ac:dyDescent="0.2">
      <c r="A1190" s="1" t="s">
        <v>2090</v>
      </c>
      <c r="B1190" t="s">
        <v>2091</v>
      </c>
      <c r="C1190" t="s">
        <v>2135</v>
      </c>
      <c r="D1190" s="6" t="str">
        <f t="shared" si="18"/>
        <v>PROT:AAM13558.1</v>
      </c>
      <c r="E1190" t="s">
        <v>2136</v>
      </c>
      <c r="F1190" t="s">
        <v>113</v>
      </c>
      <c r="G1190">
        <f>IF(ISERROR(MATCH(AllProtiens!F1190,Genomes!$C:$C,0)),0,1)</f>
        <v>1</v>
      </c>
      <c r="H1190">
        <f>IF(ISERROR(MATCH(AllProtiens!A1190,CoreProteinGroups!B:B,0)),0,1)</f>
        <v>1</v>
      </c>
      <c r="J1190" s="6" t="s">
        <v>114</v>
      </c>
    </row>
    <row r="1191" spans="1:10" x14ac:dyDescent="0.2">
      <c r="A1191" s="1" t="s">
        <v>2090</v>
      </c>
      <c r="B1191" t="s">
        <v>2091</v>
      </c>
      <c r="C1191" t="s">
        <v>2137</v>
      </c>
      <c r="D1191" s="6" t="str">
        <f t="shared" si="18"/>
        <v>PROT:AAM92392.1</v>
      </c>
      <c r="E1191" t="s">
        <v>2138</v>
      </c>
      <c r="F1191" t="s">
        <v>117</v>
      </c>
      <c r="G1191">
        <f>IF(ISERROR(MATCH(AllProtiens!F1191,Genomes!$C:$C,0)),0,1)</f>
        <v>1</v>
      </c>
      <c r="H1191">
        <f>IF(ISERROR(MATCH(AllProtiens!A1191,CoreProteinGroups!B:B,0)),0,1)</f>
        <v>1</v>
      </c>
      <c r="J1191" s="6" t="s">
        <v>118</v>
      </c>
    </row>
    <row r="1192" spans="1:10" x14ac:dyDescent="0.2">
      <c r="A1192" s="1" t="s">
        <v>2090</v>
      </c>
      <c r="B1192" t="s">
        <v>2091</v>
      </c>
      <c r="C1192" t="s">
        <v>2139</v>
      </c>
      <c r="D1192" s="6" t="str">
        <f t="shared" si="18"/>
        <v>PROT:AFH54651.1</v>
      </c>
      <c r="E1192" t="s">
        <v>2140</v>
      </c>
      <c r="F1192" t="s">
        <v>120</v>
      </c>
      <c r="G1192">
        <f>IF(ISERROR(MATCH(AllProtiens!F1192,Genomes!$C:$C,0)),0,1)</f>
        <v>1</v>
      </c>
      <c r="H1192">
        <f>IF(ISERROR(MATCH(AllProtiens!A1192,CoreProteinGroups!B:B,0)),0,1)</f>
        <v>1</v>
      </c>
      <c r="J1192" s="6" t="s">
        <v>121</v>
      </c>
    </row>
    <row r="1193" spans="1:10" x14ac:dyDescent="0.2">
      <c r="A1193" s="1" t="s">
        <v>2090</v>
      </c>
      <c r="B1193" t="s">
        <v>2091</v>
      </c>
      <c r="C1193" t="s">
        <v>2141</v>
      </c>
      <c r="D1193" s="6" t="str">
        <f t="shared" si="18"/>
        <v>PROT:AAL40554.1</v>
      </c>
      <c r="E1193" t="s">
        <v>2142</v>
      </c>
      <c r="F1193" t="s">
        <v>124</v>
      </c>
      <c r="G1193">
        <f>IF(ISERROR(MATCH(AllProtiens!F1193,Genomes!$C:$C,0)),0,1)</f>
        <v>1</v>
      </c>
      <c r="H1193">
        <f>IF(ISERROR(MATCH(AllProtiens!A1193,CoreProteinGroups!B:B,0)),0,1)</f>
        <v>1</v>
      </c>
      <c r="J1193" s="6" t="s">
        <v>125</v>
      </c>
    </row>
    <row r="1194" spans="1:10" x14ac:dyDescent="0.2">
      <c r="A1194" s="1" t="s">
        <v>2090</v>
      </c>
      <c r="B1194" t="s">
        <v>2091</v>
      </c>
      <c r="C1194" t="s">
        <v>2143</v>
      </c>
      <c r="D1194" s="6" t="str">
        <f t="shared" si="18"/>
        <v>PROT:AAX09191.1</v>
      </c>
      <c r="E1194" t="s">
        <v>2144</v>
      </c>
      <c r="F1194" t="s">
        <v>128</v>
      </c>
      <c r="G1194">
        <f>IF(ISERROR(MATCH(AllProtiens!F1194,Genomes!$C:$C,0)),0,1)</f>
        <v>1</v>
      </c>
      <c r="H1194">
        <f>IF(ISERROR(MATCH(AllProtiens!A1194,CoreProteinGroups!B:B,0)),0,1)</f>
        <v>1</v>
      </c>
      <c r="J1194" s="6" t="s">
        <v>129</v>
      </c>
    </row>
    <row r="1195" spans="1:10" x14ac:dyDescent="0.2">
      <c r="A1195" s="1" t="s">
        <v>2090</v>
      </c>
      <c r="B1195" t="s">
        <v>2091</v>
      </c>
      <c r="C1195" t="s">
        <v>2145</v>
      </c>
      <c r="D1195" s="6" t="str">
        <f t="shared" si="18"/>
        <v>PROT:AKJ93733.1</v>
      </c>
      <c r="E1195" t="s">
        <v>2146</v>
      </c>
      <c r="F1195" t="s">
        <v>131</v>
      </c>
      <c r="G1195">
        <f>IF(ISERROR(MATCH(AllProtiens!F1195,Genomes!$C:$C,0)),0,1)</f>
        <v>1</v>
      </c>
      <c r="H1195">
        <f>IF(ISERROR(MATCH(AllProtiens!A1195,CoreProteinGroups!B:B,0)),0,1)</f>
        <v>1</v>
      </c>
      <c r="J1195" s="6" t="s">
        <v>132</v>
      </c>
    </row>
    <row r="1196" spans="1:10" x14ac:dyDescent="0.2">
      <c r="A1196" s="1" t="s">
        <v>2090</v>
      </c>
      <c r="B1196" t="s">
        <v>2091</v>
      </c>
      <c r="C1196" t="s">
        <v>2147</v>
      </c>
      <c r="D1196" s="6" t="str">
        <f t="shared" si="18"/>
        <v>PROT:AOP31582.1</v>
      </c>
      <c r="E1196" t="s">
        <v>2093</v>
      </c>
      <c r="F1196" t="s">
        <v>134</v>
      </c>
      <c r="G1196">
        <f>IF(ISERROR(MATCH(AllProtiens!F1196,Genomes!$C:$C,0)),0,1)</f>
        <v>1</v>
      </c>
      <c r="H1196">
        <f>IF(ISERROR(MATCH(AllProtiens!A1196,CoreProteinGroups!B:B,0)),0,1)</f>
        <v>1</v>
      </c>
      <c r="J1196" s="6" t="s">
        <v>135</v>
      </c>
    </row>
    <row r="1197" spans="1:10" x14ac:dyDescent="0.2">
      <c r="A1197" s="1" t="s">
        <v>2090</v>
      </c>
      <c r="B1197" t="s">
        <v>2091</v>
      </c>
      <c r="C1197" t="s">
        <v>2148</v>
      </c>
      <c r="D1197" s="6" t="str">
        <f t="shared" si="18"/>
        <v>PROT:ABD97672.1</v>
      </c>
      <c r="E1197" t="s">
        <v>2149</v>
      </c>
      <c r="F1197" t="s">
        <v>137</v>
      </c>
      <c r="G1197">
        <f>IF(ISERROR(MATCH(AllProtiens!F1197,Genomes!$C:$C,0)),0,1)</f>
        <v>1</v>
      </c>
      <c r="H1197">
        <f>IF(ISERROR(MATCH(AllProtiens!A1197,CoreProteinGroups!B:B,0)),0,1)</f>
        <v>1</v>
      </c>
      <c r="J1197" s="6" t="s">
        <v>138</v>
      </c>
    </row>
    <row r="1198" spans="1:10" x14ac:dyDescent="0.2">
      <c r="A1198" s="1" t="s">
        <v>2090</v>
      </c>
      <c r="B1198" t="s">
        <v>2091</v>
      </c>
      <c r="C1198" t="s">
        <v>2150</v>
      </c>
      <c r="D1198" s="6" t="str">
        <f t="shared" si="18"/>
        <v>PROT:AAO89383.1</v>
      </c>
      <c r="E1198" t="s">
        <v>2149</v>
      </c>
      <c r="F1198" t="s">
        <v>140</v>
      </c>
      <c r="G1198">
        <f>IF(ISERROR(MATCH(AllProtiens!F1198,Genomes!$C:$C,0)),0,1)</f>
        <v>1</v>
      </c>
      <c r="H1198">
        <f>IF(ISERROR(MATCH(AllProtiens!A1198,CoreProteinGroups!B:B,0)),0,1)</f>
        <v>1</v>
      </c>
      <c r="J1198" s="6" t="s">
        <v>141</v>
      </c>
    </row>
    <row r="1199" spans="1:10" x14ac:dyDescent="0.2">
      <c r="A1199" s="1" t="s">
        <v>2090</v>
      </c>
      <c r="B1199" t="s">
        <v>2091</v>
      </c>
      <c r="C1199" t="s">
        <v>2151</v>
      </c>
      <c r="D1199" s="6" t="str">
        <f t="shared" si="18"/>
        <v>PROT:CAA49030.1</v>
      </c>
      <c r="E1199" t="s">
        <v>2152</v>
      </c>
      <c r="F1199" t="s">
        <v>144</v>
      </c>
      <c r="G1199">
        <f>IF(ISERROR(MATCH(AllProtiens!F1199,Genomes!$C:$C,0)),0,1)</f>
        <v>1</v>
      </c>
      <c r="H1199">
        <f>IF(ISERROR(MATCH(AllProtiens!A1199,CoreProteinGroups!B:B,0)),0,1)</f>
        <v>1</v>
      </c>
      <c r="J1199" s="6" t="s">
        <v>145</v>
      </c>
    </row>
    <row r="1200" spans="1:10" x14ac:dyDescent="0.2">
      <c r="A1200" s="1" t="s">
        <v>2090</v>
      </c>
      <c r="B1200" t="s">
        <v>2091</v>
      </c>
      <c r="C1200" t="s">
        <v>2153</v>
      </c>
      <c r="D1200" s="6" t="str">
        <f t="shared" si="18"/>
        <v>PROT:CAB54689.1</v>
      </c>
      <c r="E1200" t="s">
        <v>2154</v>
      </c>
      <c r="F1200" t="s">
        <v>148</v>
      </c>
      <c r="G1200">
        <f>IF(ISERROR(MATCH(AllProtiens!F1200,Genomes!$C:$C,0)),0,1)</f>
        <v>1</v>
      </c>
      <c r="H1200">
        <f>IF(ISERROR(MATCH(AllProtiens!A1200,CoreProteinGroups!B:B,0)),0,1)</f>
        <v>1</v>
      </c>
      <c r="J1200" s="6" t="s">
        <v>149</v>
      </c>
    </row>
    <row r="1201" spans="1:10" x14ac:dyDescent="0.2">
      <c r="A1201" s="1" t="s">
        <v>2090</v>
      </c>
      <c r="B1201" t="s">
        <v>2091</v>
      </c>
      <c r="C1201" t="s">
        <v>2155</v>
      </c>
      <c r="D1201" s="6" t="str">
        <f t="shared" si="18"/>
        <v>PROT:AOP31793.1</v>
      </c>
      <c r="E1201" t="s">
        <v>2093</v>
      </c>
      <c r="F1201" t="s">
        <v>151</v>
      </c>
      <c r="G1201">
        <f>IF(ISERROR(MATCH(AllProtiens!F1201,Genomes!$C:$C,0)),0,1)</f>
        <v>1</v>
      </c>
      <c r="H1201">
        <f>IF(ISERROR(MATCH(AllProtiens!A1201,CoreProteinGroups!B:B,0)),0,1)</f>
        <v>1</v>
      </c>
      <c r="J1201" s="6" t="s">
        <v>152</v>
      </c>
    </row>
    <row r="1202" spans="1:10" x14ac:dyDescent="0.2">
      <c r="A1202" s="1" t="s">
        <v>2090</v>
      </c>
      <c r="B1202" t="s">
        <v>2091</v>
      </c>
      <c r="C1202" t="s">
        <v>2156</v>
      </c>
      <c r="D1202" s="6" t="str">
        <f t="shared" si="18"/>
        <v>PROT:ASC55578.1</v>
      </c>
      <c r="E1202" t="s">
        <v>2157</v>
      </c>
      <c r="F1202" t="s">
        <v>155</v>
      </c>
      <c r="G1202">
        <f>IF(ISERROR(MATCH(AllProtiens!F1202,Genomes!$C:$C,0)),0,1)</f>
        <v>1</v>
      </c>
      <c r="H1202">
        <f>IF(ISERROR(MATCH(AllProtiens!A1202,CoreProteinGroups!B:B,0)),0,1)</f>
        <v>1</v>
      </c>
      <c r="J1202" s="6" t="s">
        <v>156</v>
      </c>
    </row>
    <row r="1203" spans="1:10" x14ac:dyDescent="0.2">
      <c r="A1203" s="1" t="s">
        <v>2090</v>
      </c>
      <c r="B1203" t="s">
        <v>2091</v>
      </c>
      <c r="C1203" t="s">
        <v>2158</v>
      </c>
      <c r="D1203" s="6" t="str">
        <f t="shared" si="18"/>
        <v>PROT:AAR98419.1</v>
      </c>
      <c r="E1203" t="s">
        <v>2159</v>
      </c>
      <c r="F1203" t="s">
        <v>159</v>
      </c>
      <c r="G1203">
        <f>IF(ISERROR(MATCH(AllProtiens!F1203,Genomes!$C:$C,0)),0,1)</f>
        <v>1</v>
      </c>
      <c r="H1203">
        <f>IF(ISERROR(MATCH(AllProtiens!A1203,CoreProteinGroups!B:B,0)),0,1)</f>
        <v>1</v>
      </c>
      <c r="J1203" s="6" t="s">
        <v>160</v>
      </c>
    </row>
    <row r="1204" spans="1:10" x14ac:dyDescent="0.2">
      <c r="A1204" s="1" t="s">
        <v>2090</v>
      </c>
      <c r="B1204" t="s">
        <v>2091</v>
      </c>
      <c r="C1204" t="s">
        <v>2160</v>
      </c>
      <c r="D1204" s="6" t="str">
        <f t="shared" si="18"/>
        <v>PROT:AAR98287.1</v>
      </c>
      <c r="E1204" t="s">
        <v>2159</v>
      </c>
      <c r="F1204" t="s">
        <v>162</v>
      </c>
      <c r="G1204">
        <f>IF(ISERROR(MATCH(AllProtiens!F1204,Genomes!$C:$C,0)),0,1)</f>
        <v>1</v>
      </c>
      <c r="H1204">
        <f>IF(ISERROR(MATCH(AllProtiens!A1204,CoreProteinGroups!B:B,0)),0,1)</f>
        <v>1</v>
      </c>
      <c r="J1204" s="6" t="s">
        <v>163</v>
      </c>
    </row>
    <row r="1205" spans="1:10" x14ac:dyDescent="0.2">
      <c r="A1205" s="1" t="s">
        <v>2090</v>
      </c>
      <c r="B1205" t="s">
        <v>2091</v>
      </c>
      <c r="C1205" t="s">
        <v>2161</v>
      </c>
      <c r="D1205" s="6" t="str">
        <f t="shared" si="18"/>
        <v>PROT:ABA00579.1</v>
      </c>
      <c r="E1205" t="s">
        <v>2162</v>
      </c>
      <c r="F1205" t="s">
        <v>162</v>
      </c>
      <c r="G1205">
        <f>IF(ISERROR(MATCH(AllProtiens!F1205,Genomes!$C:$C,0)),0,1)</f>
        <v>1</v>
      </c>
      <c r="H1205">
        <f>IF(ISERROR(MATCH(AllProtiens!A1205,CoreProteinGroups!B:B,0)),0,1)</f>
        <v>1</v>
      </c>
      <c r="J1205" s="6" t="s">
        <v>163</v>
      </c>
    </row>
    <row r="1206" spans="1:10" x14ac:dyDescent="0.2">
      <c r="A1206" s="1" t="s">
        <v>2090</v>
      </c>
      <c r="B1206" t="s">
        <v>2091</v>
      </c>
      <c r="C1206" t="s">
        <v>2163</v>
      </c>
      <c r="D1206" s="6" t="str">
        <f t="shared" si="18"/>
        <v>PROT:AIZ77313.1</v>
      </c>
      <c r="E1206" t="s">
        <v>2164</v>
      </c>
      <c r="F1206" t="s">
        <v>167</v>
      </c>
      <c r="G1206">
        <f>IF(ISERROR(MATCH(AllProtiens!F1206,Genomes!$C:$C,0)),0,1)</f>
        <v>1</v>
      </c>
      <c r="H1206">
        <f>IF(ISERROR(MATCH(AllProtiens!A1206,CoreProteinGroups!B:B,0)),0,1)</f>
        <v>1</v>
      </c>
      <c r="J1206" s="6" t="s">
        <v>168</v>
      </c>
    </row>
    <row r="1207" spans="1:10" x14ac:dyDescent="0.2">
      <c r="A1207" s="1" t="s">
        <v>2090</v>
      </c>
      <c r="B1207" t="s">
        <v>2091</v>
      </c>
      <c r="C1207" t="s">
        <v>2165</v>
      </c>
      <c r="D1207" s="6" t="str">
        <f t="shared" si="18"/>
        <v>PROT:ADC53963.1</v>
      </c>
      <c r="E1207" t="s">
        <v>2162</v>
      </c>
      <c r="F1207" t="s">
        <v>170</v>
      </c>
      <c r="G1207">
        <f>IF(ISERROR(MATCH(AllProtiens!F1207,Genomes!$C:$C,0)),0,1)</f>
        <v>1</v>
      </c>
      <c r="H1207">
        <f>IF(ISERROR(MATCH(AllProtiens!A1207,CoreProteinGroups!B:B,0)),0,1)</f>
        <v>1</v>
      </c>
      <c r="J1207" s="6" t="s">
        <v>171</v>
      </c>
    </row>
    <row r="1208" spans="1:10" x14ac:dyDescent="0.2">
      <c r="A1208" s="1" t="s">
        <v>2090</v>
      </c>
      <c r="B1208" t="s">
        <v>2091</v>
      </c>
      <c r="C1208" t="s">
        <v>2166</v>
      </c>
      <c r="D1208" s="6" t="str">
        <f t="shared" si="18"/>
        <v>PROT:AAL69813.1</v>
      </c>
      <c r="E1208" t="s">
        <v>2167</v>
      </c>
      <c r="F1208" t="s">
        <v>174</v>
      </c>
      <c r="G1208">
        <f>IF(ISERROR(MATCH(AllProtiens!F1208,Genomes!$C:$C,0)),0,1)</f>
        <v>1</v>
      </c>
      <c r="H1208">
        <f>IF(ISERROR(MATCH(AllProtiens!A1208,CoreProteinGroups!B:B,0)),0,1)</f>
        <v>1</v>
      </c>
      <c r="J1208" s="6" t="s">
        <v>175</v>
      </c>
    </row>
    <row r="1209" spans="1:10" x14ac:dyDescent="0.2">
      <c r="A1209" s="1" t="s">
        <v>2090</v>
      </c>
      <c r="B1209" t="s">
        <v>2091</v>
      </c>
      <c r="C1209" t="s">
        <v>2168</v>
      </c>
      <c r="D1209" s="6" t="str">
        <f t="shared" si="18"/>
        <v>PROT:CAC21315.1</v>
      </c>
      <c r="E1209" t="s">
        <v>2169</v>
      </c>
      <c r="F1209" t="s">
        <v>178</v>
      </c>
      <c r="G1209">
        <f>IF(ISERROR(MATCH(AllProtiens!F1209,Genomes!$C:$C,0)),0,1)</f>
        <v>1</v>
      </c>
      <c r="H1209">
        <f>IF(ISERROR(MATCH(AllProtiens!A1209,CoreProteinGroups!B:B,0)),0,1)</f>
        <v>1</v>
      </c>
      <c r="J1209" s="6" t="s">
        <v>179</v>
      </c>
    </row>
    <row r="1210" spans="1:10" x14ac:dyDescent="0.2">
      <c r="A1210" s="1" t="s">
        <v>2090</v>
      </c>
      <c r="B1210" t="s">
        <v>2091</v>
      </c>
      <c r="C1210" t="s">
        <v>2170</v>
      </c>
      <c r="D1210" s="6" t="str">
        <f t="shared" si="18"/>
        <v>PROT:AAR07433.1</v>
      </c>
      <c r="E1210" t="s">
        <v>2171</v>
      </c>
      <c r="F1210" t="s">
        <v>182</v>
      </c>
      <c r="G1210">
        <f>IF(ISERROR(MATCH(AllProtiens!F1210,Genomes!$C:$C,0)),0,1)</f>
        <v>1</v>
      </c>
      <c r="H1210">
        <f>IF(ISERROR(MATCH(AllProtiens!A1210,CoreProteinGroups!B:B,0)),0,1)</f>
        <v>1</v>
      </c>
      <c r="J1210" s="6" t="s">
        <v>183</v>
      </c>
    </row>
    <row r="1211" spans="1:10" x14ac:dyDescent="0.2">
      <c r="A1211" s="1" t="s">
        <v>2090</v>
      </c>
      <c r="B1211" t="s">
        <v>2091</v>
      </c>
      <c r="C1211" t="s">
        <v>2172</v>
      </c>
      <c r="D1211" s="6" t="str">
        <f t="shared" si="18"/>
        <v>PROT:AAC97665.1</v>
      </c>
      <c r="E1211" t="s">
        <v>2173</v>
      </c>
      <c r="F1211" t="s">
        <v>186</v>
      </c>
      <c r="G1211">
        <f>IF(ISERROR(MATCH(AllProtiens!F1211,Genomes!$C:$C,0)),0,1)</f>
        <v>1</v>
      </c>
      <c r="H1211">
        <f>IF(ISERROR(MATCH(AllProtiens!A1211,CoreProteinGroups!B:B,0)),0,1)</f>
        <v>1</v>
      </c>
      <c r="J1211" s="6" t="s">
        <v>187</v>
      </c>
    </row>
    <row r="1212" spans="1:10" x14ac:dyDescent="0.2">
      <c r="A1212" s="1" t="s">
        <v>2090</v>
      </c>
      <c r="B1212" t="s">
        <v>2091</v>
      </c>
      <c r="C1212" t="s">
        <v>2174</v>
      </c>
      <c r="D1212" s="6" t="str">
        <f t="shared" si="18"/>
        <v>PROT:BAO49512.1</v>
      </c>
      <c r="E1212" t="s">
        <v>2093</v>
      </c>
      <c r="F1212" t="s">
        <v>190</v>
      </c>
      <c r="G1212">
        <f>IF(ISERROR(MATCH(AllProtiens!F1212,Genomes!$C:$C,0)),0,1)</f>
        <v>1</v>
      </c>
      <c r="H1212">
        <f>IF(ISERROR(MATCH(AllProtiens!A1212,CoreProteinGroups!B:B,0)),0,1)</f>
        <v>1</v>
      </c>
      <c r="J1212" s="6" t="s">
        <v>191</v>
      </c>
    </row>
    <row r="1213" spans="1:10" x14ac:dyDescent="0.2">
      <c r="A1213" s="1" t="s">
        <v>2090</v>
      </c>
      <c r="B1213" t="s">
        <v>2091</v>
      </c>
      <c r="C1213" t="s">
        <v>2175</v>
      </c>
      <c r="D1213" s="6" t="str">
        <f t="shared" si="18"/>
        <v>PROT:CCU55373.1</v>
      </c>
      <c r="E1213" t="s">
        <v>2146</v>
      </c>
      <c r="F1213" t="s">
        <v>193</v>
      </c>
      <c r="G1213">
        <f>IF(ISERROR(MATCH(AllProtiens!F1213,Genomes!$C:$C,0)),0,1)</f>
        <v>1</v>
      </c>
      <c r="H1213">
        <f>IF(ISERROR(MATCH(AllProtiens!A1213,CoreProteinGroups!B:B,0)),0,1)</f>
        <v>1</v>
      </c>
      <c r="J1213" s="6" t="s">
        <v>194</v>
      </c>
    </row>
    <row r="1214" spans="1:10" x14ac:dyDescent="0.2">
      <c r="A1214" s="1" t="s">
        <v>2090</v>
      </c>
      <c r="B1214" t="s">
        <v>2091</v>
      </c>
      <c r="C1214" t="s">
        <v>2176</v>
      </c>
      <c r="D1214" s="6" t="str">
        <f t="shared" si="18"/>
        <v>PROT:AAG02758.1</v>
      </c>
      <c r="E1214" t="s">
        <v>2177</v>
      </c>
      <c r="F1214" t="s">
        <v>197</v>
      </c>
      <c r="G1214">
        <f>IF(ISERROR(MATCH(AllProtiens!F1214,Genomes!$C:$C,0)),0,1)</f>
        <v>1</v>
      </c>
      <c r="H1214">
        <f>IF(ISERROR(MATCH(AllProtiens!A1214,CoreProteinGroups!B:B,0)),0,1)</f>
        <v>1</v>
      </c>
      <c r="J1214" s="6" t="s">
        <v>198</v>
      </c>
    </row>
    <row r="1215" spans="1:10" x14ac:dyDescent="0.2">
      <c r="A1215" s="1" t="s">
        <v>2090</v>
      </c>
      <c r="B1215" t="s">
        <v>2091</v>
      </c>
      <c r="C1215" t="s">
        <v>2178</v>
      </c>
      <c r="D1215" s="6" t="str">
        <f t="shared" si="18"/>
        <v>PROT:CCU55663.1</v>
      </c>
      <c r="E1215" t="s">
        <v>2146</v>
      </c>
      <c r="F1215" t="s">
        <v>200</v>
      </c>
      <c r="G1215">
        <f>IF(ISERROR(MATCH(AllProtiens!F1215,Genomes!$C:$C,0)),0,1)</f>
        <v>1</v>
      </c>
      <c r="H1215">
        <f>IF(ISERROR(MATCH(AllProtiens!A1215,CoreProteinGroups!B:B,0)),0,1)</f>
        <v>1</v>
      </c>
      <c r="J1215" s="6" t="s">
        <v>201</v>
      </c>
    </row>
    <row r="1216" spans="1:10" x14ac:dyDescent="0.2">
      <c r="A1216" s="1" t="s">
        <v>2090</v>
      </c>
      <c r="B1216" t="s">
        <v>2091</v>
      </c>
      <c r="C1216" t="s">
        <v>2179</v>
      </c>
      <c r="D1216" s="6" t="str">
        <f t="shared" si="18"/>
        <v>PROT:CCU55973.1</v>
      </c>
      <c r="E1216" t="s">
        <v>2146</v>
      </c>
      <c r="F1216" t="s">
        <v>203</v>
      </c>
      <c r="G1216">
        <f>IF(ISERROR(MATCH(AllProtiens!F1216,Genomes!$C:$C,0)),0,1)</f>
        <v>1</v>
      </c>
      <c r="H1216">
        <f>IF(ISERROR(MATCH(AllProtiens!A1216,CoreProteinGroups!B:B,0)),0,1)</f>
        <v>1</v>
      </c>
      <c r="J1216" s="6" t="s">
        <v>204</v>
      </c>
    </row>
    <row r="1217" spans="1:10" x14ac:dyDescent="0.2">
      <c r="A1217" s="1" t="s">
        <v>2090</v>
      </c>
      <c r="B1217" t="s">
        <v>2091</v>
      </c>
      <c r="C1217" t="s">
        <v>2180</v>
      </c>
      <c r="D1217" s="6" t="str">
        <f t="shared" si="18"/>
        <v>PROT:CCU56275.1</v>
      </c>
      <c r="E1217" t="s">
        <v>2146</v>
      </c>
      <c r="F1217" t="s">
        <v>206</v>
      </c>
      <c r="G1217">
        <f>IF(ISERROR(MATCH(AllProtiens!F1217,Genomes!$C:$C,0)),0,1)</f>
        <v>1</v>
      </c>
      <c r="H1217">
        <f>IF(ISERROR(MATCH(AllProtiens!A1217,CoreProteinGroups!B:B,0)),0,1)</f>
        <v>1</v>
      </c>
      <c r="J1217" s="6" t="s">
        <v>207</v>
      </c>
    </row>
    <row r="1218" spans="1:10" x14ac:dyDescent="0.2">
      <c r="A1218" s="1" t="s">
        <v>2090</v>
      </c>
      <c r="B1218" t="s">
        <v>2091</v>
      </c>
      <c r="C1218" t="s">
        <v>2181</v>
      </c>
      <c r="D1218" s="6" t="str">
        <f t="shared" ref="D1218:D1281" si="19">HYPERLINK(_xlfn.CONCAT("https://www.ncbi.nlm.nih.gov/protein/",C1218),_xlfn.CONCAT("PROT:",C1218))</f>
        <v>PROT:NP_659649.1</v>
      </c>
      <c r="E1218" t="s">
        <v>2091</v>
      </c>
      <c r="F1218" t="s">
        <v>210</v>
      </c>
      <c r="G1218">
        <f>IF(ISERROR(MATCH(AllProtiens!F1218,Genomes!$C:$C,0)),0,1)</f>
        <v>1</v>
      </c>
      <c r="H1218">
        <f>IF(ISERROR(MATCH(AllProtiens!A1218,CoreProteinGroups!B:B,0)),0,1)</f>
        <v>1</v>
      </c>
      <c r="J1218" s="6" t="s">
        <v>211</v>
      </c>
    </row>
    <row r="1219" spans="1:10" x14ac:dyDescent="0.2">
      <c r="A1219" s="1" t="s">
        <v>2090</v>
      </c>
      <c r="B1219" t="s">
        <v>2091</v>
      </c>
      <c r="C1219" t="s">
        <v>2182</v>
      </c>
      <c r="D1219" s="6" t="str">
        <f t="shared" si="19"/>
        <v>PROT:YP_001293268.1</v>
      </c>
      <c r="E1219" t="s">
        <v>2183</v>
      </c>
      <c r="F1219" t="s">
        <v>214</v>
      </c>
      <c r="G1219">
        <f>IF(ISERROR(MATCH(AllProtiens!F1219,Genomes!$C:$C,0)),0,1)</f>
        <v>1</v>
      </c>
      <c r="H1219">
        <f>IF(ISERROR(MATCH(AllProtiens!A1219,CoreProteinGroups!B:B,0)),0,1)</f>
        <v>1</v>
      </c>
      <c r="J1219" s="6" t="s">
        <v>215</v>
      </c>
    </row>
    <row r="1220" spans="1:10" x14ac:dyDescent="0.2">
      <c r="A1220" s="1" t="s">
        <v>2184</v>
      </c>
      <c r="B1220" t="s">
        <v>2185</v>
      </c>
      <c r="C1220" t="s">
        <v>2186</v>
      </c>
      <c r="D1220" s="6" t="str">
        <f t="shared" si="19"/>
        <v>PROT:ATI21157.1</v>
      </c>
      <c r="E1220" t="s">
        <v>2187</v>
      </c>
      <c r="F1220" t="s">
        <v>14</v>
      </c>
      <c r="G1220">
        <f>IF(ISERROR(MATCH(AllProtiens!F1220,Genomes!$C:$C,0)),0,1)</f>
        <v>1</v>
      </c>
      <c r="H1220">
        <f>IF(ISERROR(MATCH(AllProtiens!A1220,CoreProteinGroups!B:B,0)),0,1)</f>
        <v>1</v>
      </c>
      <c r="J1220" s="6" t="s">
        <v>15</v>
      </c>
    </row>
    <row r="1221" spans="1:10" x14ac:dyDescent="0.2">
      <c r="A1221" s="1" t="s">
        <v>2184</v>
      </c>
      <c r="B1221" t="s">
        <v>2185</v>
      </c>
      <c r="C1221" t="s">
        <v>2188</v>
      </c>
      <c r="D1221" s="6" t="str">
        <f t="shared" si="19"/>
        <v>PROT:AWU47094.1</v>
      </c>
      <c r="E1221" t="s">
        <v>2189</v>
      </c>
      <c r="F1221" t="s">
        <v>17</v>
      </c>
      <c r="G1221">
        <f>IF(ISERROR(MATCH(AllProtiens!F1221,Genomes!$C:$C,0)),0,1)</f>
        <v>1</v>
      </c>
      <c r="H1221">
        <f>IF(ISERROR(MATCH(AllProtiens!A1221,CoreProteinGroups!B:B,0)),0,1)</f>
        <v>1</v>
      </c>
      <c r="J1221" s="6" t="s">
        <v>18</v>
      </c>
    </row>
    <row r="1222" spans="1:10" x14ac:dyDescent="0.2">
      <c r="A1222" s="1" t="s">
        <v>2184</v>
      </c>
      <c r="B1222" t="s">
        <v>2185</v>
      </c>
      <c r="C1222" t="s">
        <v>2190</v>
      </c>
      <c r="D1222" s="6" t="str">
        <f t="shared" si="19"/>
        <v>PROT:APG58264.1</v>
      </c>
      <c r="E1222" t="s">
        <v>2191</v>
      </c>
      <c r="F1222" t="s">
        <v>21</v>
      </c>
      <c r="G1222">
        <f>IF(ISERROR(MATCH(AllProtiens!F1222,Genomes!$C:$C,0)),0,1)</f>
        <v>1</v>
      </c>
      <c r="H1222">
        <f>IF(ISERROR(MATCH(AllProtiens!A1222,CoreProteinGroups!B:B,0)),0,1)</f>
        <v>1</v>
      </c>
      <c r="J1222" s="6" t="s">
        <v>22</v>
      </c>
    </row>
    <row r="1223" spans="1:10" x14ac:dyDescent="0.2">
      <c r="A1223" s="1" t="s">
        <v>2184</v>
      </c>
      <c r="B1223" t="s">
        <v>2185</v>
      </c>
      <c r="C1223" t="s">
        <v>2192</v>
      </c>
      <c r="D1223" s="6" t="str">
        <f t="shared" si="19"/>
        <v>PROT:ADT91081.1</v>
      </c>
      <c r="E1223" t="s">
        <v>2191</v>
      </c>
      <c r="F1223" t="s">
        <v>25</v>
      </c>
      <c r="G1223">
        <f>IF(ISERROR(MATCH(AllProtiens!F1223,Genomes!$C:$C,0)),0,1)</f>
        <v>1</v>
      </c>
      <c r="H1223">
        <f>IF(ISERROR(MATCH(AllProtiens!A1223,CoreProteinGroups!B:B,0)),0,1)</f>
        <v>1</v>
      </c>
      <c r="J1223" s="6" t="s">
        <v>26</v>
      </c>
    </row>
    <row r="1224" spans="1:10" x14ac:dyDescent="0.2">
      <c r="A1224" s="1" t="s">
        <v>2184</v>
      </c>
      <c r="B1224" t="s">
        <v>2185</v>
      </c>
      <c r="C1224" t="s">
        <v>2193</v>
      </c>
      <c r="D1224" s="6" t="str">
        <f t="shared" si="19"/>
        <v>PROT:ANS71138.1</v>
      </c>
      <c r="E1224" t="s">
        <v>2194</v>
      </c>
      <c r="F1224" t="s">
        <v>28</v>
      </c>
      <c r="G1224">
        <f>IF(ISERROR(MATCH(AllProtiens!F1224,Genomes!$C:$C,0)),0,1)</f>
        <v>1</v>
      </c>
      <c r="H1224">
        <f>IF(ISERROR(MATCH(AllProtiens!A1224,CoreProteinGroups!B:B,0)),0,1)</f>
        <v>1</v>
      </c>
      <c r="J1224" s="6" t="s">
        <v>29</v>
      </c>
    </row>
    <row r="1225" spans="1:10" x14ac:dyDescent="0.2">
      <c r="A1225" s="1" t="s">
        <v>2184</v>
      </c>
      <c r="B1225" t="s">
        <v>2185</v>
      </c>
      <c r="C1225" t="s">
        <v>2195</v>
      </c>
      <c r="D1225" s="6" t="str">
        <f t="shared" si="19"/>
        <v>PROT:AKR04274.1</v>
      </c>
      <c r="E1225" t="s">
        <v>2196</v>
      </c>
      <c r="F1225" t="s">
        <v>32</v>
      </c>
      <c r="G1225">
        <f>IF(ISERROR(MATCH(AllProtiens!F1225,Genomes!$C:$C,0)),0,1)</f>
        <v>1</v>
      </c>
      <c r="H1225">
        <f>IF(ISERROR(MATCH(AllProtiens!A1225,CoreProteinGroups!B:B,0)),0,1)</f>
        <v>1</v>
      </c>
      <c r="J1225" s="6" t="s">
        <v>33</v>
      </c>
    </row>
    <row r="1226" spans="1:10" x14ac:dyDescent="0.2">
      <c r="A1226" s="1" t="s">
        <v>2184</v>
      </c>
      <c r="B1226" t="s">
        <v>2185</v>
      </c>
      <c r="C1226" t="s">
        <v>2197</v>
      </c>
      <c r="D1226" s="6" t="str">
        <f t="shared" si="19"/>
        <v>PROT:CCD83226.1</v>
      </c>
      <c r="E1226" t="s">
        <v>2198</v>
      </c>
      <c r="F1226" t="s">
        <v>36</v>
      </c>
      <c r="G1226">
        <f>IF(ISERROR(MATCH(AllProtiens!F1226,Genomes!$C:$C,0)),0,1)</f>
        <v>1</v>
      </c>
      <c r="H1226">
        <f>IF(ISERROR(MATCH(AllProtiens!A1226,CoreProteinGroups!B:B,0)),0,1)</f>
        <v>1</v>
      </c>
      <c r="J1226" s="6" t="s">
        <v>37</v>
      </c>
    </row>
    <row r="1227" spans="1:10" x14ac:dyDescent="0.2">
      <c r="A1227" s="1" t="s">
        <v>2184</v>
      </c>
      <c r="B1227" t="s">
        <v>2185</v>
      </c>
      <c r="C1227" t="s">
        <v>2199</v>
      </c>
      <c r="D1227" s="6" t="str">
        <f t="shared" si="19"/>
        <v>PROT:ASK51254.1</v>
      </c>
      <c r="E1227" t="s">
        <v>2200</v>
      </c>
      <c r="F1227" t="s">
        <v>40</v>
      </c>
      <c r="G1227">
        <f>IF(ISERROR(MATCH(AllProtiens!F1227,Genomes!$C:$C,0)),0,1)</f>
        <v>1</v>
      </c>
      <c r="H1227">
        <f>IF(ISERROR(MATCH(AllProtiens!A1227,CoreProteinGroups!B:B,0)),0,1)</f>
        <v>1</v>
      </c>
      <c r="J1227" s="6" t="s">
        <v>41</v>
      </c>
    </row>
    <row r="1228" spans="1:10" x14ac:dyDescent="0.2">
      <c r="A1228" s="1" t="s">
        <v>2184</v>
      </c>
      <c r="B1228" t="s">
        <v>2185</v>
      </c>
      <c r="C1228" t="s">
        <v>2201</v>
      </c>
      <c r="D1228" s="6" t="str">
        <f t="shared" si="19"/>
        <v>PROT:AUD40185.1</v>
      </c>
      <c r="E1228" t="s">
        <v>2202</v>
      </c>
      <c r="F1228" t="s">
        <v>43</v>
      </c>
      <c r="G1228">
        <f>IF(ISERROR(MATCH(AllProtiens!F1228,Genomes!$C:$C,0)),0,1)</f>
        <v>1</v>
      </c>
      <c r="H1228">
        <f>IF(ISERROR(MATCH(AllProtiens!A1228,CoreProteinGroups!B:B,0)),0,1)</f>
        <v>1</v>
      </c>
      <c r="J1228" s="6" t="s">
        <v>44</v>
      </c>
    </row>
    <row r="1229" spans="1:10" x14ac:dyDescent="0.2">
      <c r="A1229" s="1" t="s">
        <v>2184</v>
      </c>
      <c r="B1229" t="s">
        <v>2185</v>
      </c>
      <c r="C1229" t="s">
        <v>2203</v>
      </c>
      <c r="D1229" s="6" t="str">
        <f t="shared" si="19"/>
        <v>PROT:AID46820.1</v>
      </c>
      <c r="E1229" t="s">
        <v>2202</v>
      </c>
      <c r="F1229" t="s">
        <v>46</v>
      </c>
      <c r="G1229">
        <f>IF(ISERROR(MATCH(AllProtiens!F1229,Genomes!$C:$C,0)),0,1)</f>
        <v>1</v>
      </c>
      <c r="H1229">
        <f>IF(ISERROR(MATCH(AllProtiens!A1229,CoreProteinGroups!B:B,0)),0,1)</f>
        <v>1</v>
      </c>
      <c r="J1229" s="6" t="s">
        <v>47</v>
      </c>
    </row>
    <row r="1230" spans="1:10" x14ac:dyDescent="0.2">
      <c r="A1230" s="1" t="s">
        <v>2184</v>
      </c>
      <c r="B1230" t="s">
        <v>2185</v>
      </c>
      <c r="C1230" t="s">
        <v>2204</v>
      </c>
      <c r="D1230" s="6" t="str">
        <f t="shared" si="19"/>
        <v>PROT:AID46591.1</v>
      </c>
      <c r="E1230" t="s">
        <v>2202</v>
      </c>
      <c r="F1230" t="s">
        <v>49</v>
      </c>
      <c r="G1230">
        <f>IF(ISERROR(MATCH(AllProtiens!F1230,Genomes!$C:$C,0)),0,1)</f>
        <v>1</v>
      </c>
      <c r="H1230">
        <f>IF(ISERROR(MATCH(AllProtiens!A1230,CoreProteinGroups!B:B,0)),0,1)</f>
        <v>1</v>
      </c>
      <c r="J1230" s="6" t="s">
        <v>50</v>
      </c>
    </row>
    <row r="1231" spans="1:10" x14ac:dyDescent="0.2">
      <c r="A1231" s="1" t="s">
        <v>2184</v>
      </c>
      <c r="B1231" t="s">
        <v>2185</v>
      </c>
      <c r="C1231" t="s">
        <v>2205</v>
      </c>
      <c r="D1231" s="6" t="str">
        <f t="shared" si="19"/>
        <v>PROT:ALA62429.1</v>
      </c>
      <c r="E1231" t="s">
        <v>2206</v>
      </c>
      <c r="F1231" t="s">
        <v>53</v>
      </c>
      <c r="G1231">
        <f>IF(ISERROR(MATCH(AllProtiens!F1231,Genomes!$C:$C,0)),0,1)</f>
        <v>1</v>
      </c>
      <c r="H1231">
        <f>IF(ISERROR(MATCH(AllProtiens!A1231,CoreProteinGroups!B:B,0)),0,1)</f>
        <v>1</v>
      </c>
      <c r="J1231" s="6" t="s">
        <v>54</v>
      </c>
    </row>
    <row r="1232" spans="1:10" x14ac:dyDescent="0.2">
      <c r="A1232" s="1" t="s">
        <v>2184</v>
      </c>
      <c r="B1232" t="s">
        <v>2185</v>
      </c>
      <c r="C1232" t="s">
        <v>2207</v>
      </c>
      <c r="D1232" s="6" t="str">
        <f t="shared" si="19"/>
        <v>PROT:AAR83455.1</v>
      </c>
      <c r="E1232" t="s">
        <v>2208</v>
      </c>
      <c r="F1232" t="s">
        <v>57</v>
      </c>
      <c r="G1232">
        <f>IF(ISERROR(MATCH(AllProtiens!F1232,Genomes!$C:$C,0)),0,1)</f>
        <v>1</v>
      </c>
      <c r="H1232">
        <f>IF(ISERROR(MATCH(AllProtiens!A1232,CoreProteinGroups!B:B,0)),0,1)</f>
        <v>1</v>
      </c>
      <c r="J1232" s="6" t="s">
        <v>58</v>
      </c>
    </row>
    <row r="1233" spans="1:10" x14ac:dyDescent="0.2">
      <c r="A1233" s="1" t="s">
        <v>2184</v>
      </c>
      <c r="B1233" t="s">
        <v>2185</v>
      </c>
      <c r="C1233" t="s">
        <v>2209</v>
      </c>
      <c r="D1233" s="6" t="str">
        <f t="shared" si="19"/>
        <v>PROT:AAF44426.1</v>
      </c>
      <c r="E1233" t="s">
        <v>2210</v>
      </c>
      <c r="F1233" t="s">
        <v>61</v>
      </c>
      <c r="G1233">
        <f>IF(ISERROR(MATCH(AllProtiens!F1233,Genomes!$C:$C,0)),0,1)</f>
        <v>1</v>
      </c>
      <c r="H1233">
        <f>IF(ISERROR(MATCH(AllProtiens!A1233,CoreProteinGroups!B:B,0)),0,1)</f>
        <v>1</v>
      </c>
      <c r="J1233" s="6" t="s">
        <v>62</v>
      </c>
    </row>
    <row r="1234" spans="1:10" x14ac:dyDescent="0.2">
      <c r="A1234" s="1" t="s">
        <v>2184</v>
      </c>
      <c r="B1234" t="s">
        <v>2185</v>
      </c>
      <c r="C1234" t="s">
        <v>2211</v>
      </c>
      <c r="D1234" s="6" t="str">
        <f t="shared" si="19"/>
        <v>PROT:AAK85010.1</v>
      </c>
      <c r="E1234" t="s">
        <v>2212</v>
      </c>
      <c r="F1234" t="s">
        <v>65</v>
      </c>
      <c r="G1234">
        <f>IF(ISERROR(MATCH(AllProtiens!F1234,Genomes!$C:$C,0)),0,1)</f>
        <v>1</v>
      </c>
      <c r="H1234">
        <f>IF(ISERROR(MATCH(AllProtiens!A1234,CoreProteinGroups!B:B,0)),0,1)</f>
        <v>1</v>
      </c>
      <c r="J1234" s="6" t="s">
        <v>66</v>
      </c>
    </row>
    <row r="1235" spans="1:10" x14ac:dyDescent="0.2">
      <c r="A1235" s="1" t="s">
        <v>2184</v>
      </c>
      <c r="B1235" t="s">
        <v>2185</v>
      </c>
      <c r="C1235" t="s">
        <v>2213</v>
      </c>
      <c r="D1235" s="6" t="str">
        <f t="shared" si="19"/>
        <v>PROT:AST09268.1</v>
      </c>
      <c r="E1235" t="s">
        <v>2214</v>
      </c>
      <c r="F1235" t="s">
        <v>68</v>
      </c>
      <c r="G1235">
        <f>IF(ISERROR(MATCH(AllProtiens!F1235,Genomes!$C:$C,0)),0,1)</f>
        <v>1</v>
      </c>
      <c r="H1235">
        <f>IF(ISERROR(MATCH(AllProtiens!A1235,CoreProteinGroups!B:B,0)),0,1)</f>
        <v>1</v>
      </c>
      <c r="J1235" s="6" t="s">
        <v>69</v>
      </c>
    </row>
    <row r="1236" spans="1:10" x14ac:dyDescent="0.2">
      <c r="A1236" s="1" t="s">
        <v>2184</v>
      </c>
      <c r="B1236" t="s">
        <v>2185</v>
      </c>
      <c r="C1236" t="s">
        <v>2215</v>
      </c>
      <c r="D1236" s="6" t="str">
        <f t="shared" si="19"/>
        <v>PROT:AEN03645.1</v>
      </c>
      <c r="E1236" t="s">
        <v>2216</v>
      </c>
      <c r="F1236" t="s">
        <v>71</v>
      </c>
      <c r="G1236">
        <f>IF(ISERROR(MATCH(AllProtiens!F1236,Genomes!$C:$C,0)),0,1)</f>
        <v>1</v>
      </c>
      <c r="H1236">
        <f>IF(ISERROR(MATCH(AllProtiens!A1236,CoreProteinGroups!B:B,0)),0,1)</f>
        <v>1</v>
      </c>
      <c r="J1236" s="6" t="s">
        <v>72</v>
      </c>
    </row>
    <row r="1237" spans="1:10" x14ac:dyDescent="0.2">
      <c r="A1237" s="1" t="s">
        <v>2184</v>
      </c>
      <c r="B1237" t="s">
        <v>2185</v>
      </c>
      <c r="C1237" t="s">
        <v>2217</v>
      </c>
      <c r="D1237" s="6" t="str">
        <f t="shared" si="19"/>
        <v>PROT:ABI99213.1</v>
      </c>
      <c r="E1237" t="s">
        <v>2189</v>
      </c>
      <c r="F1237" t="s">
        <v>74</v>
      </c>
      <c r="G1237">
        <f>IF(ISERROR(MATCH(AllProtiens!F1237,Genomes!$C:$C,0)),0,1)</f>
        <v>1</v>
      </c>
      <c r="H1237">
        <f>IF(ISERROR(MATCH(AllProtiens!A1237,CoreProteinGroups!B:B,0)),0,1)</f>
        <v>1</v>
      </c>
      <c r="J1237" s="6" t="s">
        <v>75</v>
      </c>
    </row>
    <row r="1238" spans="1:10" x14ac:dyDescent="0.2">
      <c r="A1238" s="1" t="s">
        <v>2184</v>
      </c>
      <c r="B1238" t="s">
        <v>2185</v>
      </c>
      <c r="C1238" t="s">
        <v>2218</v>
      </c>
      <c r="D1238" s="6" t="str">
        <f t="shared" si="19"/>
        <v>PROT:ABJ08962.1</v>
      </c>
      <c r="E1238" t="s">
        <v>2191</v>
      </c>
      <c r="F1238" t="s">
        <v>77</v>
      </c>
      <c r="G1238">
        <f>IF(ISERROR(MATCH(AllProtiens!F1238,Genomes!$C:$C,0)),0,1)</f>
        <v>1</v>
      </c>
      <c r="H1238">
        <f>IF(ISERROR(MATCH(AllProtiens!A1238,CoreProteinGroups!B:B,0)),0,1)</f>
        <v>1</v>
      </c>
      <c r="J1238" s="6" t="s">
        <v>78</v>
      </c>
    </row>
    <row r="1239" spans="1:10" x14ac:dyDescent="0.2">
      <c r="A1239" s="1" t="s">
        <v>2184</v>
      </c>
      <c r="B1239" t="s">
        <v>2185</v>
      </c>
      <c r="C1239" t="s">
        <v>2219</v>
      </c>
      <c r="D1239" s="6" t="str">
        <f t="shared" si="19"/>
        <v>PROT:AAF14932.1</v>
      </c>
      <c r="E1239" t="s">
        <v>2220</v>
      </c>
      <c r="F1239" t="s">
        <v>81</v>
      </c>
      <c r="G1239">
        <f>IF(ISERROR(MATCH(AllProtiens!F1239,Genomes!$C:$C,0)),0,1)</f>
        <v>0</v>
      </c>
      <c r="H1239">
        <f>IF(ISERROR(MATCH(AllProtiens!A1239,CoreProteinGroups!B:B,0)),0,1)</f>
        <v>1</v>
      </c>
      <c r="J1239" s="6" t="s">
        <v>82</v>
      </c>
    </row>
    <row r="1240" spans="1:10" x14ac:dyDescent="0.2">
      <c r="A1240" s="1" t="s">
        <v>2184</v>
      </c>
      <c r="B1240" t="s">
        <v>2185</v>
      </c>
      <c r="C1240" t="s">
        <v>2221</v>
      </c>
      <c r="D1240" s="6" t="str">
        <f t="shared" si="19"/>
        <v>PROT:AFU77309.1</v>
      </c>
      <c r="E1240" t="s">
        <v>2220</v>
      </c>
      <c r="F1240" t="s">
        <v>81</v>
      </c>
      <c r="G1240">
        <f>IF(ISERROR(MATCH(AllProtiens!F1240,Genomes!$C:$C,0)),0,1)</f>
        <v>0</v>
      </c>
      <c r="H1240">
        <f>IF(ISERROR(MATCH(AllProtiens!A1240,CoreProteinGroups!B:B,0)),0,1)</f>
        <v>1</v>
      </c>
      <c r="J1240" s="6" t="s">
        <v>82</v>
      </c>
    </row>
    <row r="1241" spans="1:10" x14ac:dyDescent="0.2">
      <c r="A1241" s="1" t="s">
        <v>2184</v>
      </c>
      <c r="B1241" t="s">
        <v>2185</v>
      </c>
      <c r="C1241" t="s">
        <v>2222</v>
      </c>
      <c r="D1241" s="6" t="str">
        <f t="shared" si="19"/>
        <v>PROT:AAF17926.1</v>
      </c>
      <c r="E1241" t="s">
        <v>2223</v>
      </c>
      <c r="F1241" t="s">
        <v>86</v>
      </c>
      <c r="G1241">
        <f>IF(ISERROR(MATCH(AllProtiens!F1241,Genomes!$C:$C,0)),0,1)</f>
        <v>1</v>
      </c>
      <c r="H1241">
        <f>IF(ISERROR(MATCH(AllProtiens!A1241,CoreProteinGroups!B:B,0)),0,1)</f>
        <v>1</v>
      </c>
      <c r="J1241" s="6" t="s">
        <v>87</v>
      </c>
    </row>
    <row r="1242" spans="1:10" x14ac:dyDescent="0.2">
      <c r="A1242" s="1" t="s">
        <v>2184</v>
      </c>
      <c r="B1242" t="s">
        <v>2185</v>
      </c>
      <c r="C1242" t="s">
        <v>2224</v>
      </c>
      <c r="D1242" s="6" t="str">
        <f t="shared" si="19"/>
        <v>PROT:AAC55178.1</v>
      </c>
      <c r="E1242" t="s">
        <v>2225</v>
      </c>
      <c r="F1242" t="s">
        <v>90</v>
      </c>
      <c r="G1242">
        <f>IF(ISERROR(MATCH(AllProtiens!F1242,Genomes!$C:$C,0)),0,1)</f>
        <v>1</v>
      </c>
      <c r="H1242">
        <f>IF(ISERROR(MATCH(AllProtiens!A1242,CoreProteinGroups!B:B,0)),0,1)</f>
        <v>1</v>
      </c>
      <c r="J1242" s="6" t="s">
        <v>91</v>
      </c>
    </row>
    <row r="1243" spans="1:10" x14ac:dyDescent="0.2">
      <c r="A1243" s="1" t="s">
        <v>2184</v>
      </c>
      <c r="B1243" t="s">
        <v>2185</v>
      </c>
      <c r="C1243" t="s">
        <v>2226</v>
      </c>
      <c r="D1243" s="6" t="str">
        <f t="shared" si="19"/>
        <v>PROT:AYN64644.1</v>
      </c>
      <c r="E1243" t="s">
        <v>2227</v>
      </c>
      <c r="F1243" t="s">
        <v>94</v>
      </c>
      <c r="G1243">
        <f>IF(ISERROR(MATCH(AllProtiens!F1243,Genomes!$C:$C,0)),0,1)</f>
        <v>1</v>
      </c>
      <c r="H1243">
        <f>IF(ISERROR(MATCH(AllProtiens!A1243,CoreProteinGroups!B:B,0)),0,1)</f>
        <v>1</v>
      </c>
      <c r="J1243" s="6" t="s">
        <v>95</v>
      </c>
    </row>
    <row r="1244" spans="1:10" x14ac:dyDescent="0.2">
      <c r="A1244" s="1" t="s">
        <v>2184</v>
      </c>
      <c r="B1244" t="s">
        <v>2185</v>
      </c>
      <c r="C1244" t="s">
        <v>2228</v>
      </c>
      <c r="D1244" s="6" t="str">
        <f t="shared" si="19"/>
        <v>PROT:AXN74869.1</v>
      </c>
      <c r="E1244" t="s">
        <v>2189</v>
      </c>
      <c r="F1244" t="s">
        <v>97</v>
      </c>
      <c r="G1244">
        <f>IF(ISERROR(MATCH(AllProtiens!F1244,Genomes!$C:$C,0)),0,1)</f>
        <v>1</v>
      </c>
      <c r="H1244">
        <f>IF(ISERROR(MATCH(AllProtiens!A1244,CoreProteinGroups!B:B,0)),0,1)</f>
        <v>1</v>
      </c>
      <c r="J1244" s="6" t="s">
        <v>98</v>
      </c>
    </row>
    <row r="1245" spans="1:10" x14ac:dyDescent="0.2">
      <c r="A1245" s="1" t="s">
        <v>2184</v>
      </c>
      <c r="B1245" t="s">
        <v>2185</v>
      </c>
      <c r="C1245" t="s">
        <v>2229</v>
      </c>
      <c r="D1245" s="6" t="str">
        <f t="shared" si="19"/>
        <v>PROT:ABH08184.1</v>
      </c>
      <c r="E1245" t="s">
        <v>2230</v>
      </c>
      <c r="F1245" t="s">
        <v>101</v>
      </c>
      <c r="G1245">
        <f>IF(ISERROR(MATCH(AllProtiens!F1245,Genomes!$C:$C,0)),0,1)</f>
        <v>1</v>
      </c>
      <c r="H1245">
        <f>IF(ISERROR(MATCH(AllProtiens!A1245,CoreProteinGroups!B:B,0)),0,1)</f>
        <v>1</v>
      </c>
      <c r="J1245" s="6" t="s">
        <v>102</v>
      </c>
    </row>
    <row r="1246" spans="1:10" x14ac:dyDescent="0.2">
      <c r="A1246" s="1" t="s">
        <v>2184</v>
      </c>
      <c r="B1246" t="s">
        <v>2185</v>
      </c>
      <c r="C1246" t="s">
        <v>2231</v>
      </c>
      <c r="D1246" s="6" t="str">
        <f t="shared" si="19"/>
        <v>PROT:AAG37544.1</v>
      </c>
      <c r="E1246" t="s">
        <v>2232</v>
      </c>
      <c r="F1246" t="s">
        <v>105</v>
      </c>
      <c r="G1246">
        <f>IF(ISERROR(MATCH(AllProtiens!F1246,Genomes!$C:$C,0)),0,1)</f>
        <v>1</v>
      </c>
      <c r="H1246">
        <f>IF(ISERROR(MATCH(AllProtiens!A1246,CoreProteinGroups!B:B,0)),0,1)</f>
        <v>1</v>
      </c>
      <c r="J1246" s="6" t="s">
        <v>106</v>
      </c>
    </row>
    <row r="1247" spans="1:10" x14ac:dyDescent="0.2">
      <c r="A1247" s="1" t="s">
        <v>2184</v>
      </c>
      <c r="B1247" t="s">
        <v>2185</v>
      </c>
      <c r="C1247" t="s">
        <v>2233</v>
      </c>
      <c r="D1247" s="6" t="str">
        <f t="shared" si="19"/>
        <v>PROT:AAL73782.1</v>
      </c>
      <c r="E1247" t="s">
        <v>2234</v>
      </c>
      <c r="F1247" t="s">
        <v>109</v>
      </c>
      <c r="G1247">
        <f>IF(ISERROR(MATCH(AllProtiens!F1247,Genomes!$C:$C,0)),0,1)</f>
        <v>1</v>
      </c>
      <c r="H1247">
        <f>IF(ISERROR(MATCH(AllProtiens!A1247,CoreProteinGroups!B:B,0)),0,1)</f>
        <v>1</v>
      </c>
      <c r="J1247" s="6" t="s">
        <v>110</v>
      </c>
    </row>
    <row r="1248" spans="1:10" x14ac:dyDescent="0.2">
      <c r="A1248" s="1" t="s">
        <v>2184</v>
      </c>
      <c r="B1248" t="s">
        <v>2185</v>
      </c>
      <c r="C1248" t="s">
        <v>2235</v>
      </c>
      <c r="D1248" s="6" t="str">
        <f t="shared" si="19"/>
        <v>PROT:AAM13532.1</v>
      </c>
      <c r="E1248" t="s">
        <v>2236</v>
      </c>
      <c r="F1248" t="s">
        <v>113</v>
      </c>
      <c r="G1248">
        <f>IF(ISERROR(MATCH(AllProtiens!F1248,Genomes!$C:$C,0)),0,1)</f>
        <v>1</v>
      </c>
      <c r="H1248">
        <f>IF(ISERROR(MATCH(AllProtiens!A1248,CoreProteinGroups!B:B,0)),0,1)</f>
        <v>1</v>
      </c>
      <c r="J1248" s="6" t="s">
        <v>114</v>
      </c>
    </row>
    <row r="1249" spans="1:10" x14ac:dyDescent="0.2">
      <c r="A1249" s="1" t="s">
        <v>2184</v>
      </c>
      <c r="B1249" t="s">
        <v>2185</v>
      </c>
      <c r="C1249" t="s">
        <v>2237</v>
      </c>
      <c r="D1249" s="6" t="str">
        <f t="shared" si="19"/>
        <v>PROT:AAM92365.1</v>
      </c>
      <c r="E1249" t="s">
        <v>2238</v>
      </c>
      <c r="F1249" t="s">
        <v>117</v>
      </c>
      <c r="G1249">
        <f>IF(ISERROR(MATCH(AllProtiens!F1249,Genomes!$C:$C,0)),0,1)</f>
        <v>1</v>
      </c>
      <c r="H1249">
        <f>IF(ISERROR(MATCH(AllProtiens!A1249,CoreProteinGroups!B:B,0)),0,1)</f>
        <v>1</v>
      </c>
      <c r="J1249" s="6" t="s">
        <v>118</v>
      </c>
    </row>
    <row r="1250" spans="1:10" x14ac:dyDescent="0.2">
      <c r="A1250" s="1" t="s">
        <v>2184</v>
      </c>
      <c r="B1250" t="s">
        <v>2185</v>
      </c>
      <c r="C1250" t="s">
        <v>2239</v>
      </c>
      <c r="D1250" s="6" t="str">
        <f t="shared" si="19"/>
        <v>PROT:AFH54624.1</v>
      </c>
      <c r="E1250" t="s">
        <v>2189</v>
      </c>
      <c r="F1250" t="s">
        <v>120</v>
      </c>
      <c r="G1250">
        <f>IF(ISERROR(MATCH(AllProtiens!F1250,Genomes!$C:$C,0)),0,1)</f>
        <v>1</v>
      </c>
      <c r="H1250">
        <f>IF(ISERROR(MATCH(AllProtiens!A1250,CoreProteinGroups!B:B,0)),0,1)</f>
        <v>1</v>
      </c>
      <c r="J1250" s="6" t="s">
        <v>121</v>
      </c>
    </row>
    <row r="1251" spans="1:10" x14ac:dyDescent="0.2">
      <c r="A1251" s="1" t="s">
        <v>2184</v>
      </c>
      <c r="B1251" t="s">
        <v>2185</v>
      </c>
      <c r="C1251" t="s">
        <v>2240</v>
      </c>
      <c r="D1251" s="6" t="str">
        <f t="shared" si="19"/>
        <v>PROT:AAL40527.1</v>
      </c>
      <c r="E1251" t="s">
        <v>2241</v>
      </c>
      <c r="F1251" t="s">
        <v>124</v>
      </c>
      <c r="G1251">
        <f>IF(ISERROR(MATCH(AllProtiens!F1251,Genomes!$C:$C,0)),0,1)</f>
        <v>1</v>
      </c>
      <c r="H1251">
        <f>IF(ISERROR(MATCH(AllProtiens!A1251,CoreProteinGroups!B:B,0)),0,1)</f>
        <v>1</v>
      </c>
      <c r="J1251" s="6" t="s">
        <v>125</v>
      </c>
    </row>
    <row r="1252" spans="1:10" x14ac:dyDescent="0.2">
      <c r="A1252" s="1" t="s">
        <v>2184</v>
      </c>
      <c r="B1252" t="s">
        <v>2185</v>
      </c>
      <c r="C1252" t="s">
        <v>2242</v>
      </c>
      <c r="D1252" s="6" t="str">
        <f t="shared" si="19"/>
        <v>PROT:AAX09164.1</v>
      </c>
      <c r="E1252" t="s">
        <v>2243</v>
      </c>
      <c r="F1252" t="s">
        <v>128</v>
      </c>
      <c r="G1252">
        <f>IF(ISERROR(MATCH(AllProtiens!F1252,Genomes!$C:$C,0)),0,1)</f>
        <v>1</v>
      </c>
      <c r="H1252">
        <f>IF(ISERROR(MATCH(AllProtiens!A1252,CoreProteinGroups!B:B,0)),0,1)</f>
        <v>1</v>
      </c>
      <c r="J1252" s="6" t="s">
        <v>129</v>
      </c>
    </row>
    <row r="1253" spans="1:10" x14ac:dyDescent="0.2">
      <c r="A1253" s="1" t="s">
        <v>2184</v>
      </c>
      <c r="B1253" t="s">
        <v>2185</v>
      </c>
      <c r="C1253" t="s">
        <v>2244</v>
      </c>
      <c r="D1253" s="6" t="str">
        <f t="shared" si="19"/>
        <v>PROT:AKJ93706.1</v>
      </c>
      <c r="E1253" t="s">
        <v>2200</v>
      </c>
      <c r="F1253" t="s">
        <v>131</v>
      </c>
      <c r="G1253">
        <f>IF(ISERROR(MATCH(AllProtiens!F1253,Genomes!$C:$C,0)),0,1)</f>
        <v>1</v>
      </c>
      <c r="H1253">
        <f>IF(ISERROR(MATCH(AllProtiens!A1253,CoreProteinGroups!B:B,0)),0,1)</f>
        <v>1</v>
      </c>
      <c r="J1253" s="6" t="s">
        <v>132</v>
      </c>
    </row>
    <row r="1254" spans="1:10" x14ac:dyDescent="0.2">
      <c r="A1254" s="1" t="s">
        <v>2184</v>
      </c>
      <c r="B1254" t="s">
        <v>2185</v>
      </c>
      <c r="C1254" t="s">
        <v>2245</v>
      </c>
      <c r="D1254" s="6" t="str">
        <f t="shared" si="19"/>
        <v>PROT:AOP31555.1</v>
      </c>
      <c r="E1254" t="s">
        <v>2189</v>
      </c>
      <c r="F1254" t="s">
        <v>134</v>
      </c>
      <c r="G1254">
        <f>IF(ISERROR(MATCH(AllProtiens!F1254,Genomes!$C:$C,0)),0,1)</f>
        <v>1</v>
      </c>
      <c r="H1254">
        <f>IF(ISERROR(MATCH(AllProtiens!A1254,CoreProteinGroups!B:B,0)),0,1)</f>
        <v>1</v>
      </c>
      <c r="J1254" s="6" t="s">
        <v>135</v>
      </c>
    </row>
    <row r="1255" spans="1:10" x14ac:dyDescent="0.2">
      <c r="A1255" s="1" t="s">
        <v>2184</v>
      </c>
      <c r="B1255" t="s">
        <v>2185</v>
      </c>
      <c r="C1255" t="s">
        <v>2246</v>
      </c>
      <c r="D1255" s="6" t="str">
        <f t="shared" si="19"/>
        <v>PROT:ABD97646.1</v>
      </c>
      <c r="E1255" t="s">
        <v>2247</v>
      </c>
      <c r="F1255" t="s">
        <v>137</v>
      </c>
      <c r="G1255">
        <f>IF(ISERROR(MATCH(AllProtiens!F1255,Genomes!$C:$C,0)),0,1)</f>
        <v>1</v>
      </c>
      <c r="H1255">
        <f>IF(ISERROR(MATCH(AllProtiens!A1255,CoreProteinGroups!B:B,0)),0,1)</f>
        <v>1</v>
      </c>
      <c r="J1255" s="6" t="s">
        <v>138</v>
      </c>
    </row>
    <row r="1256" spans="1:10" x14ac:dyDescent="0.2">
      <c r="A1256" s="1" t="s">
        <v>2184</v>
      </c>
      <c r="B1256" t="s">
        <v>2185</v>
      </c>
      <c r="C1256" t="s">
        <v>2248</v>
      </c>
      <c r="D1256" s="6" t="str">
        <f t="shared" si="19"/>
        <v>PROT:AAO89356.1</v>
      </c>
      <c r="E1256" t="s">
        <v>2200</v>
      </c>
      <c r="F1256" t="s">
        <v>140</v>
      </c>
      <c r="G1256">
        <f>IF(ISERROR(MATCH(AllProtiens!F1256,Genomes!$C:$C,0)),0,1)</f>
        <v>1</v>
      </c>
      <c r="H1256">
        <f>IF(ISERROR(MATCH(AllProtiens!A1256,CoreProteinGroups!B:B,0)),0,1)</f>
        <v>1</v>
      </c>
      <c r="J1256" s="6" t="s">
        <v>141</v>
      </c>
    </row>
    <row r="1257" spans="1:10" x14ac:dyDescent="0.2">
      <c r="A1257" s="1" t="s">
        <v>2184</v>
      </c>
      <c r="B1257" t="s">
        <v>2185</v>
      </c>
      <c r="C1257" t="s">
        <v>2249</v>
      </c>
      <c r="D1257" s="6" t="str">
        <f t="shared" si="19"/>
        <v>PROT:CAA49003.1</v>
      </c>
      <c r="E1257" t="s">
        <v>2250</v>
      </c>
      <c r="F1257" t="s">
        <v>144</v>
      </c>
      <c r="G1257">
        <f>IF(ISERROR(MATCH(AllProtiens!F1257,Genomes!$C:$C,0)),0,1)</f>
        <v>1</v>
      </c>
      <c r="H1257">
        <f>IF(ISERROR(MATCH(AllProtiens!A1257,CoreProteinGroups!B:B,0)),0,1)</f>
        <v>1</v>
      </c>
      <c r="J1257" s="6" t="s">
        <v>145</v>
      </c>
    </row>
    <row r="1258" spans="1:10" x14ac:dyDescent="0.2">
      <c r="A1258" s="1" t="s">
        <v>2184</v>
      </c>
      <c r="B1258" t="s">
        <v>2185</v>
      </c>
      <c r="C1258" t="s">
        <v>2251</v>
      </c>
      <c r="D1258" s="6" t="str">
        <f t="shared" si="19"/>
        <v>PROT:CAB54662.1</v>
      </c>
      <c r="E1258" t="s">
        <v>2252</v>
      </c>
      <c r="F1258" t="s">
        <v>148</v>
      </c>
      <c r="G1258">
        <f>IF(ISERROR(MATCH(AllProtiens!F1258,Genomes!$C:$C,0)),0,1)</f>
        <v>1</v>
      </c>
      <c r="H1258">
        <f>IF(ISERROR(MATCH(AllProtiens!A1258,CoreProteinGroups!B:B,0)),0,1)</f>
        <v>1</v>
      </c>
      <c r="J1258" s="6" t="s">
        <v>149</v>
      </c>
    </row>
    <row r="1259" spans="1:10" x14ac:dyDescent="0.2">
      <c r="A1259" s="1" t="s">
        <v>2184</v>
      </c>
      <c r="B1259" t="s">
        <v>2185</v>
      </c>
      <c r="C1259" t="s">
        <v>2253</v>
      </c>
      <c r="D1259" s="6" t="str">
        <f t="shared" si="19"/>
        <v>PROT:AOP31766.1</v>
      </c>
      <c r="E1259" t="s">
        <v>2189</v>
      </c>
      <c r="F1259" t="s">
        <v>151</v>
      </c>
      <c r="G1259">
        <f>IF(ISERROR(MATCH(AllProtiens!F1259,Genomes!$C:$C,0)),0,1)</f>
        <v>1</v>
      </c>
      <c r="H1259">
        <f>IF(ISERROR(MATCH(AllProtiens!A1259,CoreProteinGroups!B:B,0)),0,1)</f>
        <v>1</v>
      </c>
      <c r="J1259" s="6" t="s">
        <v>152</v>
      </c>
    </row>
    <row r="1260" spans="1:10" x14ac:dyDescent="0.2">
      <c r="A1260" s="1" t="s">
        <v>2184</v>
      </c>
      <c r="B1260" t="s">
        <v>2185</v>
      </c>
      <c r="C1260" t="s">
        <v>2254</v>
      </c>
      <c r="D1260" s="6" t="str">
        <f t="shared" si="19"/>
        <v>PROT:ASC55602.1</v>
      </c>
      <c r="E1260" t="s">
        <v>2255</v>
      </c>
      <c r="F1260" t="s">
        <v>155</v>
      </c>
      <c r="G1260">
        <f>IF(ISERROR(MATCH(AllProtiens!F1260,Genomes!$C:$C,0)),0,1)</f>
        <v>1</v>
      </c>
      <c r="H1260">
        <f>IF(ISERROR(MATCH(AllProtiens!A1260,CoreProteinGroups!B:B,0)),0,1)</f>
        <v>1</v>
      </c>
      <c r="J1260" s="6" t="s">
        <v>156</v>
      </c>
    </row>
    <row r="1261" spans="1:10" x14ac:dyDescent="0.2">
      <c r="A1261" s="1" t="s">
        <v>2184</v>
      </c>
      <c r="B1261" t="s">
        <v>2185</v>
      </c>
      <c r="C1261" t="s">
        <v>2256</v>
      </c>
      <c r="D1261" s="6" t="str">
        <f t="shared" si="19"/>
        <v>PROT:AAR98393.1</v>
      </c>
      <c r="E1261" t="s">
        <v>2257</v>
      </c>
      <c r="F1261" t="s">
        <v>159</v>
      </c>
      <c r="G1261">
        <f>IF(ISERROR(MATCH(AllProtiens!F1261,Genomes!$C:$C,0)),0,1)</f>
        <v>1</v>
      </c>
      <c r="H1261">
        <f>IF(ISERROR(MATCH(AllProtiens!A1261,CoreProteinGroups!B:B,0)),0,1)</f>
        <v>1</v>
      </c>
      <c r="J1261" s="6" t="s">
        <v>160</v>
      </c>
    </row>
    <row r="1262" spans="1:10" x14ac:dyDescent="0.2">
      <c r="A1262" s="1" t="s">
        <v>2184</v>
      </c>
      <c r="B1262" t="s">
        <v>2185</v>
      </c>
      <c r="C1262" t="s">
        <v>2258</v>
      </c>
      <c r="D1262" s="6" t="str">
        <f t="shared" si="19"/>
        <v>PROT:AAR98261.1</v>
      </c>
      <c r="E1262" t="s">
        <v>2257</v>
      </c>
      <c r="F1262" t="s">
        <v>162</v>
      </c>
      <c r="G1262">
        <f>IF(ISERROR(MATCH(AllProtiens!F1262,Genomes!$C:$C,0)),0,1)</f>
        <v>1</v>
      </c>
      <c r="H1262">
        <f>IF(ISERROR(MATCH(AllProtiens!A1262,CoreProteinGroups!B:B,0)),0,1)</f>
        <v>1</v>
      </c>
      <c r="J1262" s="6" t="s">
        <v>163</v>
      </c>
    </row>
    <row r="1263" spans="1:10" x14ac:dyDescent="0.2">
      <c r="A1263" s="1" t="s">
        <v>2184</v>
      </c>
      <c r="B1263" t="s">
        <v>2185</v>
      </c>
      <c r="C1263" t="s">
        <v>2259</v>
      </c>
      <c r="D1263" s="6" t="str">
        <f t="shared" si="19"/>
        <v>PROT:ABA00553.1</v>
      </c>
      <c r="E1263" t="s">
        <v>2189</v>
      </c>
      <c r="F1263" t="s">
        <v>162</v>
      </c>
      <c r="G1263">
        <f>IF(ISERROR(MATCH(AllProtiens!F1263,Genomes!$C:$C,0)),0,1)</f>
        <v>1</v>
      </c>
      <c r="H1263">
        <f>IF(ISERROR(MATCH(AllProtiens!A1263,CoreProteinGroups!B:B,0)),0,1)</f>
        <v>1</v>
      </c>
      <c r="J1263" s="6" t="s">
        <v>163</v>
      </c>
    </row>
    <row r="1264" spans="1:10" x14ac:dyDescent="0.2">
      <c r="A1264" s="1" t="s">
        <v>2184</v>
      </c>
      <c r="B1264" t="s">
        <v>2185</v>
      </c>
      <c r="C1264" t="s">
        <v>2260</v>
      </c>
      <c r="D1264" s="6" t="str">
        <f t="shared" si="19"/>
        <v>PROT:AIZ77287.1</v>
      </c>
      <c r="E1264" t="s">
        <v>2261</v>
      </c>
      <c r="F1264" t="s">
        <v>167</v>
      </c>
      <c r="G1264">
        <f>IF(ISERROR(MATCH(AllProtiens!F1264,Genomes!$C:$C,0)),0,1)</f>
        <v>1</v>
      </c>
      <c r="H1264">
        <f>IF(ISERROR(MATCH(AllProtiens!A1264,CoreProteinGroups!B:B,0)),0,1)</f>
        <v>1</v>
      </c>
      <c r="J1264" s="6" t="s">
        <v>168</v>
      </c>
    </row>
    <row r="1265" spans="1:10" x14ac:dyDescent="0.2">
      <c r="A1265" s="1" t="s">
        <v>2184</v>
      </c>
      <c r="B1265" t="s">
        <v>2185</v>
      </c>
      <c r="C1265" t="s">
        <v>2262</v>
      </c>
      <c r="D1265" s="6" t="str">
        <f t="shared" si="19"/>
        <v>PROT:ADC53937.1</v>
      </c>
      <c r="E1265" t="s">
        <v>2191</v>
      </c>
      <c r="F1265" t="s">
        <v>170</v>
      </c>
      <c r="G1265">
        <f>IF(ISERROR(MATCH(AllProtiens!F1265,Genomes!$C:$C,0)),0,1)</f>
        <v>1</v>
      </c>
      <c r="H1265">
        <f>IF(ISERROR(MATCH(AllProtiens!A1265,CoreProteinGroups!B:B,0)),0,1)</f>
        <v>1</v>
      </c>
      <c r="J1265" s="6" t="s">
        <v>171</v>
      </c>
    </row>
    <row r="1266" spans="1:10" x14ac:dyDescent="0.2">
      <c r="A1266" s="1" t="s">
        <v>2184</v>
      </c>
      <c r="B1266" t="s">
        <v>2185</v>
      </c>
      <c r="C1266" t="s">
        <v>2263</v>
      </c>
      <c r="D1266" s="6" t="str">
        <f t="shared" si="19"/>
        <v>PROT:AAL69785.1</v>
      </c>
      <c r="E1266" t="s">
        <v>2264</v>
      </c>
      <c r="F1266" t="s">
        <v>174</v>
      </c>
      <c r="G1266">
        <f>IF(ISERROR(MATCH(AllProtiens!F1266,Genomes!$C:$C,0)),0,1)</f>
        <v>1</v>
      </c>
      <c r="H1266">
        <f>IF(ISERROR(MATCH(AllProtiens!A1266,CoreProteinGroups!B:B,0)),0,1)</f>
        <v>1</v>
      </c>
      <c r="J1266" s="6" t="s">
        <v>175</v>
      </c>
    </row>
    <row r="1267" spans="1:10" x14ac:dyDescent="0.2">
      <c r="A1267" s="1" t="s">
        <v>2184</v>
      </c>
      <c r="B1267" t="s">
        <v>2185</v>
      </c>
      <c r="C1267" t="s">
        <v>2265</v>
      </c>
      <c r="D1267" s="6" t="str">
        <f t="shared" si="19"/>
        <v>PROT:CAC21287.1</v>
      </c>
      <c r="E1267" t="s">
        <v>2266</v>
      </c>
      <c r="F1267" t="s">
        <v>178</v>
      </c>
      <c r="G1267">
        <f>IF(ISERROR(MATCH(AllProtiens!F1267,Genomes!$C:$C,0)),0,1)</f>
        <v>1</v>
      </c>
      <c r="H1267">
        <f>IF(ISERROR(MATCH(AllProtiens!A1267,CoreProteinGroups!B:B,0)),0,1)</f>
        <v>1</v>
      </c>
      <c r="J1267" s="6" t="s">
        <v>179</v>
      </c>
    </row>
    <row r="1268" spans="1:10" x14ac:dyDescent="0.2">
      <c r="A1268" s="1" t="s">
        <v>2184</v>
      </c>
      <c r="B1268" t="s">
        <v>2185</v>
      </c>
      <c r="C1268" t="s">
        <v>2267</v>
      </c>
      <c r="D1268" s="6" t="str">
        <f t="shared" si="19"/>
        <v>PROT:AAR07405.1</v>
      </c>
      <c r="E1268" t="s">
        <v>2268</v>
      </c>
      <c r="F1268" t="s">
        <v>182</v>
      </c>
      <c r="G1268">
        <f>IF(ISERROR(MATCH(AllProtiens!F1268,Genomes!$C:$C,0)),0,1)</f>
        <v>1</v>
      </c>
      <c r="H1268">
        <f>IF(ISERROR(MATCH(AllProtiens!A1268,CoreProteinGroups!B:B,0)),0,1)</f>
        <v>1</v>
      </c>
      <c r="J1268" s="6" t="s">
        <v>183</v>
      </c>
    </row>
    <row r="1269" spans="1:10" x14ac:dyDescent="0.2">
      <c r="A1269" s="1" t="s">
        <v>2184</v>
      </c>
      <c r="B1269" t="s">
        <v>2185</v>
      </c>
      <c r="C1269" t="s">
        <v>2269</v>
      </c>
      <c r="D1269" s="6" t="str">
        <f t="shared" si="19"/>
        <v>PROT:AAC97810.1</v>
      </c>
      <c r="E1269" t="s">
        <v>2270</v>
      </c>
      <c r="F1269" t="s">
        <v>186</v>
      </c>
      <c r="G1269">
        <f>IF(ISERROR(MATCH(AllProtiens!F1269,Genomes!$C:$C,0)),0,1)</f>
        <v>1</v>
      </c>
      <c r="H1269">
        <f>IF(ISERROR(MATCH(AllProtiens!A1269,CoreProteinGroups!B:B,0)),0,1)</f>
        <v>1</v>
      </c>
      <c r="J1269" s="6" t="s">
        <v>187</v>
      </c>
    </row>
    <row r="1270" spans="1:10" x14ac:dyDescent="0.2">
      <c r="A1270" s="1" t="s">
        <v>2184</v>
      </c>
      <c r="B1270" t="s">
        <v>2185</v>
      </c>
      <c r="C1270" t="s">
        <v>2271</v>
      </c>
      <c r="D1270" s="6" t="str">
        <f t="shared" si="19"/>
        <v>PROT:BAO49530.1</v>
      </c>
      <c r="E1270" t="s">
        <v>2191</v>
      </c>
      <c r="F1270" t="s">
        <v>190</v>
      </c>
      <c r="G1270">
        <f>IF(ISERROR(MATCH(AllProtiens!F1270,Genomes!$C:$C,0)),0,1)</f>
        <v>1</v>
      </c>
      <c r="H1270">
        <f>IF(ISERROR(MATCH(AllProtiens!A1270,CoreProteinGroups!B:B,0)),0,1)</f>
        <v>1</v>
      </c>
      <c r="J1270" s="6" t="s">
        <v>191</v>
      </c>
    </row>
    <row r="1271" spans="1:10" x14ac:dyDescent="0.2">
      <c r="A1271" s="1" t="s">
        <v>2184</v>
      </c>
      <c r="B1271" t="s">
        <v>2185</v>
      </c>
      <c r="C1271" t="s">
        <v>2272</v>
      </c>
      <c r="D1271" s="6" t="str">
        <f t="shared" si="19"/>
        <v>PROT:CCU55400.1</v>
      </c>
      <c r="E1271" t="s">
        <v>2273</v>
      </c>
      <c r="F1271" t="s">
        <v>193</v>
      </c>
      <c r="G1271">
        <f>IF(ISERROR(MATCH(AllProtiens!F1271,Genomes!$C:$C,0)),0,1)</f>
        <v>1</v>
      </c>
      <c r="H1271">
        <f>IF(ISERROR(MATCH(AllProtiens!A1271,CoreProteinGroups!B:B,0)),0,1)</f>
        <v>1</v>
      </c>
      <c r="J1271" s="6" t="s">
        <v>194</v>
      </c>
    </row>
    <row r="1272" spans="1:10" x14ac:dyDescent="0.2">
      <c r="A1272" s="1" t="s">
        <v>2184</v>
      </c>
      <c r="B1272" t="s">
        <v>2185</v>
      </c>
      <c r="C1272" t="s">
        <v>2274</v>
      </c>
      <c r="D1272" s="6" t="str">
        <f t="shared" si="19"/>
        <v>PROT:AAG02787.1</v>
      </c>
      <c r="E1272" t="s">
        <v>2275</v>
      </c>
      <c r="F1272" t="s">
        <v>197</v>
      </c>
      <c r="G1272">
        <f>IF(ISERROR(MATCH(AllProtiens!F1272,Genomes!$C:$C,0)),0,1)</f>
        <v>1</v>
      </c>
      <c r="H1272">
        <f>IF(ISERROR(MATCH(AllProtiens!A1272,CoreProteinGroups!B:B,0)),0,1)</f>
        <v>1</v>
      </c>
      <c r="J1272" s="6" t="s">
        <v>198</v>
      </c>
    </row>
    <row r="1273" spans="1:10" x14ac:dyDescent="0.2">
      <c r="A1273" s="1" t="s">
        <v>2184</v>
      </c>
      <c r="B1273" t="s">
        <v>2185</v>
      </c>
      <c r="C1273" t="s">
        <v>2276</v>
      </c>
      <c r="D1273" s="6" t="str">
        <f t="shared" si="19"/>
        <v>PROT:CCU55706.1</v>
      </c>
      <c r="E1273" t="s">
        <v>2273</v>
      </c>
      <c r="F1273" t="s">
        <v>200</v>
      </c>
      <c r="G1273">
        <f>IF(ISERROR(MATCH(AllProtiens!F1273,Genomes!$C:$C,0)),0,1)</f>
        <v>1</v>
      </c>
      <c r="H1273">
        <f>IF(ISERROR(MATCH(AllProtiens!A1273,CoreProteinGroups!B:B,0)),0,1)</f>
        <v>1</v>
      </c>
      <c r="J1273" s="6" t="s">
        <v>201</v>
      </c>
    </row>
    <row r="1274" spans="1:10" x14ac:dyDescent="0.2">
      <c r="A1274" s="1" t="s">
        <v>2184</v>
      </c>
      <c r="B1274" t="s">
        <v>2185</v>
      </c>
      <c r="C1274" t="s">
        <v>2277</v>
      </c>
      <c r="D1274" s="6" t="str">
        <f t="shared" si="19"/>
        <v>PROT:CCU56008.1</v>
      </c>
      <c r="E1274" t="s">
        <v>2273</v>
      </c>
      <c r="F1274" t="s">
        <v>203</v>
      </c>
      <c r="G1274">
        <f>IF(ISERROR(MATCH(AllProtiens!F1274,Genomes!$C:$C,0)),0,1)</f>
        <v>1</v>
      </c>
      <c r="H1274">
        <f>IF(ISERROR(MATCH(AllProtiens!A1274,CoreProteinGroups!B:B,0)),0,1)</f>
        <v>1</v>
      </c>
      <c r="J1274" s="6" t="s">
        <v>204</v>
      </c>
    </row>
    <row r="1275" spans="1:10" x14ac:dyDescent="0.2">
      <c r="A1275" s="1" t="s">
        <v>2184</v>
      </c>
      <c r="B1275" t="s">
        <v>2185</v>
      </c>
      <c r="C1275" t="s">
        <v>2278</v>
      </c>
      <c r="D1275" s="6" t="str">
        <f t="shared" si="19"/>
        <v>PROT:CCU56302.1</v>
      </c>
      <c r="E1275" t="s">
        <v>2273</v>
      </c>
      <c r="F1275" t="s">
        <v>206</v>
      </c>
      <c r="G1275">
        <f>IF(ISERROR(MATCH(AllProtiens!F1275,Genomes!$C:$C,0)),0,1)</f>
        <v>1</v>
      </c>
      <c r="H1275">
        <f>IF(ISERROR(MATCH(AllProtiens!A1275,CoreProteinGroups!B:B,0)),0,1)</f>
        <v>1</v>
      </c>
      <c r="J1275" s="6" t="s">
        <v>207</v>
      </c>
    </row>
    <row r="1276" spans="1:10" x14ac:dyDescent="0.2">
      <c r="A1276" s="1" t="s">
        <v>2184</v>
      </c>
      <c r="B1276" t="s">
        <v>2185</v>
      </c>
      <c r="C1276" t="s">
        <v>2279</v>
      </c>
      <c r="D1276" s="6" t="str">
        <f t="shared" si="19"/>
        <v>PROT:NP_659621.1</v>
      </c>
      <c r="E1276" t="s">
        <v>2280</v>
      </c>
      <c r="F1276" t="s">
        <v>210</v>
      </c>
      <c r="G1276">
        <f>IF(ISERROR(MATCH(AllProtiens!F1276,Genomes!$C:$C,0)),0,1)</f>
        <v>1</v>
      </c>
      <c r="H1276">
        <f>IF(ISERROR(MATCH(AllProtiens!A1276,CoreProteinGroups!B:B,0)),0,1)</f>
        <v>1</v>
      </c>
      <c r="J1276" s="6" t="s">
        <v>211</v>
      </c>
    </row>
    <row r="1277" spans="1:10" x14ac:dyDescent="0.2">
      <c r="A1277" s="1" t="s">
        <v>2184</v>
      </c>
      <c r="B1277" t="s">
        <v>2185</v>
      </c>
      <c r="C1277" t="s">
        <v>2281</v>
      </c>
      <c r="D1277" s="6" t="str">
        <f t="shared" si="19"/>
        <v>PROT:YP_001293240.1</v>
      </c>
      <c r="E1277" t="s">
        <v>2282</v>
      </c>
      <c r="F1277" t="s">
        <v>214</v>
      </c>
      <c r="G1277">
        <f>IF(ISERROR(MATCH(AllProtiens!F1277,Genomes!$C:$C,0)),0,1)</f>
        <v>1</v>
      </c>
      <c r="H1277">
        <f>IF(ISERROR(MATCH(AllProtiens!A1277,CoreProteinGroups!B:B,0)),0,1)</f>
        <v>1</v>
      </c>
      <c r="J1277" s="6" t="s">
        <v>215</v>
      </c>
    </row>
    <row r="1278" spans="1:10" x14ac:dyDescent="0.2">
      <c r="A1278" s="1" t="s">
        <v>2283</v>
      </c>
      <c r="B1278" t="s">
        <v>2284</v>
      </c>
      <c r="C1278" t="s">
        <v>2285</v>
      </c>
      <c r="D1278" s="6" t="str">
        <f t="shared" si="19"/>
        <v>PROT:ATI21175.1</v>
      </c>
      <c r="E1278" t="s">
        <v>2286</v>
      </c>
      <c r="F1278" t="s">
        <v>14</v>
      </c>
      <c r="G1278">
        <f>IF(ISERROR(MATCH(AllProtiens!F1278,Genomes!$C:$C,0)),0,1)</f>
        <v>1</v>
      </c>
      <c r="H1278">
        <f>IF(ISERROR(MATCH(AllProtiens!A1278,CoreProteinGroups!B:B,0)),0,1)</f>
        <v>1</v>
      </c>
      <c r="J1278" s="6" t="s">
        <v>15</v>
      </c>
    </row>
    <row r="1279" spans="1:10" x14ac:dyDescent="0.2">
      <c r="A1279" s="1" t="s">
        <v>2283</v>
      </c>
      <c r="B1279" t="s">
        <v>2284</v>
      </c>
      <c r="C1279" t="s">
        <v>2287</v>
      </c>
      <c r="D1279" s="6" t="str">
        <f t="shared" si="19"/>
        <v>PROT:AWU47111.1</v>
      </c>
      <c r="E1279" t="s">
        <v>2288</v>
      </c>
      <c r="F1279" t="s">
        <v>17</v>
      </c>
      <c r="G1279">
        <f>IF(ISERROR(MATCH(AllProtiens!F1279,Genomes!$C:$C,0)),0,1)</f>
        <v>1</v>
      </c>
      <c r="H1279">
        <f>IF(ISERROR(MATCH(AllProtiens!A1279,CoreProteinGroups!B:B,0)),0,1)</f>
        <v>1</v>
      </c>
      <c r="J1279" s="6" t="s">
        <v>18</v>
      </c>
    </row>
    <row r="1280" spans="1:10" x14ac:dyDescent="0.2">
      <c r="A1280" s="1" t="s">
        <v>2283</v>
      </c>
      <c r="B1280" t="s">
        <v>2284</v>
      </c>
      <c r="C1280" t="s">
        <v>2289</v>
      </c>
      <c r="D1280" s="6" t="str">
        <f t="shared" si="19"/>
        <v>PROT:APG58285.1</v>
      </c>
      <c r="E1280" t="s">
        <v>2290</v>
      </c>
      <c r="F1280" t="s">
        <v>21</v>
      </c>
      <c r="G1280">
        <f>IF(ISERROR(MATCH(AllProtiens!F1280,Genomes!$C:$C,0)),0,1)</f>
        <v>1</v>
      </c>
      <c r="H1280">
        <f>IF(ISERROR(MATCH(AllProtiens!A1280,CoreProteinGroups!B:B,0)),0,1)</f>
        <v>1</v>
      </c>
      <c r="J1280" s="6" t="s">
        <v>22</v>
      </c>
    </row>
    <row r="1281" spans="1:10" x14ac:dyDescent="0.2">
      <c r="A1281" s="1" t="s">
        <v>2283</v>
      </c>
      <c r="B1281" t="s">
        <v>2284</v>
      </c>
      <c r="C1281" t="s">
        <v>2291</v>
      </c>
      <c r="D1281" s="6" t="str">
        <f t="shared" si="19"/>
        <v>PROT:ADT91098.1</v>
      </c>
      <c r="E1281" t="s">
        <v>2292</v>
      </c>
      <c r="F1281" t="s">
        <v>25</v>
      </c>
      <c r="G1281">
        <f>IF(ISERROR(MATCH(AllProtiens!F1281,Genomes!$C:$C,0)),0,1)</f>
        <v>1</v>
      </c>
      <c r="H1281">
        <f>IF(ISERROR(MATCH(AllProtiens!A1281,CoreProteinGroups!B:B,0)),0,1)</f>
        <v>1</v>
      </c>
      <c r="J1281" s="6" t="s">
        <v>26</v>
      </c>
    </row>
    <row r="1282" spans="1:10" x14ac:dyDescent="0.2">
      <c r="A1282" s="1" t="s">
        <v>2283</v>
      </c>
      <c r="B1282" t="s">
        <v>2284</v>
      </c>
      <c r="C1282" t="s">
        <v>2293</v>
      </c>
      <c r="D1282" s="6" t="str">
        <f t="shared" ref="D1282:D1345" si="20">HYPERLINK(_xlfn.CONCAT("https://www.ncbi.nlm.nih.gov/protein/",C1282),_xlfn.CONCAT("PROT:",C1282))</f>
        <v>PROT:ANS71155.1</v>
      </c>
      <c r="E1282" t="s">
        <v>2294</v>
      </c>
      <c r="F1282" t="s">
        <v>28</v>
      </c>
      <c r="G1282">
        <f>IF(ISERROR(MATCH(AllProtiens!F1282,Genomes!$C:$C,0)),0,1)</f>
        <v>1</v>
      </c>
      <c r="H1282">
        <f>IF(ISERROR(MATCH(AllProtiens!A1282,CoreProteinGroups!B:B,0)),0,1)</f>
        <v>1</v>
      </c>
      <c r="J1282" s="6" t="s">
        <v>29</v>
      </c>
    </row>
    <row r="1283" spans="1:10" x14ac:dyDescent="0.2">
      <c r="A1283" s="1" t="s">
        <v>2283</v>
      </c>
      <c r="B1283" t="s">
        <v>2284</v>
      </c>
      <c r="C1283" t="s">
        <v>2295</v>
      </c>
      <c r="D1283" s="6" t="str">
        <f t="shared" si="20"/>
        <v>PROT:AKR04186.1</v>
      </c>
      <c r="E1283" t="s">
        <v>2296</v>
      </c>
      <c r="F1283" t="s">
        <v>32</v>
      </c>
      <c r="G1283">
        <f>IF(ISERROR(MATCH(AllProtiens!F1283,Genomes!$C:$C,0)),0,1)</f>
        <v>1</v>
      </c>
      <c r="H1283">
        <f>IF(ISERROR(MATCH(AllProtiens!A1283,CoreProteinGroups!B:B,0)),0,1)</f>
        <v>1</v>
      </c>
      <c r="J1283" s="6" t="s">
        <v>33</v>
      </c>
    </row>
    <row r="1284" spans="1:10" x14ac:dyDescent="0.2">
      <c r="A1284" s="1" t="s">
        <v>2283</v>
      </c>
      <c r="B1284" t="s">
        <v>2284</v>
      </c>
      <c r="C1284" t="s">
        <v>2297</v>
      </c>
      <c r="D1284" s="6" t="str">
        <f t="shared" si="20"/>
        <v>PROT:CCD83243.1</v>
      </c>
      <c r="E1284" t="s">
        <v>2298</v>
      </c>
      <c r="F1284" t="s">
        <v>36</v>
      </c>
      <c r="G1284">
        <f>IF(ISERROR(MATCH(AllProtiens!F1284,Genomes!$C:$C,0)),0,1)</f>
        <v>1</v>
      </c>
      <c r="H1284">
        <f>IF(ISERROR(MATCH(AllProtiens!A1284,CoreProteinGroups!B:B,0)),0,1)</f>
        <v>1</v>
      </c>
      <c r="J1284" s="6" t="s">
        <v>37</v>
      </c>
    </row>
    <row r="1285" spans="1:10" x14ac:dyDescent="0.2">
      <c r="A1285" s="1" t="s">
        <v>2283</v>
      </c>
      <c r="B1285" t="s">
        <v>2284</v>
      </c>
      <c r="C1285" t="s">
        <v>2299</v>
      </c>
      <c r="D1285" s="6" t="str">
        <f t="shared" si="20"/>
        <v>PROT:ASK51273.1</v>
      </c>
      <c r="E1285" t="s">
        <v>2300</v>
      </c>
      <c r="F1285" t="s">
        <v>40</v>
      </c>
      <c r="G1285">
        <f>IF(ISERROR(MATCH(AllProtiens!F1285,Genomes!$C:$C,0)),0,1)</f>
        <v>1</v>
      </c>
      <c r="H1285">
        <f>IF(ISERROR(MATCH(AllProtiens!A1285,CoreProteinGroups!B:B,0)),0,1)</f>
        <v>1</v>
      </c>
      <c r="J1285" s="6" t="s">
        <v>41</v>
      </c>
    </row>
    <row r="1286" spans="1:10" x14ac:dyDescent="0.2">
      <c r="A1286" s="1" t="s">
        <v>2283</v>
      </c>
      <c r="B1286" t="s">
        <v>2284</v>
      </c>
      <c r="C1286" t="s">
        <v>2301</v>
      </c>
      <c r="D1286" s="6" t="str">
        <f t="shared" si="20"/>
        <v>PROT:AUD40238.1</v>
      </c>
      <c r="E1286" t="s">
        <v>2292</v>
      </c>
      <c r="F1286" t="s">
        <v>43</v>
      </c>
      <c r="G1286">
        <f>IF(ISERROR(MATCH(AllProtiens!F1286,Genomes!$C:$C,0)),0,1)</f>
        <v>1</v>
      </c>
      <c r="H1286">
        <f>IF(ISERROR(MATCH(AllProtiens!A1286,CoreProteinGroups!B:B,0)),0,1)</f>
        <v>1</v>
      </c>
      <c r="J1286" s="6" t="s">
        <v>44</v>
      </c>
    </row>
    <row r="1287" spans="1:10" x14ac:dyDescent="0.2">
      <c r="A1287" s="1" t="s">
        <v>2283</v>
      </c>
      <c r="B1287" t="s">
        <v>2284</v>
      </c>
      <c r="C1287" t="s">
        <v>2302</v>
      </c>
      <c r="D1287" s="6" t="str">
        <f t="shared" si="20"/>
        <v>PROT:AID46870.1</v>
      </c>
      <c r="E1287" t="s">
        <v>2303</v>
      </c>
      <c r="F1287" t="s">
        <v>46</v>
      </c>
      <c r="G1287">
        <f>IF(ISERROR(MATCH(AllProtiens!F1287,Genomes!$C:$C,0)),0,1)</f>
        <v>1</v>
      </c>
      <c r="H1287">
        <f>IF(ISERROR(MATCH(AllProtiens!A1287,CoreProteinGroups!B:B,0)),0,1)</f>
        <v>1</v>
      </c>
      <c r="J1287" s="6" t="s">
        <v>47</v>
      </c>
    </row>
    <row r="1288" spans="1:10" x14ac:dyDescent="0.2">
      <c r="A1288" s="1" t="s">
        <v>2283</v>
      </c>
      <c r="B1288" t="s">
        <v>2284</v>
      </c>
      <c r="C1288" t="s">
        <v>2304</v>
      </c>
      <c r="D1288" s="6" t="str">
        <f t="shared" si="20"/>
        <v>PROT:AID46641.1</v>
      </c>
      <c r="E1288" t="s">
        <v>2303</v>
      </c>
      <c r="F1288" t="s">
        <v>49</v>
      </c>
      <c r="G1288">
        <f>IF(ISERROR(MATCH(AllProtiens!F1288,Genomes!$C:$C,0)),0,1)</f>
        <v>1</v>
      </c>
      <c r="H1288">
        <f>IF(ISERROR(MATCH(AllProtiens!A1288,CoreProteinGroups!B:B,0)),0,1)</f>
        <v>1</v>
      </c>
      <c r="J1288" s="6" t="s">
        <v>50</v>
      </c>
    </row>
    <row r="1289" spans="1:10" x14ac:dyDescent="0.2">
      <c r="A1289" s="1" t="s">
        <v>2283</v>
      </c>
      <c r="B1289" t="s">
        <v>2284</v>
      </c>
      <c r="C1289" t="s">
        <v>2305</v>
      </c>
      <c r="D1289" s="6" t="str">
        <f t="shared" si="20"/>
        <v>PROT:ALA62471.1</v>
      </c>
      <c r="E1289" t="s">
        <v>2296</v>
      </c>
      <c r="F1289" t="s">
        <v>53</v>
      </c>
      <c r="G1289">
        <f>IF(ISERROR(MATCH(AllProtiens!F1289,Genomes!$C:$C,0)),0,1)</f>
        <v>1</v>
      </c>
      <c r="H1289">
        <f>IF(ISERROR(MATCH(AllProtiens!A1289,CoreProteinGroups!B:B,0)),0,1)</f>
        <v>1</v>
      </c>
      <c r="J1289" s="6" t="s">
        <v>54</v>
      </c>
    </row>
    <row r="1290" spans="1:10" x14ac:dyDescent="0.2">
      <c r="A1290" s="1" t="s">
        <v>2283</v>
      </c>
      <c r="B1290" t="s">
        <v>2284</v>
      </c>
      <c r="C1290" t="s">
        <v>2306</v>
      </c>
      <c r="D1290" s="6" t="str">
        <f t="shared" si="20"/>
        <v>PROT:AAR83525.1</v>
      </c>
      <c r="E1290" t="s">
        <v>2307</v>
      </c>
      <c r="F1290" t="s">
        <v>57</v>
      </c>
      <c r="G1290">
        <f>IF(ISERROR(MATCH(AllProtiens!F1290,Genomes!$C:$C,0)),0,1)</f>
        <v>1</v>
      </c>
      <c r="H1290">
        <f>IF(ISERROR(MATCH(AllProtiens!A1290,CoreProteinGroups!B:B,0)),0,1)</f>
        <v>1</v>
      </c>
      <c r="J1290" s="6" t="s">
        <v>58</v>
      </c>
    </row>
    <row r="1291" spans="1:10" x14ac:dyDescent="0.2">
      <c r="A1291" s="1" t="s">
        <v>2283</v>
      </c>
      <c r="B1291" t="s">
        <v>2284</v>
      </c>
      <c r="C1291" t="s">
        <v>2308</v>
      </c>
      <c r="D1291" s="6" t="str">
        <f t="shared" si="20"/>
        <v>PROT:AAF44478.1</v>
      </c>
      <c r="E1291" t="s">
        <v>2309</v>
      </c>
      <c r="F1291" t="s">
        <v>61</v>
      </c>
      <c r="G1291">
        <f>IF(ISERROR(MATCH(AllProtiens!F1291,Genomes!$C:$C,0)),0,1)</f>
        <v>1</v>
      </c>
      <c r="H1291">
        <f>IF(ISERROR(MATCH(AllProtiens!A1291,CoreProteinGroups!B:B,0)),0,1)</f>
        <v>1</v>
      </c>
      <c r="J1291" s="6" t="s">
        <v>62</v>
      </c>
    </row>
    <row r="1292" spans="1:10" x14ac:dyDescent="0.2">
      <c r="A1292" s="1" t="s">
        <v>2283</v>
      </c>
      <c r="B1292" t="s">
        <v>2284</v>
      </c>
      <c r="C1292" t="s">
        <v>2310</v>
      </c>
      <c r="D1292" s="6" t="str">
        <f t="shared" si="20"/>
        <v>PROT:AAK85029.1</v>
      </c>
      <c r="E1292" t="s">
        <v>2311</v>
      </c>
      <c r="F1292" t="s">
        <v>65</v>
      </c>
      <c r="G1292">
        <f>IF(ISERROR(MATCH(AllProtiens!F1292,Genomes!$C:$C,0)),0,1)</f>
        <v>1</v>
      </c>
      <c r="H1292">
        <f>IF(ISERROR(MATCH(AllProtiens!A1292,CoreProteinGroups!B:B,0)),0,1)</f>
        <v>1</v>
      </c>
      <c r="J1292" s="6" t="s">
        <v>66</v>
      </c>
    </row>
    <row r="1293" spans="1:10" x14ac:dyDescent="0.2">
      <c r="A1293" s="1" t="s">
        <v>2283</v>
      </c>
      <c r="B1293" t="s">
        <v>2284</v>
      </c>
      <c r="C1293" t="s">
        <v>2312</v>
      </c>
      <c r="D1293" s="6" t="str">
        <f t="shared" si="20"/>
        <v>PROT:AST09286.1</v>
      </c>
      <c r="E1293" t="s">
        <v>2313</v>
      </c>
      <c r="F1293" t="s">
        <v>68</v>
      </c>
      <c r="G1293">
        <f>IF(ISERROR(MATCH(AllProtiens!F1293,Genomes!$C:$C,0)),0,1)</f>
        <v>1</v>
      </c>
      <c r="H1293">
        <f>IF(ISERROR(MATCH(AllProtiens!A1293,CoreProteinGroups!B:B,0)),0,1)</f>
        <v>1</v>
      </c>
      <c r="J1293" s="6" t="s">
        <v>69</v>
      </c>
    </row>
    <row r="1294" spans="1:10" x14ac:dyDescent="0.2">
      <c r="A1294" s="1" t="s">
        <v>2283</v>
      </c>
      <c r="B1294" t="s">
        <v>2284</v>
      </c>
      <c r="C1294" t="s">
        <v>2314</v>
      </c>
      <c r="D1294" s="6" t="str">
        <f t="shared" si="20"/>
        <v>PROT:AEN03664.1</v>
      </c>
      <c r="E1294" t="s">
        <v>2313</v>
      </c>
      <c r="F1294" t="s">
        <v>71</v>
      </c>
      <c r="G1294">
        <f>IF(ISERROR(MATCH(AllProtiens!F1294,Genomes!$C:$C,0)),0,1)</f>
        <v>1</v>
      </c>
      <c r="H1294">
        <f>IF(ISERROR(MATCH(AllProtiens!A1294,CoreProteinGroups!B:B,0)),0,1)</f>
        <v>1</v>
      </c>
      <c r="J1294" s="6" t="s">
        <v>72</v>
      </c>
    </row>
    <row r="1295" spans="1:10" x14ac:dyDescent="0.2">
      <c r="A1295" s="1" t="s">
        <v>2283</v>
      </c>
      <c r="B1295" t="s">
        <v>2284</v>
      </c>
      <c r="C1295" t="s">
        <v>2315</v>
      </c>
      <c r="D1295" s="6" t="str">
        <f t="shared" si="20"/>
        <v>PROT:ABI99232.1</v>
      </c>
      <c r="E1295" t="s">
        <v>2316</v>
      </c>
      <c r="F1295" t="s">
        <v>74</v>
      </c>
      <c r="G1295">
        <f>IF(ISERROR(MATCH(AllProtiens!F1295,Genomes!$C:$C,0)),0,1)</f>
        <v>1</v>
      </c>
      <c r="H1295">
        <f>IF(ISERROR(MATCH(AllProtiens!A1295,CoreProteinGroups!B:B,0)),0,1)</f>
        <v>1</v>
      </c>
      <c r="J1295" s="6" t="s">
        <v>75</v>
      </c>
    </row>
    <row r="1296" spans="1:10" x14ac:dyDescent="0.2">
      <c r="A1296" s="1" t="s">
        <v>2283</v>
      </c>
      <c r="B1296" t="s">
        <v>2284</v>
      </c>
      <c r="C1296" t="s">
        <v>2317</v>
      </c>
      <c r="D1296" s="6" t="str">
        <f t="shared" si="20"/>
        <v>PROT:ABJ08987.1</v>
      </c>
      <c r="E1296" t="s">
        <v>2316</v>
      </c>
      <c r="F1296" t="s">
        <v>77</v>
      </c>
      <c r="G1296">
        <f>IF(ISERROR(MATCH(AllProtiens!F1296,Genomes!$C:$C,0)),0,1)</f>
        <v>1</v>
      </c>
      <c r="H1296">
        <f>IF(ISERROR(MATCH(AllProtiens!A1296,CoreProteinGroups!B:B,0)),0,1)</f>
        <v>1</v>
      </c>
      <c r="J1296" s="6" t="s">
        <v>78</v>
      </c>
    </row>
    <row r="1297" spans="1:10" x14ac:dyDescent="0.2">
      <c r="A1297" s="1" t="s">
        <v>2283</v>
      </c>
      <c r="B1297" t="s">
        <v>2284</v>
      </c>
      <c r="C1297" t="s">
        <v>2318</v>
      </c>
      <c r="D1297" s="6" t="str">
        <f t="shared" si="20"/>
        <v>PROT:AAF14953.1</v>
      </c>
      <c r="E1297" t="s">
        <v>2319</v>
      </c>
      <c r="F1297" t="s">
        <v>81</v>
      </c>
      <c r="G1297">
        <f>IF(ISERROR(MATCH(AllProtiens!F1297,Genomes!$C:$C,0)),0,1)</f>
        <v>0</v>
      </c>
      <c r="H1297">
        <f>IF(ISERROR(MATCH(AllProtiens!A1297,CoreProteinGroups!B:B,0)),0,1)</f>
        <v>1</v>
      </c>
      <c r="J1297" s="6" t="s">
        <v>82</v>
      </c>
    </row>
    <row r="1298" spans="1:10" x14ac:dyDescent="0.2">
      <c r="A1298" s="1" t="s">
        <v>2283</v>
      </c>
      <c r="B1298" t="s">
        <v>2284</v>
      </c>
      <c r="C1298" t="s">
        <v>2320</v>
      </c>
      <c r="D1298" s="6" t="str">
        <f t="shared" si="20"/>
        <v>PROT:AFU77329.1</v>
      </c>
      <c r="E1298" t="s">
        <v>2319</v>
      </c>
      <c r="F1298" t="s">
        <v>81</v>
      </c>
      <c r="G1298">
        <f>IF(ISERROR(MATCH(AllProtiens!F1298,Genomes!$C:$C,0)),0,1)</f>
        <v>0</v>
      </c>
      <c r="H1298">
        <f>IF(ISERROR(MATCH(AllProtiens!A1298,CoreProteinGroups!B:B,0)),0,1)</f>
        <v>1</v>
      </c>
      <c r="J1298" s="6" t="s">
        <v>82</v>
      </c>
    </row>
    <row r="1299" spans="1:10" x14ac:dyDescent="0.2">
      <c r="A1299" s="1" t="s">
        <v>2283</v>
      </c>
      <c r="B1299" t="s">
        <v>2284</v>
      </c>
      <c r="C1299" t="s">
        <v>2321</v>
      </c>
      <c r="D1299" s="6" t="str">
        <f t="shared" si="20"/>
        <v>PROT:AAF17947.1</v>
      </c>
      <c r="E1299" t="s">
        <v>2322</v>
      </c>
      <c r="F1299" t="s">
        <v>86</v>
      </c>
      <c r="G1299">
        <f>IF(ISERROR(MATCH(AllProtiens!F1299,Genomes!$C:$C,0)),0,1)</f>
        <v>1</v>
      </c>
      <c r="H1299">
        <f>IF(ISERROR(MATCH(AllProtiens!A1299,CoreProteinGroups!B:B,0)),0,1)</f>
        <v>1</v>
      </c>
      <c r="J1299" s="6" t="s">
        <v>87</v>
      </c>
    </row>
    <row r="1300" spans="1:10" x14ac:dyDescent="0.2">
      <c r="A1300" s="1" t="s">
        <v>2283</v>
      </c>
      <c r="B1300" t="s">
        <v>2284</v>
      </c>
      <c r="C1300" t="s">
        <v>2323</v>
      </c>
      <c r="D1300" s="6" t="str">
        <f t="shared" si="20"/>
        <v>PROT:AAC55204.1</v>
      </c>
      <c r="E1300" t="s">
        <v>2324</v>
      </c>
      <c r="F1300" t="s">
        <v>90</v>
      </c>
      <c r="G1300">
        <f>IF(ISERROR(MATCH(AllProtiens!F1300,Genomes!$C:$C,0)),0,1)</f>
        <v>1</v>
      </c>
      <c r="H1300">
        <f>IF(ISERROR(MATCH(AllProtiens!A1300,CoreProteinGroups!B:B,0)),0,1)</f>
        <v>1</v>
      </c>
      <c r="J1300" s="6" t="s">
        <v>91</v>
      </c>
    </row>
    <row r="1301" spans="1:10" x14ac:dyDescent="0.2">
      <c r="A1301" s="1" t="s">
        <v>2283</v>
      </c>
      <c r="B1301" t="s">
        <v>2284</v>
      </c>
      <c r="C1301" t="s">
        <v>2325</v>
      </c>
      <c r="D1301" s="6" t="str">
        <f t="shared" si="20"/>
        <v>PROT:AYN64661.1</v>
      </c>
      <c r="E1301" t="s">
        <v>2326</v>
      </c>
      <c r="F1301" t="s">
        <v>94</v>
      </c>
      <c r="G1301">
        <f>IF(ISERROR(MATCH(AllProtiens!F1301,Genomes!$C:$C,0)),0,1)</f>
        <v>1</v>
      </c>
      <c r="H1301">
        <f>IF(ISERROR(MATCH(AllProtiens!A1301,CoreProteinGroups!B:B,0)),0,1)</f>
        <v>1</v>
      </c>
      <c r="J1301" s="6" t="s">
        <v>95</v>
      </c>
    </row>
    <row r="1302" spans="1:10" x14ac:dyDescent="0.2">
      <c r="A1302" s="1" t="s">
        <v>2283</v>
      </c>
      <c r="B1302" t="s">
        <v>2284</v>
      </c>
      <c r="C1302" t="s">
        <v>2327</v>
      </c>
      <c r="D1302" s="6" t="str">
        <f t="shared" si="20"/>
        <v>PROT:AXN74888.1</v>
      </c>
      <c r="E1302" t="s">
        <v>2328</v>
      </c>
      <c r="F1302" t="s">
        <v>97</v>
      </c>
      <c r="G1302">
        <f>IF(ISERROR(MATCH(AllProtiens!F1302,Genomes!$C:$C,0)),0,1)</f>
        <v>1</v>
      </c>
      <c r="H1302">
        <f>IF(ISERROR(MATCH(AllProtiens!A1302,CoreProteinGroups!B:B,0)),0,1)</f>
        <v>1</v>
      </c>
      <c r="J1302" s="6" t="s">
        <v>98</v>
      </c>
    </row>
    <row r="1303" spans="1:10" x14ac:dyDescent="0.2">
      <c r="A1303" s="1" t="s">
        <v>2283</v>
      </c>
      <c r="B1303" t="s">
        <v>2284</v>
      </c>
      <c r="C1303" t="s">
        <v>2329</v>
      </c>
      <c r="D1303" s="6" t="str">
        <f t="shared" si="20"/>
        <v>PROT:ABH08202.1</v>
      </c>
      <c r="E1303" t="s">
        <v>2330</v>
      </c>
      <c r="F1303" t="s">
        <v>101</v>
      </c>
      <c r="G1303">
        <f>IF(ISERROR(MATCH(AllProtiens!F1303,Genomes!$C:$C,0)),0,1)</f>
        <v>1</v>
      </c>
      <c r="H1303">
        <f>IF(ISERROR(MATCH(AllProtiens!A1303,CoreProteinGroups!B:B,0)),0,1)</f>
        <v>1</v>
      </c>
      <c r="J1303" s="6" t="s">
        <v>102</v>
      </c>
    </row>
    <row r="1304" spans="1:10" x14ac:dyDescent="0.2">
      <c r="A1304" s="1" t="s">
        <v>2283</v>
      </c>
      <c r="B1304" t="s">
        <v>2284</v>
      </c>
      <c r="C1304" t="s">
        <v>2331</v>
      </c>
      <c r="D1304" s="6" t="str">
        <f t="shared" si="20"/>
        <v>PROT:AAG37564.1</v>
      </c>
      <c r="E1304" t="s">
        <v>2332</v>
      </c>
      <c r="F1304" t="s">
        <v>105</v>
      </c>
      <c r="G1304">
        <f>IF(ISERROR(MATCH(AllProtiens!F1304,Genomes!$C:$C,0)),0,1)</f>
        <v>1</v>
      </c>
      <c r="H1304">
        <f>IF(ISERROR(MATCH(AllProtiens!A1304,CoreProteinGroups!B:B,0)),0,1)</f>
        <v>1</v>
      </c>
      <c r="J1304" s="6" t="s">
        <v>106</v>
      </c>
    </row>
    <row r="1305" spans="1:10" x14ac:dyDescent="0.2">
      <c r="A1305" s="1" t="s">
        <v>2283</v>
      </c>
      <c r="B1305" t="s">
        <v>2284</v>
      </c>
      <c r="C1305" t="s">
        <v>2333</v>
      </c>
      <c r="D1305" s="6" t="str">
        <f t="shared" si="20"/>
        <v>PROT:AAL73800.1</v>
      </c>
      <c r="E1305" t="s">
        <v>2296</v>
      </c>
      <c r="F1305" t="s">
        <v>109</v>
      </c>
      <c r="G1305">
        <f>IF(ISERROR(MATCH(AllProtiens!F1305,Genomes!$C:$C,0)),0,1)</f>
        <v>1</v>
      </c>
      <c r="H1305">
        <f>IF(ISERROR(MATCH(AllProtiens!A1305,CoreProteinGroups!B:B,0)),0,1)</f>
        <v>1</v>
      </c>
      <c r="J1305" s="6" t="s">
        <v>110</v>
      </c>
    </row>
    <row r="1306" spans="1:10" x14ac:dyDescent="0.2">
      <c r="A1306" s="1" t="s">
        <v>2283</v>
      </c>
      <c r="B1306" t="s">
        <v>2284</v>
      </c>
      <c r="C1306" t="s">
        <v>2334</v>
      </c>
      <c r="D1306" s="6" t="str">
        <f t="shared" si="20"/>
        <v>PROT:AAM13549.1</v>
      </c>
      <c r="E1306" t="s">
        <v>2335</v>
      </c>
      <c r="F1306" t="s">
        <v>113</v>
      </c>
      <c r="G1306">
        <f>IF(ISERROR(MATCH(AllProtiens!F1306,Genomes!$C:$C,0)),0,1)</f>
        <v>1</v>
      </c>
      <c r="H1306">
        <f>IF(ISERROR(MATCH(AllProtiens!A1306,CoreProteinGroups!B:B,0)),0,1)</f>
        <v>1</v>
      </c>
      <c r="J1306" s="6" t="s">
        <v>114</v>
      </c>
    </row>
    <row r="1307" spans="1:10" x14ac:dyDescent="0.2">
      <c r="A1307" s="1" t="s">
        <v>2283</v>
      </c>
      <c r="B1307" t="s">
        <v>2284</v>
      </c>
      <c r="C1307" t="s">
        <v>2336</v>
      </c>
      <c r="D1307" s="6" t="str">
        <f t="shared" si="20"/>
        <v>PROT:AAM92383.1</v>
      </c>
      <c r="E1307" t="s">
        <v>2337</v>
      </c>
      <c r="F1307" t="s">
        <v>117</v>
      </c>
      <c r="G1307">
        <f>IF(ISERROR(MATCH(AllProtiens!F1307,Genomes!$C:$C,0)),0,1)</f>
        <v>1</v>
      </c>
      <c r="H1307">
        <f>IF(ISERROR(MATCH(AllProtiens!A1307,CoreProteinGroups!B:B,0)),0,1)</f>
        <v>1</v>
      </c>
      <c r="J1307" s="6" t="s">
        <v>118</v>
      </c>
    </row>
    <row r="1308" spans="1:10" x14ac:dyDescent="0.2">
      <c r="A1308" s="1" t="s">
        <v>2283</v>
      </c>
      <c r="B1308" t="s">
        <v>2284</v>
      </c>
      <c r="C1308" t="s">
        <v>2338</v>
      </c>
      <c r="D1308" s="6" t="str">
        <f t="shared" si="20"/>
        <v>PROT:AFH54642.1</v>
      </c>
      <c r="E1308" t="s">
        <v>2294</v>
      </c>
      <c r="F1308" t="s">
        <v>120</v>
      </c>
      <c r="G1308">
        <f>IF(ISERROR(MATCH(AllProtiens!F1308,Genomes!$C:$C,0)),0,1)</f>
        <v>1</v>
      </c>
      <c r="H1308">
        <f>IF(ISERROR(MATCH(AllProtiens!A1308,CoreProteinGroups!B:B,0)),0,1)</f>
        <v>1</v>
      </c>
      <c r="J1308" s="6" t="s">
        <v>121</v>
      </c>
    </row>
    <row r="1309" spans="1:10" x14ac:dyDescent="0.2">
      <c r="A1309" s="1" t="s">
        <v>2283</v>
      </c>
      <c r="B1309" t="s">
        <v>2284</v>
      </c>
      <c r="C1309" t="s">
        <v>2339</v>
      </c>
      <c r="D1309" s="6" t="str">
        <f t="shared" si="20"/>
        <v>PROT:AAL40545.1</v>
      </c>
      <c r="E1309" t="s">
        <v>2340</v>
      </c>
      <c r="F1309" t="s">
        <v>124</v>
      </c>
      <c r="G1309">
        <f>IF(ISERROR(MATCH(AllProtiens!F1309,Genomes!$C:$C,0)),0,1)</f>
        <v>1</v>
      </c>
      <c r="H1309">
        <f>IF(ISERROR(MATCH(AllProtiens!A1309,CoreProteinGroups!B:B,0)),0,1)</f>
        <v>1</v>
      </c>
      <c r="J1309" s="6" t="s">
        <v>125</v>
      </c>
    </row>
    <row r="1310" spans="1:10" x14ac:dyDescent="0.2">
      <c r="A1310" s="1" t="s">
        <v>2283</v>
      </c>
      <c r="B1310" t="s">
        <v>2284</v>
      </c>
      <c r="C1310" t="s">
        <v>2341</v>
      </c>
      <c r="D1310" s="6" t="str">
        <f t="shared" si="20"/>
        <v>PROT:AAX09182.1</v>
      </c>
      <c r="E1310" t="s">
        <v>2342</v>
      </c>
      <c r="F1310" t="s">
        <v>128</v>
      </c>
      <c r="G1310">
        <f>IF(ISERROR(MATCH(AllProtiens!F1310,Genomes!$C:$C,0)),0,1)</f>
        <v>1</v>
      </c>
      <c r="H1310">
        <f>IF(ISERROR(MATCH(AllProtiens!A1310,CoreProteinGroups!B:B,0)),0,1)</f>
        <v>1</v>
      </c>
      <c r="J1310" s="6" t="s">
        <v>129</v>
      </c>
    </row>
    <row r="1311" spans="1:10" x14ac:dyDescent="0.2">
      <c r="A1311" s="1" t="s">
        <v>2283</v>
      </c>
      <c r="B1311" t="s">
        <v>2284</v>
      </c>
      <c r="C1311" t="s">
        <v>2343</v>
      </c>
      <c r="D1311" s="6" t="str">
        <f t="shared" si="20"/>
        <v>PROT:AKJ93724.1</v>
      </c>
      <c r="E1311" t="s">
        <v>2344</v>
      </c>
      <c r="F1311" t="s">
        <v>131</v>
      </c>
      <c r="G1311">
        <f>IF(ISERROR(MATCH(AllProtiens!F1311,Genomes!$C:$C,0)),0,1)</f>
        <v>1</v>
      </c>
      <c r="H1311">
        <f>IF(ISERROR(MATCH(AllProtiens!A1311,CoreProteinGroups!B:B,0)),0,1)</f>
        <v>1</v>
      </c>
      <c r="J1311" s="6" t="s">
        <v>132</v>
      </c>
    </row>
    <row r="1312" spans="1:10" x14ac:dyDescent="0.2">
      <c r="A1312" s="1" t="s">
        <v>2283</v>
      </c>
      <c r="B1312" t="s">
        <v>2284</v>
      </c>
      <c r="C1312" t="s">
        <v>2345</v>
      </c>
      <c r="D1312" s="6" t="str">
        <f t="shared" si="20"/>
        <v>PROT:AOP31573.1</v>
      </c>
      <c r="E1312" t="s">
        <v>2288</v>
      </c>
      <c r="F1312" t="s">
        <v>134</v>
      </c>
      <c r="G1312">
        <f>IF(ISERROR(MATCH(AllProtiens!F1312,Genomes!$C:$C,0)),0,1)</f>
        <v>1</v>
      </c>
      <c r="H1312">
        <f>IF(ISERROR(MATCH(AllProtiens!A1312,CoreProteinGroups!B:B,0)),0,1)</f>
        <v>1</v>
      </c>
      <c r="J1312" s="6" t="s">
        <v>135</v>
      </c>
    </row>
    <row r="1313" spans="1:10" x14ac:dyDescent="0.2">
      <c r="A1313" s="1" t="s">
        <v>2283</v>
      </c>
      <c r="B1313" t="s">
        <v>2284</v>
      </c>
      <c r="C1313" t="s">
        <v>2346</v>
      </c>
      <c r="D1313" s="6" t="str">
        <f t="shared" si="20"/>
        <v>PROT:ABD97664.1</v>
      </c>
      <c r="E1313" t="s">
        <v>2347</v>
      </c>
      <c r="F1313" t="s">
        <v>137</v>
      </c>
      <c r="G1313">
        <f>IF(ISERROR(MATCH(AllProtiens!F1313,Genomes!$C:$C,0)),0,1)</f>
        <v>1</v>
      </c>
      <c r="H1313">
        <f>IF(ISERROR(MATCH(AllProtiens!A1313,CoreProteinGroups!B:B,0)),0,1)</f>
        <v>1</v>
      </c>
      <c r="J1313" s="6" t="s">
        <v>138</v>
      </c>
    </row>
    <row r="1314" spans="1:10" x14ac:dyDescent="0.2">
      <c r="A1314" s="1" t="s">
        <v>2283</v>
      </c>
      <c r="B1314" t="s">
        <v>2284</v>
      </c>
      <c r="C1314" t="s">
        <v>2348</v>
      </c>
      <c r="D1314" s="6" t="str">
        <f t="shared" si="20"/>
        <v>PROT:AAO89374.1</v>
      </c>
      <c r="E1314" t="s">
        <v>2349</v>
      </c>
      <c r="F1314" t="s">
        <v>140</v>
      </c>
      <c r="G1314">
        <f>IF(ISERROR(MATCH(AllProtiens!F1314,Genomes!$C:$C,0)),0,1)</f>
        <v>1</v>
      </c>
      <c r="H1314">
        <f>IF(ISERROR(MATCH(AllProtiens!A1314,CoreProteinGroups!B:B,0)),0,1)</f>
        <v>1</v>
      </c>
      <c r="J1314" s="6" t="s">
        <v>141</v>
      </c>
    </row>
    <row r="1315" spans="1:10" x14ac:dyDescent="0.2">
      <c r="A1315" s="1" t="s">
        <v>2283</v>
      </c>
      <c r="B1315" t="s">
        <v>2284</v>
      </c>
      <c r="C1315" t="s">
        <v>2350</v>
      </c>
      <c r="D1315" s="6" t="str">
        <f t="shared" si="20"/>
        <v>PROT:CAA49021.1</v>
      </c>
      <c r="E1315" t="s">
        <v>2340</v>
      </c>
      <c r="F1315" t="s">
        <v>144</v>
      </c>
      <c r="G1315">
        <f>IF(ISERROR(MATCH(AllProtiens!F1315,Genomes!$C:$C,0)),0,1)</f>
        <v>1</v>
      </c>
      <c r="H1315">
        <f>IF(ISERROR(MATCH(AllProtiens!A1315,CoreProteinGroups!B:B,0)),0,1)</f>
        <v>1</v>
      </c>
      <c r="J1315" s="6" t="s">
        <v>145</v>
      </c>
    </row>
    <row r="1316" spans="1:10" x14ac:dyDescent="0.2">
      <c r="A1316" s="1" t="s">
        <v>2283</v>
      </c>
      <c r="B1316" t="s">
        <v>2284</v>
      </c>
      <c r="C1316" t="s">
        <v>2351</v>
      </c>
      <c r="D1316" s="6" t="str">
        <f t="shared" si="20"/>
        <v>PROT:CAB54680.1</v>
      </c>
      <c r="E1316" t="s">
        <v>2352</v>
      </c>
      <c r="F1316" t="s">
        <v>148</v>
      </c>
      <c r="G1316">
        <f>IF(ISERROR(MATCH(AllProtiens!F1316,Genomes!$C:$C,0)),0,1)</f>
        <v>1</v>
      </c>
      <c r="H1316">
        <f>IF(ISERROR(MATCH(AllProtiens!A1316,CoreProteinGroups!B:B,0)),0,1)</f>
        <v>1</v>
      </c>
      <c r="J1316" s="6" t="s">
        <v>149</v>
      </c>
    </row>
    <row r="1317" spans="1:10" x14ac:dyDescent="0.2">
      <c r="A1317" s="1" t="s">
        <v>2283</v>
      </c>
      <c r="B1317" t="s">
        <v>2284</v>
      </c>
      <c r="C1317" t="s">
        <v>2353</v>
      </c>
      <c r="D1317" s="6" t="str">
        <f t="shared" si="20"/>
        <v>PROT:AOP31784.1</v>
      </c>
      <c r="E1317" t="s">
        <v>2288</v>
      </c>
      <c r="F1317" t="s">
        <v>151</v>
      </c>
      <c r="G1317">
        <f>IF(ISERROR(MATCH(AllProtiens!F1317,Genomes!$C:$C,0)),0,1)</f>
        <v>1</v>
      </c>
      <c r="H1317">
        <f>IF(ISERROR(MATCH(AllProtiens!A1317,CoreProteinGroups!B:B,0)),0,1)</f>
        <v>1</v>
      </c>
      <c r="J1317" s="6" t="s">
        <v>152</v>
      </c>
    </row>
    <row r="1318" spans="1:10" x14ac:dyDescent="0.2">
      <c r="A1318" s="1" t="s">
        <v>2283</v>
      </c>
      <c r="B1318" t="s">
        <v>2284</v>
      </c>
      <c r="C1318" t="s">
        <v>2354</v>
      </c>
      <c r="D1318" s="6" t="str">
        <f t="shared" si="20"/>
        <v>PROT:ASC55587.1</v>
      </c>
      <c r="E1318" t="s">
        <v>2355</v>
      </c>
      <c r="F1318" t="s">
        <v>155</v>
      </c>
      <c r="G1318">
        <f>IF(ISERROR(MATCH(AllProtiens!F1318,Genomes!$C:$C,0)),0,1)</f>
        <v>1</v>
      </c>
      <c r="H1318">
        <f>IF(ISERROR(MATCH(AllProtiens!A1318,CoreProteinGroups!B:B,0)),0,1)</f>
        <v>1</v>
      </c>
      <c r="J1318" s="6" t="s">
        <v>156</v>
      </c>
    </row>
    <row r="1319" spans="1:10" x14ac:dyDescent="0.2">
      <c r="A1319" s="1" t="s">
        <v>2283</v>
      </c>
      <c r="B1319" t="s">
        <v>2284</v>
      </c>
      <c r="C1319" t="s">
        <v>2356</v>
      </c>
      <c r="D1319" s="6" t="str">
        <f t="shared" si="20"/>
        <v>PROT:AAR98410.1</v>
      </c>
      <c r="E1319" t="s">
        <v>2357</v>
      </c>
      <c r="F1319" t="s">
        <v>159</v>
      </c>
      <c r="G1319">
        <f>IF(ISERROR(MATCH(AllProtiens!F1319,Genomes!$C:$C,0)),0,1)</f>
        <v>1</v>
      </c>
      <c r="H1319">
        <f>IF(ISERROR(MATCH(AllProtiens!A1319,CoreProteinGroups!B:B,0)),0,1)</f>
        <v>1</v>
      </c>
      <c r="J1319" s="6" t="s">
        <v>160</v>
      </c>
    </row>
    <row r="1320" spans="1:10" x14ac:dyDescent="0.2">
      <c r="A1320" s="1" t="s">
        <v>2283</v>
      </c>
      <c r="B1320" t="s">
        <v>2284</v>
      </c>
      <c r="C1320" t="s">
        <v>2358</v>
      </c>
      <c r="D1320" s="6" t="str">
        <f t="shared" si="20"/>
        <v>PROT:AAR98278.1</v>
      </c>
      <c r="E1320" t="s">
        <v>2357</v>
      </c>
      <c r="F1320" t="s">
        <v>162</v>
      </c>
      <c r="G1320">
        <f>IF(ISERROR(MATCH(AllProtiens!F1320,Genomes!$C:$C,0)),0,1)</f>
        <v>1</v>
      </c>
      <c r="H1320">
        <f>IF(ISERROR(MATCH(AllProtiens!A1320,CoreProteinGroups!B:B,0)),0,1)</f>
        <v>1</v>
      </c>
      <c r="J1320" s="6" t="s">
        <v>163</v>
      </c>
    </row>
    <row r="1321" spans="1:10" x14ac:dyDescent="0.2">
      <c r="A1321" s="1" t="s">
        <v>2283</v>
      </c>
      <c r="B1321" t="s">
        <v>2284</v>
      </c>
      <c r="C1321" t="s">
        <v>2359</v>
      </c>
      <c r="D1321" s="6" t="str">
        <f t="shared" si="20"/>
        <v>PROT:ABA00570.1</v>
      </c>
      <c r="E1321" t="s">
        <v>2360</v>
      </c>
      <c r="F1321" t="s">
        <v>162</v>
      </c>
      <c r="G1321">
        <f>IF(ISERROR(MATCH(AllProtiens!F1321,Genomes!$C:$C,0)),0,1)</f>
        <v>1</v>
      </c>
      <c r="H1321">
        <f>IF(ISERROR(MATCH(AllProtiens!A1321,CoreProteinGroups!B:B,0)),0,1)</f>
        <v>1</v>
      </c>
      <c r="J1321" s="6" t="s">
        <v>163</v>
      </c>
    </row>
    <row r="1322" spans="1:10" x14ac:dyDescent="0.2">
      <c r="A1322" s="1" t="s">
        <v>2283</v>
      </c>
      <c r="B1322" t="s">
        <v>2284</v>
      </c>
      <c r="C1322" t="s">
        <v>2361</v>
      </c>
      <c r="D1322" s="6" t="str">
        <f t="shared" si="20"/>
        <v>PROT:AIZ77304.1</v>
      </c>
      <c r="E1322" t="s">
        <v>2362</v>
      </c>
      <c r="F1322" t="s">
        <v>167</v>
      </c>
      <c r="G1322">
        <f>IF(ISERROR(MATCH(AllProtiens!F1322,Genomes!$C:$C,0)),0,1)</f>
        <v>1</v>
      </c>
      <c r="H1322">
        <f>IF(ISERROR(MATCH(AllProtiens!A1322,CoreProteinGroups!B:B,0)),0,1)</f>
        <v>1</v>
      </c>
      <c r="J1322" s="6" t="s">
        <v>168</v>
      </c>
    </row>
    <row r="1323" spans="1:10" x14ac:dyDescent="0.2">
      <c r="A1323" s="1" t="s">
        <v>2283</v>
      </c>
      <c r="B1323" t="s">
        <v>2284</v>
      </c>
      <c r="C1323" t="s">
        <v>2363</v>
      </c>
      <c r="D1323" s="6" t="str">
        <f t="shared" si="20"/>
        <v>PROT:ADC53954.1</v>
      </c>
      <c r="E1323" t="s">
        <v>1580</v>
      </c>
      <c r="F1323" t="s">
        <v>170</v>
      </c>
      <c r="G1323">
        <f>IF(ISERROR(MATCH(AllProtiens!F1323,Genomes!$C:$C,0)),0,1)</f>
        <v>1</v>
      </c>
      <c r="H1323">
        <f>IF(ISERROR(MATCH(AllProtiens!A1323,CoreProteinGroups!B:B,0)),0,1)</f>
        <v>1</v>
      </c>
      <c r="J1323" s="6" t="s">
        <v>171</v>
      </c>
    </row>
    <row r="1324" spans="1:10" x14ac:dyDescent="0.2">
      <c r="A1324" s="1" t="s">
        <v>2283</v>
      </c>
      <c r="B1324" t="s">
        <v>2284</v>
      </c>
      <c r="C1324" t="s">
        <v>2364</v>
      </c>
      <c r="D1324" s="6" t="str">
        <f t="shared" si="20"/>
        <v>PROT:AAL69804.1</v>
      </c>
      <c r="E1324" t="s">
        <v>2365</v>
      </c>
      <c r="F1324" t="s">
        <v>174</v>
      </c>
      <c r="G1324">
        <f>IF(ISERROR(MATCH(AllProtiens!F1324,Genomes!$C:$C,0)),0,1)</f>
        <v>1</v>
      </c>
      <c r="H1324">
        <f>IF(ISERROR(MATCH(AllProtiens!A1324,CoreProteinGroups!B:B,0)),0,1)</f>
        <v>1</v>
      </c>
      <c r="J1324" s="6" t="s">
        <v>175</v>
      </c>
    </row>
    <row r="1325" spans="1:10" x14ac:dyDescent="0.2">
      <c r="A1325" s="1" t="s">
        <v>2283</v>
      </c>
      <c r="B1325" t="s">
        <v>2284</v>
      </c>
      <c r="C1325" t="s">
        <v>2366</v>
      </c>
      <c r="D1325" s="6" t="str">
        <f t="shared" si="20"/>
        <v>PROT:CAC21306.1</v>
      </c>
      <c r="E1325" t="s">
        <v>2367</v>
      </c>
      <c r="F1325" t="s">
        <v>178</v>
      </c>
      <c r="G1325">
        <f>IF(ISERROR(MATCH(AllProtiens!F1325,Genomes!$C:$C,0)),0,1)</f>
        <v>1</v>
      </c>
      <c r="H1325">
        <f>IF(ISERROR(MATCH(AllProtiens!A1325,CoreProteinGroups!B:B,0)),0,1)</f>
        <v>1</v>
      </c>
      <c r="J1325" s="6" t="s">
        <v>179</v>
      </c>
    </row>
    <row r="1326" spans="1:10" x14ac:dyDescent="0.2">
      <c r="A1326" s="1" t="s">
        <v>2283</v>
      </c>
      <c r="B1326" t="s">
        <v>2284</v>
      </c>
      <c r="C1326" t="s">
        <v>2368</v>
      </c>
      <c r="D1326" s="6" t="str">
        <f t="shared" si="20"/>
        <v>PROT:AAR07424.1</v>
      </c>
      <c r="E1326" t="s">
        <v>2369</v>
      </c>
      <c r="F1326" t="s">
        <v>182</v>
      </c>
      <c r="G1326">
        <f>IF(ISERROR(MATCH(AllProtiens!F1326,Genomes!$C:$C,0)),0,1)</f>
        <v>1</v>
      </c>
      <c r="H1326">
        <f>IF(ISERROR(MATCH(AllProtiens!A1326,CoreProteinGroups!B:B,0)),0,1)</f>
        <v>1</v>
      </c>
      <c r="J1326" s="6" t="s">
        <v>183</v>
      </c>
    </row>
    <row r="1327" spans="1:10" x14ac:dyDescent="0.2">
      <c r="A1327" s="1" t="s">
        <v>2283</v>
      </c>
      <c r="B1327" t="s">
        <v>2284</v>
      </c>
      <c r="C1327" t="s">
        <v>2370</v>
      </c>
      <c r="D1327" s="6" t="str">
        <f t="shared" si="20"/>
        <v>PROT:AAC97833.1</v>
      </c>
      <c r="E1327" t="s">
        <v>2371</v>
      </c>
      <c r="F1327" t="s">
        <v>186</v>
      </c>
      <c r="G1327">
        <f>IF(ISERROR(MATCH(AllProtiens!F1327,Genomes!$C:$C,0)),0,1)</f>
        <v>1</v>
      </c>
      <c r="H1327">
        <f>IF(ISERROR(MATCH(AllProtiens!A1327,CoreProteinGroups!B:B,0)),0,1)</f>
        <v>1</v>
      </c>
      <c r="J1327" s="6" t="s">
        <v>187</v>
      </c>
    </row>
    <row r="1328" spans="1:10" x14ac:dyDescent="0.2">
      <c r="A1328" s="1" t="s">
        <v>2283</v>
      </c>
      <c r="B1328" t="s">
        <v>2284</v>
      </c>
      <c r="C1328" t="s">
        <v>2372</v>
      </c>
      <c r="D1328" s="6" t="str">
        <f t="shared" si="20"/>
        <v>PROT:BAO49540.1</v>
      </c>
      <c r="E1328" t="s">
        <v>2373</v>
      </c>
      <c r="F1328" t="s">
        <v>190</v>
      </c>
      <c r="G1328">
        <f>IF(ISERROR(MATCH(AllProtiens!F1328,Genomes!$C:$C,0)),0,1)</f>
        <v>1</v>
      </c>
      <c r="H1328">
        <f>IF(ISERROR(MATCH(AllProtiens!A1328,CoreProteinGroups!B:B,0)),0,1)</f>
        <v>1</v>
      </c>
      <c r="J1328" s="6" t="s">
        <v>191</v>
      </c>
    </row>
    <row r="1329" spans="1:10" x14ac:dyDescent="0.2">
      <c r="A1329" s="1" t="s">
        <v>2283</v>
      </c>
      <c r="B1329" t="s">
        <v>2284</v>
      </c>
      <c r="C1329" t="s">
        <v>2374</v>
      </c>
      <c r="D1329" s="6" t="str">
        <f t="shared" si="20"/>
        <v>PROT:CCU55378.1</v>
      </c>
      <c r="E1329" t="s">
        <v>2375</v>
      </c>
      <c r="F1329" t="s">
        <v>193</v>
      </c>
      <c r="G1329">
        <f>IF(ISERROR(MATCH(AllProtiens!F1329,Genomes!$C:$C,0)),0,1)</f>
        <v>1</v>
      </c>
      <c r="H1329">
        <f>IF(ISERROR(MATCH(AllProtiens!A1329,CoreProteinGroups!B:B,0)),0,1)</f>
        <v>1</v>
      </c>
      <c r="J1329" s="6" t="s">
        <v>194</v>
      </c>
    </row>
    <row r="1330" spans="1:10" x14ac:dyDescent="0.2">
      <c r="A1330" s="1" t="s">
        <v>2283</v>
      </c>
      <c r="B1330" t="s">
        <v>2284</v>
      </c>
      <c r="C1330" t="s">
        <v>2376</v>
      </c>
      <c r="D1330" s="6" t="str">
        <f t="shared" si="20"/>
        <v>PROT:AAG02766.1</v>
      </c>
      <c r="E1330" t="s">
        <v>2377</v>
      </c>
      <c r="F1330" t="s">
        <v>197</v>
      </c>
      <c r="G1330">
        <f>IF(ISERROR(MATCH(AllProtiens!F1330,Genomes!$C:$C,0)),0,1)</f>
        <v>1</v>
      </c>
      <c r="H1330">
        <f>IF(ISERROR(MATCH(AllProtiens!A1330,CoreProteinGroups!B:B,0)),0,1)</f>
        <v>1</v>
      </c>
      <c r="J1330" s="6" t="s">
        <v>198</v>
      </c>
    </row>
    <row r="1331" spans="1:10" x14ac:dyDescent="0.2">
      <c r="A1331" s="1" t="s">
        <v>2283</v>
      </c>
      <c r="B1331" t="s">
        <v>2284</v>
      </c>
      <c r="C1331" t="s">
        <v>2378</v>
      </c>
      <c r="D1331" s="6" t="str">
        <f t="shared" si="20"/>
        <v>PROT:CCU55673.1</v>
      </c>
      <c r="E1331" t="s">
        <v>2375</v>
      </c>
      <c r="F1331" t="s">
        <v>200</v>
      </c>
      <c r="G1331">
        <f>IF(ISERROR(MATCH(AllProtiens!F1331,Genomes!$C:$C,0)),0,1)</f>
        <v>1</v>
      </c>
      <c r="H1331">
        <f>IF(ISERROR(MATCH(AllProtiens!A1331,CoreProteinGroups!B:B,0)),0,1)</f>
        <v>1</v>
      </c>
      <c r="J1331" s="6" t="s">
        <v>201</v>
      </c>
    </row>
    <row r="1332" spans="1:10" x14ac:dyDescent="0.2">
      <c r="A1332" s="1" t="s">
        <v>2283</v>
      </c>
      <c r="B1332" t="s">
        <v>2284</v>
      </c>
      <c r="C1332" t="s">
        <v>2379</v>
      </c>
      <c r="D1332" s="6" t="str">
        <f t="shared" si="20"/>
        <v>PROT:CCU55984.1</v>
      </c>
      <c r="E1332" t="s">
        <v>2375</v>
      </c>
      <c r="F1332" t="s">
        <v>203</v>
      </c>
      <c r="G1332">
        <f>IF(ISERROR(MATCH(AllProtiens!F1332,Genomes!$C:$C,0)),0,1)</f>
        <v>1</v>
      </c>
      <c r="H1332">
        <f>IF(ISERROR(MATCH(AllProtiens!A1332,CoreProteinGroups!B:B,0)),0,1)</f>
        <v>1</v>
      </c>
      <c r="J1332" s="6" t="s">
        <v>204</v>
      </c>
    </row>
    <row r="1333" spans="1:10" x14ac:dyDescent="0.2">
      <c r="A1333" s="1" t="s">
        <v>2283</v>
      </c>
      <c r="B1333" t="s">
        <v>2284</v>
      </c>
      <c r="C1333" t="s">
        <v>2380</v>
      </c>
      <c r="D1333" s="6" t="str">
        <f t="shared" si="20"/>
        <v>PROT:CCU56281.1</v>
      </c>
      <c r="E1333" t="s">
        <v>2375</v>
      </c>
      <c r="F1333" t="s">
        <v>206</v>
      </c>
      <c r="G1333">
        <f>IF(ISERROR(MATCH(AllProtiens!F1333,Genomes!$C:$C,0)),0,1)</f>
        <v>1</v>
      </c>
      <c r="H1333">
        <f>IF(ISERROR(MATCH(AllProtiens!A1333,CoreProteinGroups!B:B,0)),0,1)</f>
        <v>1</v>
      </c>
      <c r="J1333" s="6" t="s">
        <v>207</v>
      </c>
    </row>
    <row r="1334" spans="1:10" x14ac:dyDescent="0.2">
      <c r="A1334" s="1" t="s">
        <v>2283</v>
      </c>
      <c r="B1334" t="s">
        <v>2284</v>
      </c>
      <c r="C1334" t="s">
        <v>2381</v>
      </c>
      <c r="D1334" s="6" t="str">
        <f t="shared" si="20"/>
        <v>PROT:NP_659640.1</v>
      </c>
      <c r="E1334" t="s">
        <v>2382</v>
      </c>
      <c r="F1334" t="s">
        <v>210</v>
      </c>
      <c r="G1334">
        <f>IF(ISERROR(MATCH(AllProtiens!F1334,Genomes!$C:$C,0)),0,1)</f>
        <v>1</v>
      </c>
      <c r="H1334">
        <f>IF(ISERROR(MATCH(AllProtiens!A1334,CoreProteinGroups!B:B,0)),0,1)</f>
        <v>1</v>
      </c>
      <c r="J1334" s="6" t="s">
        <v>211</v>
      </c>
    </row>
    <row r="1335" spans="1:10" x14ac:dyDescent="0.2">
      <c r="A1335" s="1" t="s">
        <v>2283</v>
      </c>
      <c r="B1335" t="s">
        <v>2284</v>
      </c>
      <c r="C1335" t="s">
        <v>2383</v>
      </c>
      <c r="D1335" s="6" t="str">
        <f t="shared" si="20"/>
        <v>PROT:YP_001293259.1</v>
      </c>
      <c r="E1335" t="s">
        <v>2384</v>
      </c>
      <c r="F1335" t="s">
        <v>214</v>
      </c>
      <c r="G1335">
        <f>IF(ISERROR(MATCH(AllProtiens!F1335,Genomes!$C:$C,0)),0,1)</f>
        <v>1</v>
      </c>
      <c r="H1335">
        <f>IF(ISERROR(MATCH(AllProtiens!A1335,CoreProteinGroups!B:B,0)),0,1)</f>
        <v>1</v>
      </c>
      <c r="J1335" s="6" t="s">
        <v>215</v>
      </c>
    </row>
    <row r="1336" spans="1:10" x14ac:dyDescent="0.2">
      <c r="A1336" s="1" t="s">
        <v>2385</v>
      </c>
      <c r="B1336" t="s">
        <v>2386</v>
      </c>
      <c r="C1336" t="s">
        <v>2387</v>
      </c>
      <c r="D1336" s="6" t="str">
        <f t="shared" si="20"/>
        <v>PROT:ATI21178.1</v>
      </c>
      <c r="E1336" t="s">
        <v>516</v>
      </c>
      <c r="F1336" t="s">
        <v>14</v>
      </c>
      <c r="G1336">
        <f>IF(ISERROR(MATCH(AllProtiens!F1336,Genomes!$C:$C,0)),0,1)</f>
        <v>1</v>
      </c>
      <c r="H1336">
        <f>IF(ISERROR(MATCH(AllProtiens!A1336,CoreProteinGroups!B:B,0)),0,1)</f>
        <v>1</v>
      </c>
      <c r="J1336" s="6" t="s">
        <v>15</v>
      </c>
    </row>
    <row r="1337" spans="1:10" x14ac:dyDescent="0.2">
      <c r="A1337" s="1" t="s">
        <v>2385</v>
      </c>
      <c r="B1337" t="s">
        <v>2386</v>
      </c>
      <c r="C1337" t="s">
        <v>2388</v>
      </c>
      <c r="D1337" s="6" t="str">
        <f t="shared" si="20"/>
        <v>PROT:AWU47114.1</v>
      </c>
      <c r="E1337" t="s">
        <v>516</v>
      </c>
      <c r="F1337" t="s">
        <v>17</v>
      </c>
      <c r="G1337">
        <f>IF(ISERROR(MATCH(AllProtiens!F1337,Genomes!$C:$C,0)),0,1)</f>
        <v>1</v>
      </c>
      <c r="H1337">
        <f>IF(ISERROR(MATCH(AllProtiens!A1337,CoreProteinGroups!B:B,0)),0,1)</f>
        <v>1</v>
      </c>
      <c r="J1337" s="6" t="s">
        <v>18</v>
      </c>
    </row>
    <row r="1338" spans="1:10" x14ac:dyDescent="0.2">
      <c r="A1338" s="1" t="s">
        <v>2385</v>
      </c>
      <c r="B1338" t="s">
        <v>2386</v>
      </c>
      <c r="C1338" t="s">
        <v>2389</v>
      </c>
      <c r="D1338" s="6" t="str">
        <f t="shared" si="20"/>
        <v>PROT:APG58288.1</v>
      </c>
      <c r="E1338" t="s">
        <v>2390</v>
      </c>
      <c r="F1338" t="s">
        <v>21</v>
      </c>
      <c r="G1338">
        <f>IF(ISERROR(MATCH(AllProtiens!F1338,Genomes!$C:$C,0)),0,1)</f>
        <v>1</v>
      </c>
      <c r="H1338">
        <f>IF(ISERROR(MATCH(AllProtiens!A1338,CoreProteinGroups!B:B,0)),0,1)</f>
        <v>1</v>
      </c>
      <c r="J1338" s="6" t="s">
        <v>22</v>
      </c>
    </row>
    <row r="1339" spans="1:10" x14ac:dyDescent="0.2">
      <c r="A1339" s="1" t="s">
        <v>2385</v>
      </c>
      <c r="B1339" t="s">
        <v>2386</v>
      </c>
      <c r="C1339" t="s">
        <v>2391</v>
      </c>
      <c r="D1339" s="6" t="str">
        <f t="shared" si="20"/>
        <v>PROT:ADT91101.1</v>
      </c>
      <c r="E1339" t="s">
        <v>2392</v>
      </c>
      <c r="F1339" t="s">
        <v>25</v>
      </c>
      <c r="G1339">
        <f>IF(ISERROR(MATCH(AllProtiens!F1339,Genomes!$C:$C,0)),0,1)</f>
        <v>1</v>
      </c>
      <c r="H1339">
        <f>IF(ISERROR(MATCH(AllProtiens!A1339,CoreProteinGroups!B:B,0)),0,1)</f>
        <v>1</v>
      </c>
      <c r="J1339" s="6" t="s">
        <v>26</v>
      </c>
    </row>
    <row r="1340" spans="1:10" x14ac:dyDescent="0.2">
      <c r="A1340" s="1" t="s">
        <v>2385</v>
      </c>
      <c r="B1340" t="s">
        <v>2386</v>
      </c>
      <c r="C1340" t="s">
        <v>2393</v>
      </c>
      <c r="D1340" s="6" t="str">
        <f t="shared" si="20"/>
        <v>PROT:ANS71158.1</v>
      </c>
      <c r="E1340" t="s">
        <v>516</v>
      </c>
      <c r="F1340" t="s">
        <v>28</v>
      </c>
      <c r="G1340">
        <f>IF(ISERROR(MATCH(AllProtiens!F1340,Genomes!$C:$C,0)),0,1)</f>
        <v>1</v>
      </c>
      <c r="H1340">
        <f>IF(ISERROR(MATCH(AllProtiens!A1340,CoreProteinGroups!B:B,0)),0,1)</f>
        <v>1</v>
      </c>
      <c r="J1340" s="6" t="s">
        <v>29</v>
      </c>
    </row>
    <row r="1341" spans="1:10" x14ac:dyDescent="0.2">
      <c r="A1341" s="1" t="s">
        <v>2385</v>
      </c>
      <c r="B1341" t="s">
        <v>2386</v>
      </c>
      <c r="C1341" t="s">
        <v>2394</v>
      </c>
      <c r="D1341" s="6" t="str">
        <f t="shared" si="20"/>
        <v>PROT:AKR04289.1</v>
      </c>
      <c r="E1341" t="s">
        <v>2395</v>
      </c>
      <c r="F1341" t="s">
        <v>32</v>
      </c>
      <c r="G1341">
        <f>IF(ISERROR(MATCH(AllProtiens!F1341,Genomes!$C:$C,0)),0,1)</f>
        <v>1</v>
      </c>
      <c r="H1341">
        <f>IF(ISERROR(MATCH(AllProtiens!A1341,CoreProteinGroups!B:B,0)),0,1)</f>
        <v>1</v>
      </c>
      <c r="J1341" s="6" t="s">
        <v>33</v>
      </c>
    </row>
    <row r="1342" spans="1:10" x14ac:dyDescent="0.2">
      <c r="A1342" s="1" t="s">
        <v>2385</v>
      </c>
      <c r="B1342" t="s">
        <v>2386</v>
      </c>
      <c r="C1342" t="s">
        <v>2396</v>
      </c>
      <c r="D1342" s="6" t="str">
        <f t="shared" si="20"/>
        <v>PROT:CCD83246.1</v>
      </c>
      <c r="E1342" t="s">
        <v>2397</v>
      </c>
      <c r="F1342" t="s">
        <v>36</v>
      </c>
      <c r="G1342">
        <f>IF(ISERROR(MATCH(AllProtiens!F1342,Genomes!$C:$C,0)),0,1)</f>
        <v>1</v>
      </c>
      <c r="H1342">
        <f>IF(ISERROR(MATCH(AllProtiens!A1342,CoreProteinGroups!B:B,0)),0,1)</f>
        <v>1</v>
      </c>
      <c r="J1342" s="6" t="s">
        <v>37</v>
      </c>
    </row>
    <row r="1343" spans="1:10" x14ac:dyDescent="0.2">
      <c r="A1343" s="1" t="s">
        <v>2385</v>
      </c>
      <c r="B1343" t="s">
        <v>2386</v>
      </c>
      <c r="C1343" t="s">
        <v>2398</v>
      </c>
      <c r="D1343" s="6" t="str">
        <f t="shared" si="20"/>
        <v>PROT:ASK51276.1</v>
      </c>
      <c r="E1343" t="s">
        <v>2399</v>
      </c>
      <c r="F1343" t="s">
        <v>40</v>
      </c>
      <c r="G1343">
        <f>IF(ISERROR(MATCH(AllProtiens!F1343,Genomes!$C:$C,0)),0,1)</f>
        <v>1</v>
      </c>
      <c r="H1343">
        <f>IF(ISERROR(MATCH(AllProtiens!A1343,CoreProteinGroups!B:B,0)),0,1)</f>
        <v>1</v>
      </c>
      <c r="J1343" s="6" t="s">
        <v>41</v>
      </c>
    </row>
    <row r="1344" spans="1:10" x14ac:dyDescent="0.2">
      <c r="A1344" s="1" t="s">
        <v>2385</v>
      </c>
      <c r="B1344" t="s">
        <v>2386</v>
      </c>
      <c r="C1344" t="s">
        <v>2400</v>
      </c>
      <c r="D1344" s="6" t="str">
        <f t="shared" si="20"/>
        <v>PROT:AUD40241.1</v>
      </c>
      <c r="E1344" t="s">
        <v>2401</v>
      </c>
      <c r="F1344" t="s">
        <v>43</v>
      </c>
      <c r="G1344">
        <f>IF(ISERROR(MATCH(AllProtiens!F1344,Genomes!$C:$C,0)),0,1)</f>
        <v>1</v>
      </c>
      <c r="H1344">
        <f>IF(ISERROR(MATCH(AllProtiens!A1344,CoreProteinGroups!B:B,0)),0,1)</f>
        <v>1</v>
      </c>
      <c r="J1344" s="6" t="s">
        <v>44</v>
      </c>
    </row>
    <row r="1345" spans="1:10" x14ac:dyDescent="0.2">
      <c r="A1345" s="1" t="s">
        <v>2385</v>
      </c>
      <c r="B1345" t="s">
        <v>2386</v>
      </c>
      <c r="C1345" t="s">
        <v>2402</v>
      </c>
      <c r="D1345" s="6" t="str">
        <f t="shared" si="20"/>
        <v>PROT:AID46873.1</v>
      </c>
      <c r="E1345" t="s">
        <v>2403</v>
      </c>
      <c r="F1345" t="s">
        <v>46</v>
      </c>
      <c r="G1345">
        <f>IF(ISERROR(MATCH(AllProtiens!F1345,Genomes!$C:$C,0)),0,1)</f>
        <v>1</v>
      </c>
      <c r="H1345">
        <f>IF(ISERROR(MATCH(AllProtiens!A1345,CoreProteinGroups!B:B,0)),0,1)</f>
        <v>1</v>
      </c>
      <c r="J1345" s="6" t="s">
        <v>47</v>
      </c>
    </row>
    <row r="1346" spans="1:10" x14ac:dyDescent="0.2">
      <c r="A1346" s="1" t="s">
        <v>2385</v>
      </c>
      <c r="B1346" t="s">
        <v>2386</v>
      </c>
      <c r="C1346" t="s">
        <v>2404</v>
      </c>
      <c r="D1346" s="6" t="str">
        <f t="shared" ref="D1346:D1409" si="21">HYPERLINK(_xlfn.CONCAT("https://www.ncbi.nlm.nih.gov/protein/",C1346),_xlfn.CONCAT("PROT:",C1346))</f>
        <v>PROT:AID46644.1</v>
      </c>
      <c r="E1346" t="s">
        <v>2403</v>
      </c>
      <c r="F1346" t="s">
        <v>49</v>
      </c>
      <c r="G1346">
        <f>IF(ISERROR(MATCH(AllProtiens!F1346,Genomes!$C:$C,0)),0,1)</f>
        <v>1</v>
      </c>
      <c r="H1346">
        <f>IF(ISERROR(MATCH(AllProtiens!A1346,CoreProteinGroups!B:B,0)),0,1)</f>
        <v>1</v>
      </c>
      <c r="J1346" s="6" t="s">
        <v>50</v>
      </c>
    </row>
    <row r="1347" spans="1:10" x14ac:dyDescent="0.2">
      <c r="A1347" s="1" t="s">
        <v>2385</v>
      </c>
      <c r="B1347" t="s">
        <v>2386</v>
      </c>
      <c r="C1347" t="s">
        <v>2405</v>
      </c>
      <c r="D1347" s="6" t="str">
        <f t="shared" si="21"/>
        <v>PROT:ALA62474.1</v>
      </c>
      <c r="E1347" t="s">
        <v>2399</v>
      </c>
      <c r="F1347" t="s">
        <v>53</v>
      </c>
      <c r="G1347">
        <f>IF(ISERROR(MATCH(AllProtiens!F1347,Genomes!$C:$C,0)),0,1)</f>
        <v>1</v>
      </c>
      <c r="H1347">
        <f>IF(ISERROR(MATCH(AllProtiens!A1347,CoreProteinGroups!B:B,0)),0,1)</f>
        <v>1</v>
      </c>
      <c r="J1347" s="6" t="s">
        <v>54</v>
      </c>
    </row>
    <row r="1348" spans="1:10" x14ac:dyDescent="0.2">
      <c r="A1348" s="1" t="s">
        <v>2385</v>
      </c>
      <c r="B1348" t="s">
        <v>2386</v>
      </c>
      <c r="C1348" t="s">
        <v>2406</v>
      </c>
      <c r="D1348" s="6" t="str">
        <f t="shared" si="21"/>
        <v>PROT:AAR83528.1</v>
      </c>
      <c r="E1348" t="s">
        <v>2407</v>
      </c>
      <c r="F1348" t="s">
        <v>57</v>
      </c>
      <c r="G1348">
        <f>IF(ISERROR(MATCH(AllProtiens!F1348,Genomes!$C:$C,0)),0,1)</f>
        <v>1</v>
      </c>
      <c r="H1348">
        <f>IF(ISERROR(MATCH(AllProtiens!A1348,CoreProteinGroups!B:B,0)),0,1)</f>
        <v>1</v>
      </c>
      <c r="J1348" s="6" t="s">
        <v>58</v>
      </c>
    </row>
    <row r="1349" spans="1:10" x14ac:dyDescent="0.2">
      <c r="A1349" s="1" t="s">
        <v>2385</v>
      </c>
      <c r="B1349" t="s">
        <v>2386</v>
      </c>
      <c r="C1349" t="s">
        <v>2408</v>
      </c>
      <c r="D1349" s="6" t="str">
        <f t="shared" si="21"/>
        <v>PROT:AAF44481.1</v>
      </c>
      <c r="E1349" t="s">
        <v>2409</v>
      </c>
      <c r="F1349" t="s">
        <v>61</v>
      </c>
      <c r="G1349">
        <f>IF(ISERROR(MATCH(AllProtiens!F1349,Genomes!$C:$C,0)),0,1)</f>
        <v>1</v>
      </c>
      <c r="H1349">
        <f>IF(ISERROR(MATCH(AllProtiens!A1349,CoreProteinGroups!B:B,0)),0,1)</f>
        <v>1</v>
      </c>
      <c r="J1349" s="6" t="s">
        <v>62</v>
      </c>
    </row>
    <row r="1350" spans="1:10" x14ac:dyDescent="0.2">
      <c r="A1350" s="1" t="s">
        <v>2385</v>
      </c>
      <c r="B1350" t="s">
        <v>2386</v>
      </c>
      <c r="C1350" t="s">
        <v>2410</v>
      </c>
      <c r="D1350" s="6" t="str">
        <f t="shared" si="21"/>
        <v>PROT:AAK85032.1</v>
      </c>
      <c r="E1350" t="s">
        <v>2411</v>
      </c>
      <c r="F1350" t="s">
        <v>65</v>
      </c>
      <c r="G1350">
        <f>IF(ISERROR(MATCH(AllProtiens!F1350,Genomes!$C:$C,0)),0,1)</f>
        <v>1</v>
      </c>
      <c r="H1350">
        <f>IF(ISERROR(MATCH(AllProtiens!A1350,CoreProteinGroups!B:B,0)),0,1)</f>
        <v>1</v>
      </c>
      <c r="J1350" s="6" t="s">
        <v>66</v>
      </c>
    </row>
    <row r="1351" spans="1:10" x14ac:dyDescent="0.2">
      <c r="A1351" s="1" t="s">
        <v>2385</v>
      </c>
      <c r="B1351" t="s">
        <v>2386</v>
      </c>
      <c r="C1351" t="s">
        <v>2412</v>
      </c>
      <c r="D1351" s="6" t="str">
        <f t="shared" si="21"/>
        <v>PROT:AST09289.1</v>
      </c>
      <c r="E1351" t="s">
        <v>2397</v>
      </c>
      <c r="F1351" t="s">
        <v>68</v>
      </c>
      <c r="G1351">
        <f>IF(ISERROR(MATCH(AllProtiens!F1351,Genomes!$C:$C,0)),0,1)</f>
        <v>1</v>
      </c>
      <c r="H1351">
        <f>IF(ISERROR(MATCH(AllProtiens!A1351,CoreProteinGroups!B:B,0)),0,1)</f>
        <v>1</v>
      </c>
      <c r="J1351" s="6" t="s">
        <v>69</v>
      </c>
    </row>
    <row r="1352" spans="1:10" x14ac:dyDescent="0.2">
      <c r="A1352" s="1" t="s">
        <v>2385</v>
      </c>
      <c r="B1352" t="s">
        <v>2386</v>
      </c>
      <c r="C1352" t="s">
        <v>2413</v>
      </c>
      <c r="D1352" s="6" t="str">
        <f t="shared" si="21"/>
        <v>PROT:AEN03667.1</v>
      </c>
      <c r="E1352" t="s">
        <v>2397</v>
      </c>
      <c r="F1352" t="s">
        <v>71</v>
      </c>
      <c r="G1352">
        <f>IF(ISERROR(MATCH(AllProtiens!F1352,Genomes!$C:$C,0)),0,1)</f>
        <v>1</v>
      </c>
      <c r="H1352">
        <f>IF(ISERROR(MATCH(AllProtiens!A1352,CoreProteinGroups!B:B,0)),0,1)</f>
        <v>1</v>
      </c>
      <c r="J1352" s="6" t="s">
        <v>72</v>
      </c>
    </row>
    <row r="1353" spans="1:10" x14ac:dyDescent="0.2">
      <c r="A1353" s="1" t="s">
        <v>2385</v>
      </c>
      <c r="B1353" t="s">
        <v>2386</v>
      </c>
      <c r="C1353" t="s">
        <v>2414</v>
      </c>
      <c r="D1353" s="6" t="str">
        <f t="shared" si="21"/>
        <v>PROT:ABI99235.1</v>
      </c>
      <c r="E1353" t="s">
        <v>2403</v>
      </c>
      <c r="F1353" t="s">
        <v>74</v>
      </c>
      <c r="G1353">
        <f>IF(ISERROR(MATCH(AllProtiens!F1353,Genomes!$C:$C,0)),0,1)</f>
        <v>1</v>
      </c>
      <c r="H1353">
        <f>IF(ISERROR(MATCH(AllProtiens!A1353,CoreProteinGroups!B:B,0)),0,1)</f>
        <v>1</v>
      </c>
      <c r="J1353" s="6" t="s">
        <v>75</v>
      </c>
    </row>
    <row r="1354" spans="1:10" x14ac:dyDescent="0.2">
      <c r="A1354" s="1" t="s">
        <v>2385</v>
      </c>
      <c r="B1354" t="s">
        <v>2386</v>
      </c>
      <c r="C1354" t="s">
        <v>2415</v>
      </c>
      <c r="D1354" s="6" t="str">
        <f t="shared" si="21"/>
        <v>PROT:ABJ08990.1</v>
      </c>
      <c r="E1354" t="s">
        <v>2403</v>
      </c>
      <c r="F1354" t="s">
        <v>77</v>
      </c>
      <c r="G1354">
        <f>IF(ISERROR(MATCH(AllProtiens!F1354,Genomes!$C:$C,0)),0,1)</f>
        <v>1</v>
      </c>
      <c r="H1354">
        <f>IF(ISERROR(MATCH(AllProtiens!A1354,CoreProteinGroups!B:B,0)),0,1)</f>
        <v>1</v>
      </c>
      <c r="J1354" s="6" t="s">
        <v>78</v>
      </c>
    </row>
    <row r="1355" spans="1:10" x14ac:dyDescent="0.2">
      <c r="A1355" s="1" t="s">
        <v>2385</v>
      </c>
      <c r="B1355" t="s">
        <v>2386</v>
      </c>
      <c r="C1355" t="s">
        <v>2416</v>
      </c>
      <c r="D1355" s="6" t="str">
        <f t="shared" si="21"/>
        <v>PROT:AAF14956.1</v>
      </c>
      <c r="E1355" t="s">
        <v>2417</v>
      </c>
      <c r="F1355" t="s">
        <v>81</v>
      </c>
      <c r="G1355">
        <f>IF(ISERROR(MATCH(AllProtiens!F1355,Genomes!$C:$C,0)),0,1)</f>
        <v>0</v>
      </c>
      <c r="H1355">
        <f>IF(ISERROR(MATCH(AllProtiens!A1355,CoreProteinGroups!B:B,0)),0,1)</f>
        <v>1</v>
      </c>
      <c r="J1355" s="6" t="s">
        <v>82</v>
      </c>
    </row>
    <row r="1356" spans="1:10" x14ac:dyDescent="0.2">
      <c r="A1356" s="1" t="s">
        <v>2385</v>
      </c>
      <c r="B1356" t="s">
        <v>2386</v>
      </c>
      <c r="C1356" t="s">
        <v>2418</v>
      </c>
      <c r="D1356" s="6" t="str">
        <f t="shared" si="21"/>
        <v>PROT:AFU77332.1</v>
      </c>
      <c r="E1356" t="s">
        <v>2417</v>
      </c>
      <c r="F1356" t="s">
        <v>81</v>
      </c>
      <c r="G1356">
        <f>IF(ISERROR(MATCH(AllProtiens!F1356,Genomes!$C:$C,0)),0,1)</f>
        <v>0</v>
      </c>
      <c r="H1356">
        <f>IF(ISERROR(MATCH(AllProtiens!A1356,CoreProteinGroups!B:B,0)),0,1)</f>
        <v>1</v>
      </c>
      <c r="J1356" s="6" t="s">
        <v>82</v>
      </c>
    </row>
    <row r="1357" spans="1:10" x14ac:dyDescent="0.2">
      <c r="A1357" s="1" t="s">
        <v>2385</v>
      </c>
      <c r="B1357" t="s">
        <v>2386</v>
      </c>
      <c r="C1357" t="s">
        <v>2419</v>
      </c>
      <c r="D1357" s="6" t="str">
        <f t="shared" si="21"/>
        <v>PROT:AAF17950.1</v>
      </c>
      <c r="E1357" t="s">
        <v>2420</v>
      </c>
      <c r="F1357" t="s">
        <v>86</v>
      </c>
      <c r="G1357">
        <f>IF(ISERROR(MATCH(AllProtiens!F1357,Genomes!$C:$C,0)),0,1)</f>
        <v>1</v>
      </c>
      <c r="H1357">
        <f>IF(ISERROR(MATCH(AllProtiens!A1357,CoreProteinGroups!B:B,0)),0,1)</f>
        <v>1</v>
      </c>
      <c r="J1357" s="6" t="s">
        <v>87</v>
      </c>
    </row>
    <row r="1358" spans="1:10" x14ac:dyDescent="0.2">
      <c r="A1358" s="1" t="s">
        <v>2385</v>
      </c>
      <c r="B1358" t="s">
        <v>2386</v>
      </c>
      <c r="C1358" t="s">
        <v>2421</v>
      </c>
      <c r="D1358" s="6" t="str">
        <f t="shared" si="21"/>
        <v>PROT:AAC55207.1</v>
      </c>
      <c r="E1358" t="s">
        <v>2422</v>
      </c>
      <c r="F1358" t="s">
        <v>90</v>
      </c>
      <c r="G1358">
        <f>IF(ISERROR(MATCH(AllProtiens!F1358,Genomes!$C:$C,0)),0,1)</f>
        <v>1</v>
      </c>
      <c r="H1358">
        <f>IF(ISERROR(MATCH(AllProtiens!A1358,CoreProteinGroups!B:B,0)),0,1)</f>
        <v>1</v>
      </c>
      <c r="J1358" s="6" t="s">
        <v>91</v>
      </c>
    </row>
    <row r="1359" spans="1:10" x14ac:dyDescent="0.2">
      <c r="A1359" s="1" t="s">
        <v>2385</v>
      </c>
      <c r="B1359" t="s">
        <v>2386</v>
      </c>
      <c r="C1359" t="s">
        <v>2423</v>
      </c>
      <c r="D1359" s="6" t="str">
        <f t="shared" si="21"/>
        <v>PROT:AYN64664.1</v>
      </c>
      <c r="E1359" t="s">
        <v>2424</v>
      </c>
      <c r="F1359" t="s">
        <v>94</v>
      </c>
      <c r="G1359">
        <f>IF(ISERROR(MATCH(AllProtiens!F1359,Genomes!$C:$C,0)),0,1)</f>
        <v>1</v>
      </c>
      <c r="H1359">
        <f>IF(ISERROR(MATCH(AllProtiens!A1359,CoreProteinGroups!B:B,0)),0,1)</f>
        <v>1</v>
      </c>
      <c r="J1359" s="6" t="s">
        <v>95</v>
      </c>
    </row>
    <row r="1360" spans="1:10" x14ac:dyDescent="0.2">
      <c r="A1360" s="1" t="s">
        <v>2385</v>
      </c>
      <c r="B1360" t="s">
        <v>2386</v>
      </c>
      <c r="C1360" t="s">
        <v>2425</v>
      </c>
      <c r="D1360" s="6" t="str">
        <f t="shared" si="21"/>
        <v>PROT:AXN74891.1</v>
      </c>
      <c r="E1360" t="s">
        <v>2399</v>
      </c>
      <c r="F1360" t="s">
        <v>97</v>
      </c>
      <c r="G1360">
        <f>IF(ISERROR(MATCH(AllProtiens!F1360,Genomes!$C:$C,0)),0,1)</f>
        <v>1</v>
      </c>
      <c r="H1360">
        <f>IF(ISERROR(MATCH(AllProtiens!A1360,CoreProteinGroups!B:B,0)),0,1)</f>
        <v>1</v>
      </c>
      <c r="J1360" s="6" t="s">
        <v>98</v>
      </c>
    </row>
    <row r="1361" spans="1:10" x14ac:dyDescent="0.2">
      <c r="A1361" s="1" t="s">
        <v>2385</v>
      </c>
      <c r="B1361" t="s">
        <v>2386</v>
      </c>
      <c r="C1361" t="s">
        <v>2426</v>
      </c>
      <c r="D1361" s="6" t="str">
        <f t="shared" si="21"/>
        <v>PROT:ABH08205.1</v>
      </c>
      <c r="E1361" t="s">
        <v>2427</v>
      </c>
      <c r="F1361" t="s">
        <v>101</v>
      </c>
      <c r="G1361">
        <f>IF(ISERROR(MATCH(AllProtiens!F1361,Genomes!$C:$C,0)),0,1)</f>
        <v>1</v>
      </c>
      <c r="H1361">
        <f>IF(ISERROR(MATCH(AllProtiens!A1361,CoreProteinGroups!B:B,0)),0,1)</f>
        <v>1</v>
      </c>
      <c r="J1361" s="6" t="s">
        <v>102</v>
      </c>
    </row>
    <row r="1362" spans="1:10" x14ac:dyDescent="0.2">
      <c r="A1362" s="1" t="s">
        <v>2385</v>
      </c>
      <c r="B1362" t="s">
        <v>2386</v>
      </c>
      <c r="C1362" t="s">
        <v>2428</v>
      </c>
      <c r="D1362" s="6" t="str">
        <f t="shared" si="21"/>
        <v>PROT:AAG37567.1</v>
      </c>
      <c r="E1362" t="s">
        <v>2429</v>
      </c>
      <c r="F1362" t="s">
        <v>105</v>
      </c>
      <c r="G1362">
        <f>IF(ISERROR(MATCH(AllProtiens!F1362,Genomes!$C:$C,0)),0,1)</f>
        <v>1</v>
      </c>
      <c r="H1362">
        <f>IF(ISERROR(MATCH(AllProtiens!A1362,CoreProteinGroups!B:B,0)),0,1)</f>
        <v>1</v>
      </c>
      <c r="J1362" s="6" t="s">
        <v>106</v>
      </c>
    </row>
    <row r="1363" spans="1:10" x14ac:dyDescent="0.2">
      <c r="A1363" s="1" t="s">
        <v>2385</v>
      </c>
      <c r="B1363" t="s">
        <v>2386</v>
      </c>
      <c r="C1363" t="s">
        <v>2430</v>
      </c>
      <c r="D1363" s="6" t="str">
        <f t="shared" si="21"/>
        <v>PROT:AAL73803.1</v>
      </c>
      <c r="E1363" t="s">
        <v>2403</v>
      </c>
      <c r="F1363" t="s">
        <v>109</v>
      </c>
      <c r="G1363">
        <f>IF(ISERROR(MATCH(AllProtiens!F1363,Genomes!$C:$C,0)),0,1)</f>
        <v>1</v>
      </c>
      <c r="H1363">
        <f>IF(ISERROR(MATCH(AllProtiens!A1363,CoreProteinGroups!B:B,0)),0,1)</f>
        <v>1</v>
      </c>
      <c r="J1363" s="6" t="s">
        <v>110</v>
      </c>
    </row>
    <row r="1364" spans="1:10" x14ac:dyDescent="0.2">
      <c r="A1364" s="1" t="s">
        <v>2385</v>
      </c>
      <c r="B1364" t="s">
        <v>2386</v>
      </c>
      <c r="C1364" t="s">
        <v>2431</v>
      </c>
      <c r="D1364" s="6" t="str">
        <f t="shared" si="21"/>
        <v>PROT:AAM13552.1</v>
      </c>
      <c r="E1364" t="s">
        <v>2432</v>
      </c>
      <c r="F1364" t="s">
        <v>113</v>
      </c>
      <c r="G1364">
        <f>IF(ISERROR(MATCH(AllProtiens!F1364,Genomes!$C:$C,0)),0,1)</f>
        <v>1</v>
      </c>
      <c r="H1364">
        <f>IF(ISERROR(MATCH(AllProtiens!A1364,CoreProteinGroups!B:B,0)),0,1)</f>
        <v>1</v>
      </c>
      <c r="J1364" s="6" t="s">
        <v>114</v>
      </c>
    </row>
    <row r="1365" spans="1:10" x14ac:dyDescent="0.2">
      <c r="A1365" s="1" t="s">
        <v>2385</v>
      </c>
      <c r="B1365" t="s">
        <v>2386</v>
      </c>
      <c r="C1365" t="s">
        <v>2433</v>
      </c>
      <c r="D1365" s="6" t="str">
        <f t="shared" si="21"/>
        <v>PROT:AAM92386.1</v>
      </c>
      <c r="E1365" t="s">
        <v>2434</v>
      </c>
      <c r="F1365" t="s">
        <v>117</v>
      </c>
      <c r="G1365">
        <f>IF(ISERROR(MATCH(AllProtiens!F1365,Genomes!$C:$C,0)),0,1)</f>
        <v>1</v>
      </c>
      <c r="H1365">
        <f>IF(ISERROR(MATCH(AllProtiens!A1365,CoreProteinGroups!B:B,0)),0,1)</f>
        <v>1</v>
      </c>
      <c r="J1365" s="6" t="s">
        <v>118</v>
      </c>
    </row>
    <row r="1366" spans="1:10" x14ac:dyDescent="0.2">
      <c r="A1366" s="1" t="s">
        <v>2385</v>
      </c>
      <c r="B1366" t="s">
        <v>2386</v>
      </c>
      <c r="C1366" t="s">
        <v>2435</v>
      </c>
      <c r="D1366" s="6" t="str">
        <f t="shared" si="21"/>
        <v>PROT:AFH54645.1</v>
      </c>
      <c r="E1366" t="s">
        <v>2436</v>
      </c>
      <c r="F1366" t="s">
        <v>120</v>
      </c>
      <c r="G1366">
        <f>IF(ISERROR(MATCH(AllProtiens!F1366,Genomes!$C:$C,0)),0,1)</f>
        <v>1</v>
      </c>
      <c r="H1366">
        <f>IF(ISERROR(MATCH(AllProtiens!A1366,CoreProteinGroups!B:B,0)),0,1)</f>
        <v>1</v>
      </c>
      <c r="J1366" s="6" t="s">
        <v>121</v>
      </c>
    </row>
    <row r="1367" spans="1:10" x14ac:dyDescent="0.2">
      <c r="A1367" s="1" t="s">
        <v>2385</v>
      </c>
      <c r="B1367" t="s">
        <v>2386</v>
      </c>
      <c r="C1367" t="s">
        <v>2437</v>
      </c>
      <c r="D1367" s="6" t="str">
        <f t="shared" si="21"/>
        <v>PROT:AAL40548.1</v>
      </c>
      <c r="E1367" t="s">
        <v>2438</v>
      </c>
      <c r="F1367" t="s">
        <v>124</v>
      </c>
      <c r="G1367">
        <f>IF(ISERROR(MATCH(AllProtiens!F1367,Genomes!$C:$C,0)),0,1)</f>
        <v>1</v>
      </c>
      <c r="H1367">
        <f>IF(ISERROR(MATCH(AllProtiens!A1367,CoreProteinGroups!B:B,0)),0,1)</f>
        <v>1</v>
      </c>
      <c r="J1367" s="6" t="s">
        <v>125</v>
      </c>
    </row>
    <row r="1368" spans="1:10" x14ac:dyDescent="0.2">
      <c r="A1368" s="1" t="s">
        <v>2385</v>
      </c>
      <c r="B1368" t="s">
        <v>2386</v>
      </c>
      <c r="C1368" t="s">
        <v>2439</v>
      </c>
      <c r="D1368" s="6" t="str">
        <f t="shared" si="21"/>
        <v>PROT:AAX09185.1</v>
      </c>
      <c r="E1368" t="s">
        <v>2440</v>
      </c>
      <c r="F1368" t="s">
        <v>128</v>
      </c>
      <c r="G1368">
        <f>IF(ISERROR(MATCH(AllProtiens!F1368,Genomes!$C:$C,0)),0,1)</f>
        <v>1</v>
      </c>
      <c r="H1368">
        <f>IF(ISERROR(MATCH(AllProtiens!A1368,CoreProteinGroups!B:B,0)),0,1)</f>
        <v>1</v>
      </c>
      <c r="J1368" s="6" t="s">
        <v>129</v>
      </c>
    </row>
    <row r="1369" spans="1:10" x14ac:dyDescent="0.2">
      <c r="A1369" s="1" t="s">
        <v>2385</v>
      </c>
      <c r="B1369" t="s">
        <v>2386</v>
      </c>
      <c r="C1369" t="s">
        <v>2441</v>
      </c>
      <c r="D1369" s="6" t="str">
        <f t="shared" si="21"/>
        <v>PROT:AKJ93727.1</v>
      </c>
      <c r="E1369" t="s">
        <v>2442</v>
      </c>
      <c r="F1369" t="s">
        <v>131</v>
      </c>
      <c r="G1369">
        <f>IF(ISERROR(MATCH(AllProtiens!F1369,Genomes!$C:$C,0)),0,1)</f>
        <v>1</v>
      </c>
      <c r="H1369">
        <f>IF(ISERROR(MATCH(AllProtiens!A1369,CoreProteinGroups!B:B,0)),0,1)</f>
        <v>1</v>
      </c>
      <c r="J1369" s="6" t="s">
        <v>132</v>
      </c>
    </row>
    <row r="1370" spans="1:10" x14ac:dyDescent="0.2">
      <c r="A1370" s="1" t="s">
        <v>2385</v>
      </c>
      <c r="B1370" t="s">
        <v>2386</v>
      </c>
      <c r="C1370" t="s">
        <v>2443</v>
      </c>
      <c r="D1370" s="6" t="str">
        <f t="shared" si="21"/>
        <v>PROT:AOP31576.1</v>
      </c>
      <c r="E1370" t="s">
        <v>516</v>
      </c>
      <c r="F1370" t="s">
        <v>134</v>
      </c>
      <c r="G1370">
        <f>IF(ISERROR(MATCH(AllProtiens!F1370,Genomes!$C:$C,0)),0,1)</f>
        <v>1</v>
      </c>
      <c r="H1370">
        <f>IF(ISERROR(MATCH(AllProtiens!A1370,CoreProteinGroups!B:B,0)),0,1)</f>
        <v>1</v>
      </c>
      <c r="J1370" s="6" t="s">
        <v>135</v>
      </c>
    </row>
    <row r="1371" spans="1:10" x14ac:dyDescent="0.2">
      <c r="A1371" s="1" t="s">
        <v>2385</v>
      </c>
      <c r="B1371" t="s">
        <v>2386</v>
      </c>
      <c r="C1371" t="s">
        <v>2444</v>
      </c>
      <c r="D1371" s="6" t="str">
        <f t="shared" si="21"/>
        <v>PROT:ABD97666.1</v>
      </c>
      <c r="E1371" t="s">
        <v>2397</v>
      </c>
      <c r="F1371" t="s">
        <v>137</v>
      </c>
      <c r="G1371">
        <f>IF(ISERROR(MATCH(AllProtiens!F1371,Genomes!$C:$C,0)),0,1)</f>
        <v>1</v>
      </c>
      <c r="H1371">
        <f>IF(ISERROR(MATCH(AllProtiens!A1371,CoreProteinGroups!B:B,0)),0,1)</f>
        <v>1</v>
      </c>
      <c r="J1371" s="6" t="s">
        <v>138</v>
      </c>
    </row>
    <row r="1372" spans="1:10" x14ac:dyDescent="0.2">
      <c r="A1372" s="1" t="s">
        <v>2385</v>
      </c>
      <c r="B1372" t="s">
        <v>2386</v>
      </c>
      <c r="C1372" t="s">
        <v>2445</v>
      </c>
      <c r="D1372" s="6" t="str">
        <f t="shared" si="21"/>
        <v>PROT:AAO89377.1</v>
      </c>
      <c r="E1372" t="s">
        <v>2397</v>
      </c>
      <c r="F1372" t="s">
        <v>140</v>
      </c>
      <c r="G1372">
        <f>IF(ISERROR(MATCH(AllProtiens!F1372,Genomes!$C:$C,0)),0,1)</f>
        <v>1</v>
      </c>
      <c r="H1372">
        <f>IF(ISERROR(MATCH(AllProtiens!A1372,CoreProteinGroups!B:B,0)),0,1)</f>
        <v>1</v>
      </c>
      <c r="J1372" s="6" t="s">
        <v>141</v>
      </c>
    </row>
    <row r="1373" spans="1:10" x14ac:dyDescent="0.2">
      <c r="A1373" s="1" t="s">
        <v>2385</v>
      </c>
      <c r="B1373" t="s">
        <v>2386</v>
      </c>
      <c r="C1373" t="s">
        <v>2446</v>
      </c>
      <c r="D1373" s="6" t="str">
        <f t="shared" si="21"/>
        <v>PROT:CAA49024.1</v>
      </c>
      <c r="E1373" t="s">
        <v>2438</v>
      </c>
      <c r="F1373" t="s">
        <v>144</v>
      </c>
      <c r="G1373">
        <f>IF(ISERROR(MATCH(AllProtiens!F1373,Genomes!$C:$C,0)),0,1)</f>
        <v>1</v>
      </c>
      <c r="H1373">
        <f>IF(ISERROR(MATCH(AllProtiens!A1373,CoreProteinGroups!B:B,0)),0,1)</f>
        <v>1</v>
      </c>
      <c r="J1373" s="6" t="s">
        <v>145</v>
      </c>
    </row>
    <row r="1374" spans="1:10" x14ac:dyDescent="0.2">
      <c r="A1374" s="1" t="s">
        <v>2385</v>
      </c>
      <c r="B1374" t="s">
        <v>2386</v>
      </c>
      <c r="C1374" t="s">
        <v>2447</v>
      </c>
      <c r="D1374" s="6" t="str">
        <f t="shared" si="21"/>
        <v>PROT:CAB54683.1</v>
      </c>
      <c r="E1374" t="s">
        <v>2448</v>
      </c>
      <c r="F1374" t="s">
        <v>148</v>
      </c>
      <c r="G1374">
        <f>IF(ISERROR(MATCH(AllProtiens!F1374,Genomes!$C:$C,0)),0,1)</f>
        <v>1</v>
      </c>
      <c r="H1374">
        <f>IF(ISERROR(MATCH(AllProtiens!A1374,CoreProteinGroups!B:B,0)),0,1)</f>
        <v>1</v>
      </c>
      <c r="J1374" s="6" t="s">
        <v>149</v>
      </c>
    </row>
    <row r="1375" spans="1:10" x14ac:dyDescent="0.2">
      <c r="A1375" s="1" t="s">
        <v>2385</v>
      </c>
      <c r="B1375" t="s">
        <v>2386</v>
      </c>
      <c r="C1375" t="s">
        <v>2449</v>
      </c>
      <c r="D1375" s="6" t="str">
        <f t="shared" si="21"/>
        <v>PROT:AOP31787.1</v>
      </c>
      <c r="E1375" t="s">
        <v>516</v>
      </c>
      <c r="F1375" t="s">
        <v>151</v>
      </c>
      <c r="G1375">
        <f>IF(ISERROR(MATCH(AllProtiens!F1375,Genomes!$C:$C,0)),0,1)</f>
        <v>1</v>
      </c>
      <c r="H1375">
        <f>IF(ISERROR(MATCH(AllProtiens!A1375,CoreProteinGroups!B:B,0)),0,1)</f>
        <v>1</v>
      </c>
      <c r="J1375" s="6" t="s">
        <v>152</v>
      </c>
    </row>
    <row r="1376" spans="1:10" x14ac:dyDescent="0.2">
      <c r="A1376" s="1" t="s">
        <v>2385</v>
      </c>
      <c r="B1376" t="s">
        <v>2386</v>
      </c>
      <c r="C1376" t="s">
        <v>2450</v>
      </c>
      <c r="D1376" s="6" t="str">
        <f t="shared" si="21"/>
        <v>PROT:ASC55584.1</v>
      </c>
      <c r="E1376" t="s">
        <v>2451</v>
      </c>
      <c r="F1376" t="s">
        <v>155</v>
      </c>
      <c r="G1376">
        <f>IF(ISERROR(MATCH(AllProtiens!F1376,Genomes!$C:$C,0)),0,1)</f>
        <v>1</v>
      </c>
      <c r="H1376">
        <f>IF(ISERROR(MATCH(AllProtiens!A1376,CoreProteinGroups!B:B,0)),0,1)</f>
        <v>1</v>
      </c>
      <c r="J1376" s="6" t="s">
        <v>156</v>
      </c>
    </row>
    <row r="1377" spans="1:10" x14ac:dyDescent="0.2">
      <c r="A1377" s="1" t="s">
        <v>2385</v>
      </c>
      <c r="B1377" t="s">
        <v>2386</v>
      </c>
      <c r="C1377" t="s">
        <v>2452</v>
      </c>
      <c r="D1377" s="6" t="str">
        <f t="shared" si="21"/>
        <v>PROT:AAR98413.1</v>
      </c>
      <c r="E1377" t="s">
        <v>2453</v>
      </c>
      <c r="F1377" t="s">
        <v>159</v>
      </c>
      <c r="G1377">
        <f>IF(ISERROR(MATCH(AllProtiens!F1377,Genomes!$C:$C,0)),0,1)</f>
        <v>1</v>
      </c>
      <c r="H1377">
        <f>IF(ISERROR(MATCH(AllProtiens!A1377,CoreProteinGroups!B:B,0)),0,1)</f>
        <v>1</v>
      </c>
      <c r="J1377" s="6" t="s">
        <v>160</v>
      </c>
    </row>
    <row r="1378" spans="1:10" x14ac:dyDescent="0.2">
      <c r="A1378" s="1" t="s">
        <v>2385</v>
      </c>
      <c r="B1378" t="s">
        <v>2386</v>
      </c>
      <c r="C1378" t="s">
        <v>2454</v>
      </c>
      <c r="D1378" s="6" t="str">
        <f t="shared" si="21"/>
        <v>PROT:AAR98281.1</v>
      </c>
      <c r="E1378" t="s">
        <v>2453</v>
      </c>
      <c r="F1378" t="s">
        <v>162</v>
      </c>
      <c r="G1378">
        <f>IF(ISERROR(MATCH(AllProtiens!F1378,Genomes!$C:$C,0)),0,1)</f>
        <v>1</v>
      </c>
      <c r="H1378">
        <f>IF(ISERROR(MATCH(AllProtiens!A1378,CoreProteinGroups!B:B,0)),0,1)</f>
        <v>1</v>
      </c>
      <c r="J1378" s="6" t="s">
        <v>163</v>
      </c>
    </row>
    <row r="1379" spans="1:10" x14ac:dyDescent="0.2">
      <c r="A1379" s="1" t="s">
        <v>2385</v>
      </c>
      <c r="B1379" t="s">
        <v>2386</v>
      </c>
      <c r="C1379" t="s">
        <v>2455</v>
      </c>
      <c r="D1379" s="6" t="str">
        <f t="shared" si="21"/>
        <v>PROT:ABA00573.1</v>
      </c>
      <c r="E1379" t="s">
        <v>2403</v>
      </c>
      <c r="F1379" t="s">
        <v>162</v>
      </c>
      <c r="G1379">
        <f>IF(ISERROR(MATCH(AllProtiens!F1379,Genomes!$C:$C,0)),0,1)</f>
        <v>1</v>
      </c>
      <c r="H1379">
        <f>IF(ISERROR(MATCH(AllProtiens!A1379,CoreProteinGroups!B:B,0)),0,1)</f>
        <v>1</v>
      </c>
      <c r="J1379" s="6" t="s">
        <v>163</v>
      </c>
    </row>
    <row r="1380" spans="1:10" x14ac:dyDescent="0.2">
      <c r="A1380" s="1" t="s">
        <v>2385</v>
      </c>
      <c r="B1380" t="s">
        <v>2386</v>
      </c>
      <c r="C1380" t="s">
        <v>2456</v>
      </c>
      <c r="D1380" s="6" t="str">
        <f t="shared" si="21"/>
        <v>PROT:AIZ77307.1</v>
      </c>
      <c r="E1380" t="s">
        <v>2457</v>
      </c>
      <c r="F1380" t="s">
        <v>167</v>
      </c>
      <c r="G1380">
        <f>IF(ISERROR(MATCH(AllProtiens!F1380,Genomes!$C:$C,0)),0,1)</f>
        <v>1</v>
      </c>
      <c r="H1380">
        <f>IF(ISERROR(MATCH(AllProtiens!A1380,CoreProteinGroups!B:B,0)),0,1)</f>
        <v>1</v>
      </c>
      <c r="J1380" s="6" t="s">
        <v>168</v>
      </c>
    </row>
    <row r="1381" spans="1:10" x14ac:dyDescent="0.2">
      <c r="A1381" s="1" t="s">
        <v>2385</v>
      </c>
      <c r="B1381" t="s">
        <v>2386</v>
      </c>
      <c r="C1381" t="s">
        <v>2458</v>
      </c>
      <c r="D1381" s="6" t="str">
        <f t="shared" si="21"/>
        <v>PROT:ADC53957.1</v>
      </c>
      <c r="E1381" t="s">
        <v>2459</v>
      </c>
      <c r="F1381" t="s">
        <v>170</v>
      </c>
      <c r="G1381">
        <f>IF(ISERROR(MATCH(AllProtiens!F1381,Genomes!$C:$C,0)),0,1)</f>
        <v>1</v>
      </c>
      <c r="H1381">
        <f>IF(ISERROR(MATCH(AllProtiens!A1381,CoreProteinGroups!B:B,0)),0,1)</f>
        <v>1</v>
      </c>
      <c r="J1381" s="6" t="s">
        <v>171</v>
      </c>
    </row>
    <row r="1382" spans="1:10" x14ac:dyDescent="0.2">
      <c r="A1382" s="1" t="s">
        <v>2385</v>
      </c>
      <c r="B1382" t="s">
        <v>2386</v>
      </c>
      <c r="C1382" t="s">
        <v>2460</v>
      </c>
      <c r="D1382" s="6" t="str">
        <f t="shared" si="21"/>
        <v>PROT:AAL69807.1</v>
      </c>
      <c r="E1382" t="s">
        <v>2461</v>
      </c>
      <c r="F1382" t="s">
        <v>174</v>
      </c>
      <c r="G1382">
        <f>IF(ISERROR(MATCH(AllProtiens!F1382,Genomes!$C:$C,0)),0,1)</f>
        <v>1</v>
      </c>
      <c r="H1382">
        <f>IF(ISERROR(MATCH(AllProtiens!A1382,CoreProteinGroups!B:B,0)),0,1)</f>
        <v>1</v>
      </c>
      <c r="J1382" s="6" t="s">
        <v>175</v>
      </c>
    </row>
    <row r="1383" spans="1:10" x14ac:dyDescent="0.2">
      <c r="A1383" s="1" t="s">
        <v>2385</v>
      </c>
      <c r="B1383" t="s">
        <v>2386</v>
      </c>
      <c r="C1383" t="s">
        <v>2462</v>
      </c>
      <c r="D1383" s="6" t="str">
        <f t="shared" si="21"/>
        <v>PROT:CAC21309.1</v>
      </c>
      <c r="E1383" t="s">
        <v>2463</v>
      </c>
      <c r="F1383" t="s">
        <v>178</v>
      </c>
      <c r="G1383">
        <f>IF(ISERROR(MATCH(AllProtiens!F1383,Genomes!$C:$C,0)),0,1)</f>
        <v>1</v>
      </c>
      <c r="H1383">
        <f>IF(ISERROR(MATCH(AllProtiens!A1383,CoreProteinGroups!B:B,0)),0,1)</f>
        <v>1</v>
      </c>
      <c r="J1383" s="6" t="s">
        <v>179</v>
      </c>
    </row>
    <row r="1384" spans="1:10" x14ac:dyDescent="0.2">
      <c r="A1384" s="1" t="s">
        <v>2385</v>
      </c>
      <c r="B1384" t="s">
        <v>2386</v>
      </c>
      <c r="C1384" t="s">
        <v>2464</v>
      </c>
      <c r="D1384" s="6" t="str">
        <f t="shared" si="21"/>
        <v>PROT:AAR07427.1</v>
      </c>
      <c r="E1384" t="s">
        <v>2465</v>
      </c>
      <c r="F1384" t="s">
        <v>182</v>
      </c>
      <c r="G1384">
        <f>IF(ISERROR(MATCH(AllProtiens!F1384,Genomes!$C:$C,0)),0,1)</f>
        <v>1</v>
      </c>
      <c r="H1384">
        <f>IF(ISERROR(MATCH(AllProtiens!A1384,CoreProteinGroups!B:B,0)),0,1)</f>
        <v>1</v>
      </c>
      <c r="J1384" s="6" t="s">
        <v>183</v>
      </c>
    </row>
    <row r="1385" spans="1:10" x14ac:dyDescent="0.2">
      <c r="A1385" s="1" t="s">
        <v>2385</v>
      </c>
      <c r="B1385" t="s">
        <v>2386</v>
      </c>
      <c r="C1385" t="s">
        <v>2466</v>
      </c>
      <c r="D1385" s="6" t="str">
        <f t="shared" si="21"/>
        <v>PROT:AAC97832.1</v>
      </c>
      <c r="E1385" t="s">
        <v>2467</v>
      </c>
      <c r="F1385" t="s">
        <v>186</v>
      </c>
      <c r="G1385">
        <f>IF(ISERROR(MATCH(AllProtiens!F1385,Genomes!$C:$C,0)),0,1)</f>
        <v>1</v>
      </c>
      <c r="H1385">
        <f>IF(ISERROR(MATCH(AllProtiens!A1385,CoreProteinGroups!B:B,0)),0,1)</f>
        <v>1</v>
      </c>
      <c r="J1385" s="6" t="s">
        <v>187</v>
      </c>
    </row>
    <row r="1386" spans="1:10" x14ac:dyDescent="0.2">
      <c r="A1386" s="1" t="s">
        <v>2385</v>
      </c>
      <c r="B1386" t="s">
        <v>2386</v>
      </c>
      <c r="C1386" t="s">
        <v>2468</v>
      </c>
      <c r="D1386" s="6" t="str">
        <f t="shared" si="21"/>
        <v>PROT:BAO49590.1</v>
      </c>
      <c r="E1386" t="s">
        <v>2469</v>
      </c>
      <c r="F1386" t="s">
        <v>190</v>
      </c>
      <c r="G1386">
        <f>IF(ISERROR(MATCH(AllProtiens!F1386,Genomes!$C:$C,0)),0,1)</f>
        <v>1</v>
      </c>
      <c r="H1386">
        <f>IF(ISERROR(MATCH(AllProtiens!A1386,CoreProteinGroups!B:B,0)),0,1)</f>
        <v>1</v>
      </c>
      <c r="J1386" s="6" t="s">
        <v>191</v>
      </c>
    </row>
    <row r="1387" spans="1:10" x14ac:dyDescent="0.2">
      <c r="A1387" s="1" t="s">
        <v>2385</v>
      </c>
      <c r="B1387" t="s">
        <v>2386</v>
      </c>
      <c r="C1387" t="s">
        <v>2470</v>
      </c>
      <c r="D1387" s="6" t="str">
        <f t="shared" si="21"/>
        <v>PROT:CCU55520.1</v>
      </c>
      <c r="E1387" t="s">
        <v>2471</v>
      </c>
      <c r="F1387" t="s">
        <v>193</v>
      </c>
      <c r="G1387">
        <f>IF(ISERROR(MATCH(AllProtiens!F1387,Genomes!$C:$C,0)),0,1)</f>
        <v>1</v>
      </c>
      <c r="H1387">
        <f>IF(ISERROR(MATCH(AllProtiens!A1387,CoreProteinGroups!B:B,0)),0,1)</f>
        <v>1</v>
      </c>
      <c r="J1387" s="6" t="s">
        <v>194</v>
      </c>
    </row>
    <row r="1388" spans="1:10" x14ac:dyDescent="0.2">
      <c r="A1388" s="1" t="s">
        <v>2385</v>
      </c>
      <c r="B1388" t="s">
        <v>2386</v>
      </c>
      <c r="C1388" t="s">
        <v>2472</v>
      </c>
      <c r="D1388" s="6" t="str">
        <f t="shared" si="21"/>
        <v>PROT:AAG02927.1</v>
      </c>
      <c r="E1388" t="s">
        <v>2473</v>
      </c>
      <c r="F1388" t="s">
        <v>197</v>
      </c>
      <c r="G1388">
        <f>IF(ISERROR(MATCH(AllProtiens!F1388,Genomes!$C:$C,0)),0,1)</f>
        <v>1</v>
      </c>
      <c r="H1388">
        <f>IF(ISERROR(MATCH(AllProtiens!A1388,CoreProteinGroups!B:B,0)),0,1)</f>
        <v>1</v>
      </c>
      <c r="J1388" s="6" t="s">
        <v>198</v>
      </c>
    </row>
    <row r="1389" spans="1:10" x14ac:dyDescent="0.2">
      <c r="A1389" s="1" t="s">
        <v>2385</v>
      </c>
      <c r="B1389" t="s">
        <v>2386</v>
      </c>
      <c r="C1389" t="s">
        <v>2474</v>
      </c>
      <c r="D1389" s="6" t="str">
        <f t="shared" si="21"/>
        <v>PROT:CCU55824.1</v>
      </c>
      <c r="E1389" t="s">
        <v>2471</v>
      </c>
      <c r="F1389" t="s">
        <v>200</v>
      </c>
      <c r="G1389">
        <f>IF(ISERROR(MATCH(AllProtiens!F1389,Genomes!$C:$C,0)),0,1)</f>
        <v>1</v>
      </c>
      <c r="H1389">
        <f>IF(ISERROR(MATCH(AllProtiens!A1389,CoreProteinGroups!B:B,0)),0,1)</f>
        <v>1</v>
      </c>
      <c r="J1389" s="6" t="s">
        <v>201</v>
      </c>
    </row>
    <row r="1390" spans="1:10" x14ac:dyDescent="0.2">
      <c r="A1390" s="1" t="s">
        <v>2385</v>
      </c>
      <c r="B1390" t="s">
        <v>2386</v>
      </c>
      <c r="C1390" t="s">
        <v>2475</v>
      </c>
      <c r="D1390" s="6" t="str">
        <f t="shared" si="21"/>
        <v>PROT:CCU56124.1</v>
      </c>
      <c r="E1390" t="s">
        <v>2471</v>
      </c>
      <c r="F1390" t="s">
        <v>203</v>
      </c>
      <c r="G1390">
        <f>IF(ISERROR(MATCH(AllProtiens!F1390,Genomes!$C:$C,0)),0,1)</f>
        <v>1</v>
      </c>
      <c r="H1390">
        <f>IF(ISERROR(MATCH(AllProtiens!A1390,CoreProteinGroups!B:B,0)),0,1)</f>
        <v>1</v>
      </c>
      <c r="J1390" s="6" t="s">
        <v>204</v>
      </c>
    </row>
    <row r="1391" spans="1:10" x14ac:dyDescent="0.2">
      <c r="A1391" s="1" t="s">
        <v>2385</v>
      </c>
      <c r="B1391" t="s">
        <v>2386</v>
      </c>
      <c r="C1391" t="s">
        <v>2476</v>
      </c>
      <c r="D1391" s="6" t="str">
        <f t="shared" si="21"/>
        <v>PROT:CCU56442.1</v>
      </c>
      <c r="E1391" t="s">
        <v>2471</v>
      </c>
      <c r="F1391" t="s">
        <v>206</v>
      </c>
      <c r="G1391">
        <f>IF(ISERROR(MATCH(AllProtiens!F1391,Genomes!$C:$C,0)),0,1)</f>
        <v>1</v>
      </c>
      <c r="H1391">
        <f>IF(ISERROR(MATCH(AllProtiens!A1391,CoreProteinGroups!B:B,0)),0,1)</f>
        <v>1</v>
      </c>
      <c r="J1391" s="6" t="s">
        <v>207</v>
      </c>
    </row>
    <row r="1392" spans="1:10" x14ac:dyDescent="0.2">
      <c r="A1392" s="1" t="s">
        <v>2385</v>
      </c>
      <c r="B1392" t="s">
        <v>2386</v>
      </c>
      <c r="C1392" t="s">
        <v>2477</v>
      </c>
      <c r="D1392" s="6" t="str">
        <f t="shared" si="21"/>
        <v>PROT:NP_659643.1</v>
      </c>
      <c r="E1392" t="s">
        <v>2403</v>
      </c>
      <c r="F1392" t="s">
        <v>210</v>
      </c>
      <c r="G1392">
        <f>IF(ISERROR(MATCH(AllProtiens!F1392,Genomes!$C:$C,0)),0,1)</f>
        <v>1</v>
      </c>
      <c r="H1392">
        <f>IF(ISERROR(MATCH(AllProtiens!A1392,CoreProteinGroups!B:B,0)),0,1)</f>
        <v>1</v>
      </c>
      <c r="J1392" s="6" t="s">
        <v>211</v>
      </c>
    </row>
    <row r="1393" spans="1:10" x14ac:dyDescent="0.2">
      <c r="A1393" s="1" t="s">
        <v>2385</v>
      </c>
      <c r="B1393" t="s">
        <v>2386</v>
      </c>
      <c r="C1393" t="s">
        <v>2478</v>
      </c>
      <c r="D1393" s="6" t="str">
        <f t="shared" si="21"/>
        <v>PROT:YP_001293262.1</v>
      </c>
      <c r="E1393" t="s">
        <v>2479</v>
      </c>
      <c r="F1393" t="s">
        <v>214</v>
      </c>
      <c r="G1393">
        <f>IF(ISERROR(MATCH(AllProtiens!F1393,Genomes!$C:$C,0)),0,1)</f>
        <v>1</v>
      </c>
      <c r="H1393">
        <f>IF(ISERROR(MATCH(AllProtiens!A1393,CoreProteinGroups!B:B,0)),0,1)</f>
        <v>1</v>
      </c>
      <c r="J1393" s="6" t="s">
        <v>215</v>
      </c>
    </row>
    <row r="1394" spans="1:10" x14ac:dyDescent="0.2">
      <c r="A1394" s="1" t="s">
        <v>2480</v>
      </c>
      <c r="B1394" t="s">
        <v>646</v>
      </c>
      <c r="C1394" t="s">
        <v>2481</v>
      </c>
      <c r="D1394" s="6" t="str">
        <f t="shared" si="21"/>
        <v>PROT:ATI21168.1</v>
      </c>
      <c r="E1394" t="s">
        <v>646</v>
      </c>
      <c r="F1394" t="s">
        <v>14</v>
      </c>
      <c r="G1394">
        <f>IF(ISERROR(MATCH(AllProtiens!F1394,Genomes!$C:$C,0)),0,1)</f>
        <v>1</v>
      </c>
      <c r="H1394">
        <f>IF(ISERROR(MATCH(AllProtiens!A1394,CoreProteinGroups!B:B,0)),0,1)</f>
        <v>1</v>
      </c>
      <c r="J1394" s="6" t="s">
        <v>15</v>
      </c>
    </row>
    <row r="1395" spans="1:10" x14ac:dyDescent="0.2">
      <c r="A1395" s="1" t="s">
        <v>2480</v>
      </c>
      <c r="B1395" t="s">
        <v>646</v>
      </c>
      <c r="C1395" t="s">
        <v>2482</v>
      </c>
      <c r="D1395" s="6" t="str">
        <f t="shared" si="21"/>
        <v>PROT:AWU47105.1</v>
      </c>
      <c r="E1395" t="s">
        <v>2483</v>
      </c>
      <c r="F1395" t="s">
        <v>17</v>
      </c>
      <c r="G1395">
        <f>IF(ISERROR(MATCH(AllProtiens!F1395,Genomes!$C:$C,0)),0,1)</f>
        <v>1</v>
      </c>
      <c r="H1395">
        <f>IF(ISERROR(MATCH(AllProtiens!A1395,CoreProteinGroups!B:B,0)),0,1)</f>
        <v>1</v>
      </c>
      <c r="J1395" s="6" t="s">
        <v>18</v>
      </c>
    </row>
    <row r="1396" spans="1:10" x14ac:dyDescent="0.2">
      <c r="A1396" s="1" t="s">
        <v>2480</v>
      </c>
      <c r="B1396" t="s">
        <v>646</v>
      </c>
      <c r="C1396" t="s">
        <v>2484</v>
      </c>
      <c r="D1396" s="6" t="str">
        <f t="shared" si="21"/>
        <v>PROT:APG58277.1</v>
      </c>
      <c r="E1396" t="s">
        <v>2485</v>
      </c>
      <c r="F1396" t="s">
        <v>21</v>
      </c>
      <c r="G1396">
        <f>IF(ISERROR(MATCH(AllProtiens!F1396,Genomes!$C:$C,0)),0,1)</f>
        <v>1</v>
      </c>
      <c r="H1396">
        <f>IF(ISERROR(MATCH(AllProtiens!A1396,CoreProteinGroups!B:B,0)),0,1)</f>
        <v>1</v>
      </c>
      <c r="J1396" s="6" t="s">
        <v>22</v>
      </c>
    </row>
    <row r="1397" spans="1:10" x14ac:dyDescent="0.2">
      <c r="A1397" s="1" t="s">
        <v>2480</v>
      </c>
      <c r="B1397" t="s">
        <v>646</v>
      </c>
      <c r="C1397" t="s">
        <v>2486</v>
      </c>
      <c r="D1397" s="6" t="str">
        <f t="shared" si="21"/>
        <v>PROT:ADT91092.1</v>
      </c>
      <c r="E1397" t="s">
        <v>2487</v>
      </c>
      <c r="F1397" t="s">
        <v>25</v>
      </c>
      <c r="G1397">
        <f>IF(ISERROR(MATCH(AllProtiens!F1397,Genomes!$C:$C,0)),0,1)</f>
        <v>1</v>
      </c>
      <c r="H1397">
        <f>IF(ISERROR(MATCH(AllProtiens!A1397,CoreProteinGroups!B:B,0)),0,1)</f>
        <v>1</v>
      </c>
      <c r="J1397" s="6" t="s">
        <v>26</v>
      </c>
    </row>
    <row r="1398" spans="1:10" x14ac:dyDescent="0.2">
      <c r="A1398" s="1" t="s">
        <v>2480</v>
      </c>
      <c r="B1398" t="s">
        <v>646</v>
      </c>
      <c r="C1398" t="s">
        <v>2488</v>
      </c>
      <c r="D1398" s="6" t="str">
        <f t="shared" si="21"/>
        <v>PROT:ANS71149.1</v>
      </c>
      <c r="E1398" t="s">
        <v>2489</v>
      </c>
      <c r="F1398" t="s">
        <v>28</v>
      </c>
      <c r="G1398">
        <f>IF(ISERROR(MATCH(AllProtiens!F1398,Genomes!$C:$C,0)),0,1)</f>
        <v>1</v>
      </c>
      <c r="H1398">
        <f>IF(ISERROR(MATCH(AllProtiens!A1398,CoreProteinGroups!B:B,0)),0,1)</f>
        <v>1</v>
      </c>
      <c r="J1398" s="6" t="s">
        <v>29</v>
      </c>
    </row>
    <row r="1399" spans="1:10" x14ac:dyDescent="0.2">
      <c r="A1399" s="1" t="s">
        <v>2480</v>
      </c>
      <c r="B1399" t="s">
        <v>646</v>
      </c>
      <c r="C1399" t="s">
        <v>2490</v>
      </c>
      <c r="D1399" s="6" t="str">
        <f t="shared" si="21"/>
        <v>PROT:AKR04221.1</v>
      </c>
      <c r="E1399" t="s">
        <v>2491</v>
      </c>
      <c r="F1399" t="s">
        <v>32</v>
      </c>
      <c r="G1399">
        <f>IF(ISERROR(MATCH(AllProtiens!F1399,Genomes!$C:$C,0)),0,1)</f>
        <v>1</v>
      </c>
      <c r="H1399">
        <f>IF(ISERROR(MATCH(AllProtiens!A1399,CoreProteinGroups!B:B,0)),0,1)</f>
        <v>1</v>
      </c>
      <c r="J1399" s="6" t="s">
        <v>33</v>
      </c>
    </row>
    <row r="1400" spans="1:10" x14ac:dyDescent="0.2">
      <c r="A1400" s="1" t="s">
        <v>2480</v>
      </c>
      <c r="B1400" t="s">
        <v>646</v>
      </c>
      <c r="C1400" t="s">
        <v>2492</v>
      </c>
      <c r="D1400" s="6" t="str">
        <f t="shared" si="21"/>
        <v>PROT:CCD83237.1</v>
      </c>
      <c r="E1400" t="s">
        <v>2493</v>
      </c>
      <c r="F1400" t="s">
        <v>36</v>
      </c>
      <c r="G1400">
        <f>IF(ISERROR(MATCH(AllProtiens!F1400,Genomes!$C:$C,0)),0,1)</f>
        <v>1</v>
      </c>
      <c r="H1400">
        <f>IF(ISERROR(MATCH(AllProtiens!A1400,CoreProteinGroups!B:B,0)),0,1)</f>
        <v>1</v>
      </c>
      <c r="J1400" s="6" t="s">
        <v>37</v>
      </c>
    </row>
    <row r="1401" spans="1:10" x14ac:dyDescent="0.2">
      <c r="A1401" s="1" t="s">
        <v>2480</v>
      </c>
      <c r="B1401" t="s">
        <v>646</v>
      </c>
      <c r="C1401" t="s">
        <v>2494</v>
      </c>
      <c r="D1401" s="6" t="str">
        <f t="shared" si="21"/>
        <v>PROT:ASK51265.1</v>
      </c>
      <c r="E1401" t="s">
        <v>2495</v>
      </c>
      <c r="F1401" t="s">
        <v>40</v>
      </c>
      <c r="G1401">
        <f>IF(ISERROR(MATCH(AllProtiens!F1401,Genomes!$C:$C,0)),0,1)</f>
        <v>1</v>
      </c>
      <c r="H1401">
        <f>IF(ISERROR(MATCH(AllProtiens!A1401,CoreProteinGroups!B:B,0)),0,1)</f>
        <v>1</v>
      </c>
      <c r="J1401" s="6" t="s">
        <v>41</v>
      </c>
    </row>
    <row r="1402" spans="1:10" x14ac:dyDescent="0.2">
      <c r="A1402" s="1" t="s">
        <v>2480</v>
      </c>
      <c r="B1402" t="s">
        <v>646</v>
      </c>
      <c r="C1402" t="s">
        <v>2496</v>
      </c>
      <c r="D1402" s="6" t="str">
        <f t="shared" si="21"/>
        <v>PROT:AUD40232.1</v>
      </c>
      <c r="E1402" t="s">
        <v>2487</v>
      </c>
      <c r="F1402" t="s">
        <v>43</v>
      </c>
      <c r="G1402">
        <f>IF(ISERROR(MATCH(AllProtiens!F1402,Genomes!$C:$C,0)),0,1)</f>
        <v>1</v>
      </c>
      <c r="H1402">
        <f>IF(ISERROR(MATCH(AllProtiens!A1402,CoreProteinGroups!B:B,0)),0,1)</f>
        <v>1</v>
      </c>
      <c r="J1402" s="6" t="s">
        <v>44</v>
      </c>
    </row>
    <row r="1403" spans="1:10" x14ac:dyDescent="0.2">
      <c r="A1403" s="1" t="s">
        <v>2480</v>
      </c>
      <c r="B1403" t="s">
        <v>646</v>
      </c>
      <c r="C1403" t="s">
        <v>2497</v>
      </c>
      <c r="D1403" s="6" t="str">
        <f t="shared" si="21"/>
        <v>PROT:AID46864.1</v>
      </c>
      <c r="E1403" t="s">
        <v>2498</v>
      </c>
      <c r="F1403" t="s">
        <v>46</v>
      </c>
      <c r="G1403">
        <f>IF(ISERROR(MATCH(AllProtiens!F1403,Genomes!$C:$C,0)),0,1)</f>
        <v>1</v>
      </c>
      <c r="H1403">
        <f>IF(ISERROR(MATCH(AllProtiens!A1403,CoreProteinGroups!B:B,0)),0,1)</f>
        <v>1</v>
      </c>
      <c r="J1403" s="6" t="s">
        <v>47</v>
      </c>
    </row>
    <row r="1404" spans="1:10" x14ac:dyDescent="0.2">
      <c r="A1404" s="1" t="s">
        <v>2480</v>
      </c>
      <c r="B1404" t="s">
        <v>646</v>
      </c>
      <c r="C1404" t="s">
        <v>2499</v>
      </c>
      <c r="D1404" s="6" t="str">
        <f t="shared" si="21"/>
        <v>PROT:AID46635.1</v>
      </c>
      <c r="E1404" t="s">
        <v>2498</v>
      </c>
      <c r="F1404" t="s">
        <v>49</v>
      </c>
      <c r="G1404">
        <f>IF(ISERROR(MATCH(AllProtiens!F1404,Genomes!$C:$C,0)),0,1)</f>
        <v>1</v>
      </c>
      <c r="H1404">
        <f>IF(ISERROR(MATCH(AllProtiens!A1404,CoreProteinGroups!B:B,0)),0,1)</f>
        <v>1</v>
      </c>
      <c r="J1404" s="6" t="s">
        <v>50</v>
      </c>
    </row>
    <row r="1405" spans="1:10" x14ac:dyDescent="0.2">
      <c r="A1405" s="1" t="s">
        <v>2480</v>
      </c>
      <c r="B1405" t="s">
        <v>646</v>
      </c>
      <c r="C1405" t="s">
        <v>2500</v>
      </c>
      <c r="D1405" s="6" t="str">
        <f t="shared" si="21"/>
        <v>PROT:ALA62465.1</v>
      </c>
      <c r="E1405" t="s">
        <v>2501</v>
      </c>
      <c r="F1405" t="s">
        <v>53</v>
      </c>
      <c r="G1405">
        <f>IF(ISERROR(MATCH(AllProtiens!F1405,Genomes!$C:$C,0)),0,1)</f>
        <v>1</v>
      </c>
      <c r="H1405">
        <f>IF(ISERROR(MATCH(AllProtiens!A1405,CoreProteinGroups!B:B,0)),0,1)</f>
        <v>1</v>
      </c>
      <c r="J1405" s="6" t="s">
        <v>54</v>
      </c>
    </row>
    <row r="1406" spans="1:10" x14ac:dyDescent="0.2">
      <c r="A1406" s="1" t="s">
        <v>2480</v>
      </c>
      <c r="B1406" t="s">
        <v>646</v>
      </c>
      <c r="C1406" t="s">
        <v>2502</v>
      </c>
      <c r="D1406" s="6" t="str">
        <f t="shared" si="21"/>
        <v>PROT:AAR83519.1</v>
      </c>
      <c r="E1406" t="s">
        <v>2503</v>
      </c>
      <c r="F1406" t="s">
        <v>57</v>
      </c>
      <c r="G1406">
        <f>IF(ISERROR(MATCH(AllProtiens!F1406,Genomes!$C:$C,0)),0,1)</f>
        <v>1</v>
      </c>
      <c r="H1406">
        <f>IF(ISERROR(MATCH(AllProtiens!A1406,CoreProteinGroups!B:B,0)),0,1)</f>
        <v>1</v>
      </c>
      <c r="J1406" s="6" t="s">
        <v>58</v>
      </c>
    </row>
    <row r="1407" spans="1:10" x14ac:dyDescent="0.2">
      <c r="A1407" s="1" t="s">
        <v>2480</v>
      </c>
      <c r="B1407" t="s">
        <v>646</v>
      </c>
      <c r="C1407" t="s">
        <v>2504</v>
      </c>
      <c r="D1407" s="6" t="str">
        <f t="shared" si="21"/>
        <v>PROT:AAF44472.1</v>
      </c>
      <c r="E1407" t="s">
        <v>2505</v>
      </c>
      <c r="F1407" t="s">
        <v>61</v>
      </c>
      <c r="G1407">
        <f>IF(ISERROR(MATCH(AllProtiens!F1407,Genomes!$C:$C,0)),0,1)</f>
        <v>1</v>
      </c>
      <c r="H1407">
        <f>IF(ISERROR(MATCH(AllProtiens!A1407,CoreProteinGroups!B:B,0)),0,1)</f>
        <v>1</v>
      </c>
      <c r="J1407" s="6" t="s">
        <v>62</v>
      </c>
    </row>
    <row r="1408" spans="1:10" x14ac:dyDescent="0.2">
      <c r="A1408" s="1" t="s">
        <v>2480</v>
      </c>
      <c r="B1408" t="s">
        <v>646</v>
      </c>
      <c r="C1408" t="s">
        <v>2506</v>
      </c>
      <c r="D1408" s="6" t="str">
        <f t="shared" si="21"/>
        <v>PROT:YP_001293251.1</v>
      </c>
      <c r="E1408" t="s">
        <v>2507</v>
      </c>
      <c r="F1408" t="s">
        <v>214</v>
      </c>
      <c r="G1408">
        <f>IF(ISERROR(MATCH(AllProtiens!F1408,Genomes!$C:$C,0)),0,1)</f>
        <v>1</v>
      </c>
      <c r="H1408">
        <f>IF(ISERROR(MATCH(AllProtiens!A1408,CoreProteinGroups!B:B,0)),0,1)</f>
        <v>1</v>
      </c>
      <c r="J1408" s="6" t="s">
        <v>215</v>
      </c>
    </row>
    <row r="1409" spans="1:10" x14ac:dyDescent="0.2">
      <c r="A1409" s="1" t="s">
        <v>2480</v>
      </c>
      <c r="B1409" t="s">
        <v>646</v>
      </c>
      <c r="C1409" t="s">
        <v>2508</v>
      </c>
      <c r="D1409" s="6" t="str">
        <f t="shared" si="21"/>
        <v>PROT:AAK85021.1</v>
      </c>
      <c r="E1409" t="s">
        <v>2509</v>
      </c>
      <c r="F1409" t="s">
        <v>65</v>
      </c>
      <c r="G1409">
        <f>IF(ISERROR(MATCH(AllProtiens!F1409,Genomes!$C:$C,0)),0,1)</f>
        <v>1</v>
      </c>
      <c r="H1409">
        <f>IF(ISERROR(MATCH(AllProtiens!A1409,CoreProteinGroups!B:B,0)),0,1)</f>
        <v>1</v>
      </c>
      <c r="J1409" s="6" t="s">
        <v>66</v>
      </c>
    </row>
    <row r="1410" spans="1:10" x14ac:dyDescent="0.2">
      <c r="A1410" s="1" t="s">
        <v>2480</v>
      </c>
      <c r="B1410" t="s">
        <v>646</v>
      </c>
      <c r="C1410" t="s">
        <v>2510</v>
      </c>
      <c r="D1410" s="6" t="str">
        <f t="shared" ref="D1410:D1473" si="22">HYPERLINK(_xlfn.CONCAT("https://www.ncbi.nlm.nih.gov/protein/",C1410),_xlfn.CONCAT("PROT:",C1410))</f>
        <v>PROT:NP_659632.1</v>
      </c>
      <c r="E1410" t="s">
        <v>2495</v>
      </c>
      <c r="F1410" t="s">
        <v>210</v>
      </c>
      <c r="G1410">
        <f>IF(ISERROR(MATCH(AllProtiens!F1410,Genomes!$C:$C,0)),0,1)</f>
        <v>1</v>
      </c>
      <c r="H1410">
        <f>IF(ISERROR(MATCH(AllProtiens!A1410,CoreProteinGroups!B:B,0)),0,1)</f>
        <v>1</v>
      </c>
      <c r="J1410" s="6" t="s">
        <v>211</v>
      </c>
    </row>
    <row r="1411" spans="1:10" x14ac:dyDescent="0.2">
      <c r="A1411" s="1" t="s">
        <v>2480</v>
      </c>
      <c r="B1411" t="s">
        <v>646</v>
      </c>
      <c r="C1411" t="s">
        <v>2511</v>
      </c>
      <c r="D1411" s="6" t="str">
        <f t="shared" si="22"/>
        <v>PROT:AST09279.1</v>
      </c>
      <c r="E1411" t="s">
        <v>646</v>
      </c>
      <c r="F1411" t="s">
        <v>68</v>
      </c>
      <c r="G1411">
        <f>IF(ISERROR(MATCH(AllProtiens!F1411,Genomes!$C:$C,0)),0,1)</f>
        <v>1</v>
      </c>
      <c r="H1411">
        <f>IF(ISERROR(MATCH(AllProtiens!A1411,CoreProteinGroups!B:B,0)),0,1)</f>
        <v>1</v>
      </c>
      <c r="J1411" s="6" t="s">
        <v>69</v>
      </c>
    </row>
    <row r="1412" spans="1:10" x14ac:dyDescent="0.2">
      <c r="A1412" s="1" t="s">
        <v>2480</v>
      </c>
      <c r="B1412" t="s">
        <v>646</v>
      </c>
      <c r="C1412" t="s">
        <v>2512</v>
      </c>
      <c r="D1412" s="6" t="str">
        <f t="shared" si="22"/>
        <v>PROT:AEN03657.1</v>
      </c>
      <c r="E1412" t="s">
        <v>646</v>
      </c>
      <c r="F1412" t="s">
        <v>71</v>
      </c>
      <c r="G1412">
        <f>IF(ISERROR(MATCH(AllProtiens!F1412,Genomes!$C:$C,0)),0,1)</f>
        <v>1</v>
      </c>
      <c r="H1412">
        <f>IF(ISERROR(MATCH(AllProtiens!A1412,CoreProteinGroups!B:B,0)),0,1)</f>
        <v>1</v>
      </c>
      <c r="J1412" s="6" t="s">
        <v>72</v>
      </c>
    </row>
    <row r="1413" spans="1:10" x14ac:dyDescent="0.2">
      <c r="A1413" s="1" t="s">
        <v>2480</v>
      </c>
      <c r="B1413" t="s">
        <v>646</v>
      </c>
      <c r="C1413" t="s">
        <v>2513</v>
      </c>
      <c r="D1413" s="6" t="str">
        <f t="shared" si="22"/>
        <v>PROT:ABI99224.1</v>
      </c>
      <c r="E1413" t="s">
        <v>2514</v>
      </c>
      <c r="F1413" t="s">
        <v>74</v>
      </c>
      <c r="G1413">
        <f>IF(ISERROR(MATCH(AllProtiens!F1413,Genomes!$C:$C,0)),0,1)</f>
        <v>1</v>
      </c>
      <c r="H1413">
        <f>IF(ISERROR(MATCH(AllProtiens!A1413,CoreProteinGroups!B:B,0)),0,1)</f>
        <v>1</v>
      </c>
      <c r="J1413" s="6" t="s">
        <v>75</v>
      </c>
    </row>
    <row r="1414" spans="1:10" x14ac:dyDescent="0.2">
      <c r="A1414" s="1" t="s">
        <v>2480</v>
      </c>
      <c r="B1414" t="s">
        <v>646</v>
      </c>
      <c r="C1414" t="s">
        <v>2515</v>
      </c>
      <c r="D1414" s="6" t="str">
        <f t="shared" si="22"/>
        <v>PROT:ABJ08973.1</v>
      </c>
      <c r="E1414" t="s">
        <v>2514</v>
      </c>
      <c r="F1414" t="s">
        <v>77</v>
      </c>
      <c r="G1414">
        <f>IF(ISERROR(MATCH(AllProtiens!F1414,Genomes!$C:$C,0)),0,1)</f>
        <v>1</v>
      </c>
      <c r="H1414">
        <f>IF(ISERROR(MATCH(AllProtiens!A1414,CoreProteinGroups!B:B,0)),0,1)</f>
        <v>1</v>
      </c>
      <c r="J1414" s="6" t="s">
        <v>78</v>
      </c>
    </row>
    <row r="1415" spans="1:10" x14ac:dyDescent="0.2">
      <c r="A1415" s="1" t="s">
        <v>2480</v>
      </c>
      <c r="B1415" t="s">
        <v>646</v>
      </c>
      <c r="C1415" t="s">
        <v>2516</v>
      </c>
      <c r="D1415" s="6" t="str">
        <f t="shared" si="22"/>
        <v>PROT:AAF14943.1</v>
      </c>
      <c r="E1415" t="s">
        <v>2517</v>
      </c>
      <c r="F1415" t="s">
        <v>81</v>
      </c>
      <c r="G1415">
        <f>IF(ISERROR(MATCH(AllProtiens!F1415,Genomes!$C:$C,0)),0,1)</f>
        <v>0</v>
      </c>
      <c r="H1415">
        <f>IF(ISERROR(MATCH(AllProtiens!A1415,CoreProteinGroups!B:B,0)),0,1)</f>
        <v>1</v>
      </c>
      <c r="J1415" s="6" t="s">
        <v>82</v>
      </c>
    </row>
    <row r="1416" spans="1:10" x14ac:dyDescent="0.2">
      <c r="A1416" s="1" t="s">
        <v>2480</v>
      </c>
      <c r="B1416" t="s">
        <v>646</v>
      </c>
      <c r="C1416" t="s">
        <v>2518</v>
      </c>
      <c r="D1416" s="6" t="str">
        <f t="shared" si="22"/>
        <v>PROT:AFU77319.1</v>
      </c>
      <c r="E1416" t="s">
        <v>2517</v>
      </c>
      <c r="F1416" t="s">
        <v>81</v>
      </c>
      <c r="G1416">
        <f>IF(ISERROR(MATCH(AllProtiens!F1416,Genomes!$C:$C,0)),0,1)</f>
        <v>0</v>
      </c>
      <c r="H1416">
        <f>IF(ISERROR(MATCH(AllProtiens!A1416,CoreProteinGroups!B:B,0)),0,1)</f>
        <v>1</v>
      </c>
      <c r="J1416" s="6" t="s">
        <v>82</v>
      </c>
    </row>
    <row r="1417" spans="1:10" x14ac:dyDescent="0.2">
      <c r="A1417" s="1" t="s">
        <v>2480</v>
      </c>
      <c r="B1417" t="s">
        <v>646</v>
      </c>
      <c r="C1417" t="s">
        <v>2519</v>
      </c>
      <c r="D1417" s="6" t="str">
        <f t="shared" si="22"/>
        <v>PROT:AAF17937.1</v>
      </c>
      <c r="E1417" t="s">
        <v>2520</v>
      </c>
      <c r="F1417" t="s">
        <v>86</v>
      </c>
      <c r="G1417">
        <f>IF(ISERROR(MATCH(AllProtiens!F1417,Genomes!$C:$C,0)),0,1)</f>
        <v>1</v>
      </c>
      <c r="H1417">
        <f>IF(ISERROR(MATCH(AllProtiens!A1417,CoreProteinGroups!B:B,0)),0,1)</f>
        <v>1</v>
      </c>
      <c r="J1417" s="6" t="s">
        <v>87</v>
      </c>
    </row>
    <row r="1418" spans="1:10" x14ac:dyDescent="0.2">
      <c r="A1418" s="1" t="s">
        <v>2480</v>
      </c>
      <c r="B1418" t="s">
        <v>646</v>
      </c>
      <c r="C1418" t="s">
        <v>2521</v>
      </c>
      <c r="D1418" s="6" t="str">
        <f t="shared" si="22"/>
        <v>PROT:AAC55197.1</v>
      </c>
      <c r="E1418" t="s">
        <v>2522</v>
      </c>
      <c r="F1418" t="s">
        <v>90</v>
      </c>
      <c r="G1418">
        <f>IF(ISERROR(MATCH(AllProtiens!F1418,Genomes!$C:$C,0)),0,1)</f>
        <v>1</v>
      </c>
      <c r="H1418">
        <f>IF(ISERROR(MATCH(AllProtiens!A1418,CoreProteinGroups!B:B,0)),0,1)</f>
        <v>1</v>
      </c>
      <c r="J1418" s="6" t="s">
        <v>91</v>
      </c>
    </row>
    <row r="1419" spans="1:10" x14ac:dyDescent="0.2">
      <c r="A1419" s="1" t="s">
        <v>2480</v>
      </c>
      <c r="B1419" t="s">
        <v>646</v>
      </c>
      <c r="C1419" t="s">
        <v>2523</v>
      </c>
      <c r="D1419" s="6" t="str">
        <f t="shared" si="22"/>
        <v>PROT:AYN64654.1</v>
      </c>
      <c r="E1419" t="s">
        <v>2524</v>
      </c>
      <c r="F1419" t="s">
        <v>94</v>
      </c>
      <c r="G1419">
        <f>IF(ISERROR(MATCH(AllProtiens!F1419,Genomes!$C:$C,0)),0,1)</f>
        <v>1</v>
      </c>
      <c r="H1419">
        <f>IF(ISERROR(MATCH(AllProtiens!A1419,CoreProteinGroups!B:B,0)),0,1)</f>
        <v>1</v>
      </c>
      <c r="J1419" s="6" t="s">
        <v>95</v>
      </c>
    </row>
    <row r="1420" spans="1:10" x14ac:dyDescent="0.2">
      <c r="A1420" s="1" t="s">
        <v>2480</v>
      </c>
      <c r="B1420" t="s">
        <v>646</v>
      </c>
      <c r="C1420" t="s">
        <v>2525</v>
      </c>
      <c r="D1420" s="6" t="str">
        <f t="shared" si="22"/>
        <v>PROT:AXN74881.1</v>
      </c>
      <c r="E1420" t="s">
        <v>646</v>
      </c>
      <c r="F1420" t="s">
        <v>97</v>
      </c>
      <c r="G1420">
        <f>IF(ISERROR(MATCH(AllProtiens!F1420,Genomes!$C:$C,0)),0,1)</f>
        <v>1</v>
      </c>
      <c r="H1420">
        <f>IF(ISERROR(MATCH(AllProtiens!A1420,CoreProteinGroups!B:B,0)),0,1)</f>
        <v>1</v>
      </c>
      <c r="J1420" s="6" t="s">
        <v>98</v>
      </c>
    </row>
    <row r="1421" spans="1:10" x14ac:dyDescent="0.2">
      <c r="A1421" s="1" t="s">
        <v>2480</v>
      </c>
      <c r="B1421" t="s">
        <v>646</v>
      </c>
      <c r="C1421" t="s">
        <v>2526</v>
      </c>
      <c r="D1421" s="6" t="str">
        <f t="shared" si="22"/>
        <v>PROT:ABH08195.1</v>
      </c>
      <c r="E1421" t="s">
        <v>2527</v>
      </c>
      <c r="F1421" t="s">
        <v>101</v>
      </c>
      <c r="G1421">
        <f>IF(ISERROR(MATCH(AllProtiens!F1421,Genomes!$C:$C,0)),0,1)</f>
        <v>1</v>
      </c>
      <c r="H1421">
        <f>IF(ISERROR(MATCH(AllProtiens!A1421,CoreProteinGroups!B:B,0)),0,1)</f>
        <v>1</v>
      </c>
      <c r="J1421" s="6" t="s">
        <v>102</v>
      </c>
    </row>
    <row r="1422" spans="1:10" x14ac:dyDescent="0.2">
      <c r="A1422" s="1" t="s">
        <v>2480</v>
      </c>
      <c r="B1422" t="s">
        <v>646</v>
      </c>
      <c r="C1422" t="s">
        <v>2528</v>
      </c>
      <c r="D1422" s="6" t="str">
        <f t="shared" si="22"/>
        <v>PROT:AAG37557.1</v>
      </c>
      <c r="E1422" t="s">
        <v>2529</v>
      </c>
      <c r="F1422" t="s">
        <v>105</v>
      </c>
      <c r="G1422">
        <f>IF(ISERROR(MATCH(AllProtiens!F1422,Genomes!$C:$C,0)),0,1)</f>
        <v>1</v>
      </c>
      <c r="H1422">
        <f>IF(ISERROR(MATCH(AllProtiens!A1422,CoreProteinGroups!B:B,0)),0,1)</f>
        <v>1</v>
      </c>
      <c r="J1422" s="6" t="s">
        <v>106</v>
      </c>
    </row>
    <row r="1423" spans="1:10" x14ac:dyDescent="0.2">
      <c r="A1423" s="1" t="s">
        <v>2480</v>
      </c>
      <c r="B1423" t="s">
        <v>646</v>
      </c>
      <c r="C1423" t="s">
        <v>2530</v>
      </c>
      <c r="D1423" s="6" t="str">
        <f t="shared" si="22"/>
        <v>PROT:AAL73793.1</v>
      </c>
      <c r="E1423" t="s">
        <v>2531</v>
      </c>
      <c r="F1423" t="s">
        <v>109</v>
      </c>
      <c r="G1423">
        <f>IF(ISERROR(MATCH(AllProtiens!F1423,Genomes!$C:$C,0)),0,1)</f>
        <v>1</v>
      </c>
      <c r="H1423">
        <f>IF(ISERROR(MATCH(AllProtiens!A1423,CoreProteinGroups!B:B,0)),0,1)</f>
        <v>1</v>
      </c>
      <c r="J1423" s="6" t="s">
        <v>110</v>
      </c>
    </row>
    <row r="1424" spans="1:10" x14ac:dyDescent="0.2">
      <c r="A1424" s="1" t="s">
        <v>2480</v>
      </c>
      <c r="B1424" t="s">
        <v>646</v>
      </c>
      <c r="C1424" t="s">
        <v>2532</v>
      </c>
      <c r="D1424" s="6" t="str">
        <f t="shared" si="22"/>
        <v>PROT:AAM13543.1</v>
      </c>
      <c r="E1424" t="s">
        <v>2533</v>
      </c>
      <c r="F1424" t="s">
        <v>113</v>
      </c>
      <c r="G1424">
        <f>IF(ISERROR(MATCH(AllProtiens!F1424,Genomes!$C:$C,0)),0,1)</f>
        <v>1</v>
      </c>
      <c r="H1424">
        <f>IF(ISERROR(MATCH(AllProtiens!A1424,CoreProteinGroups!B:B,0)),0,1)</f>
        <v>1</v>
      </c>
      <c r="J1424" s="6" t="s">
        <v>114</v>
      </c>
    </row>
    <row r="1425" spans="1:10" x14ac:dyDescent="0.2">
      <c r="A1425" s="1" t="s">
        <v>2480</v>
      </c>
      <c r="B1425" t="s">
        <v>646</v>
      </c>
      <c r="C1425" t="s">
        <v>2534</v>
      </c>
      <c r="D1425" s="6" t="str">
        <f t="shared" si="22"/>
        <v>PROT:AAM92376.1</v>
      </c>
      <c r="E1425" t="s">
        <v>2535</v>
      </c>
      <c r="F1425" t="s">
        <v>117</v>
      </c>
      <c r="G1425">
        <f>IF(ISERROR(MATCH(AllProtiens!F1425,Genomes!$C:$C,0)),0,1)</f>
        <v>1</v>
      </c>
      <c r="H1425">
        <f>IF(ISERROR(MATCH(AllProtiens!A1425,CoreProteinGroups!B:B,0)),0,1)</f>
        <v>1</v>
      </c>
      <c r="J1425" s="6" t="s">
        <v>118</v>
      </c>
    </row>
    <row r="1426" spans="1:10" x14ac:dyDescent="0.2">
      <c r="A1426" s="1" t="s">
        <v>2480</v>
      </c>
      <c r="B1426" t="s">
        <v>646</v>
      </c>
      <c r="C1426" t="s">
        <v>2536</v>
      </c>
      <c r="D1426" s="6" t="str">
        <f t="shared" si="22"/>
        <v>PROT:AFH54635.1</v>
      </c>
      <c r="E1426" t="s">
        <v>2483</v>
      </c>
      <c r="F1426" t="s">
        <v>120</v>
      </c>
      <c r="G1426">
        <f>IF(ISERROR(MATCH(AllProtiens!F1426,Genomes!$C:$C,0)),0,1)</f>
        <v>1</v>
      </c>
      <c r="H1426">
        <f>IF(ISERROR(MATCH(AllProtiens!A1426,CoreProteinGroups!B:B,0)),0,1)</f>
        <v>1</v>
      </c>
      <c r="J1426" s="6" t="s">
        <v>121</v>
      </c>
    </row>
    <row r="1427" spans="1:10" x14ac:dyDescent="0.2">
      <c r="A1427" s="1" t="s">
        <v>2480</v>
      </c>
      <c r="B1427" t="s">
        <v>646</v>
      </c>
      <c r="C1427" t="s">
        <v>2537</v>
      </c>
      <c r="D1427" s="6" t="str">
        <f t="shared" si="22"/>
        <v>PROT:AAL40538.1</v>
      </c>
      <c r="E1427" t="s">
        <v>2538</v>
      </c>
      <c r="F1427" t="s">
        <v>124</v>
      </c>
      <c r="G1427">
        <f>IF(ISERROR(MATCH(AllProtiens!F1427,Genomes!$C:$C,0)),0,1)</f>
        <v>1</v>
      </c>
      <c r="H1427">
        <f>IF(ISERROR(MATCH(AllProtiens!A1427,CoreProteinGroups!B:B,0)),0,1)</f>
        <v>1</v>
      </c>
      <c r="J1427" s="6" t="s">
        <v>125</v>
      </c>
    </row>
    <row r="1428" spans="1:10" x14ac:dyDescent="0.2">
      <c r="A1428" s="1" t="s">
        <v>2480</v>
      </c>
      <c r="B1428" t="s">
        <v>646</v>
      </c>
      <c r="C1428" t="s">
        <v>2539</v>
      </c>
      <c r="D1428" s="6" t="str">
        <f t="shared" si="22"/>
        <v>PROT:AAX09175.1</v>
      </c>
      <c r="E1428" t="s">
        <v>2540</v>
      </c>
      <c r="F1428" t="s">
        <v>128</v>
      </c>
      <c r="G1428">
        <f>IF(ISERROR(MATCH(AllProtiens!F1428,Genomes!$C:$C,0)),0,1)</f>
        <v>1</v>
      </c>
      <c r="H1428">
        <f>IF(ISERROR(MATCH(AllProtiens!A1428,CoreProteinGroups!B:B,0)),0,1)</f>
        <v>1</v>
      </c>
      <c r="J1428" s="6" t="s">
        <v>129</v>
      </c>
    </row>
    <row r="1429" spans="1:10" x14ac:dyDescent="0.2">
      <c r="A1429" s="1" t="s">
        <v>2480</v>
      </c>
      <c r="B1429" t="s">
        <v>646</v>
      </c>
      <c r="C1429" t="s">
        <v>2541</v>
      </c>
      <c r="D1429" s="6" t="str">
        <f t="shared" si="22"/>
        <v>PROT:AKJ93717.1</v>
      </c>
      <c r="E1429" t="s">
        <v>646</v>
      </c>
      <c r="F1429" t="s">
        <v>131</v>
      </c>
      <c r="G1429">
        <f>IF(ISERROR(MATCH(AllProtiens!F1429,Genomes!$C:$C,0)),0,1)</f>
        <v>1</v>
      </c>
      <c r="H1429">
        <f>IF(ISERROR(MATCH(AllProtiens!A1429,CoreProteinGroups!B:B,0)),0,1)</f>
        <v>1</v>
      </c>
      <c r="J1429" s="6" t="s">
        <v>132</v>
      </c>
    </row>
    <row r="1430" spans="1:10" x14ac:dyDescent="0.2">
      <c r="A1430" s="1" t="s">
        <v>2480</v>
      </c>
      <c r="B1430" t="s">
        <v>646</v>
      </c>
      <c r="C1430" t="s">
        <v>2542</v>
      </c>
      <c r="D1430" s="6" t="str">
        <f t="shared" si="22"/>
        <v>PROT:AOP31566.1</v>
      </c>
      <c r="E1430" t="s">
        <v>2489</v>
      </c>
      <c r="F1430" t="s">
        <v>134</v>
      </c>
      <c r="G1430">
        <f>IF(ISERROR(MATCH(AllProtiens!F1430,Genomes!$C:$C,0)),0,1)</f>
        <v>1</v>
      </c>
      <c r="H1430">
        <f>IF(ISERROR(MATCH(AllProtiens!A1430,CoreProteinGroups!B:B,0)),0,1)</f>
        <v>1</v>
      </c>
      <c r="J1430" s="6" t="s">
        <v>135</v>
      </c>
    </row>
    <row r="1431" spans="1:10" x14ac:dyDescent="0.2">
      <c r="A1431" s="1" t="s">
        <v>2480</v>
      </c>
      <c r="B1431" t="s">
        <v>646</v>
      </c>
      <c r="C1431" t="s">
        <v>2543</v>
      </c>
      <c r="D1431" s="6" t="str">
        <f t="shared" si="22"/>
        <v>PROT:ABD97657.1</v>
      </c>
      <c r="E1431" t="s">
        <v>646</v>
      </c>
      <c r="F1431" t="s">
        <v>137</v>
      </c>
      <c r="G1431">
        <f>IF(ISERROR(MATCH(AllProtiens!F1431,Genomes!$C:$C,0)),0,1)</f>
        <v>1</v>
      </c>
      <c r="H1431">
        <f>IF(ISERROR(MATCH(AllProtiens!A1431,CoreProteinGroups!B:B,0)),0,1)</f>
        <v>1</v>
      </c>
      <c r="J1431" s="6" t="s">
        <v>138</v>
      </c>
    </row>
    <row r="1432" spans="1:10" x14ac:dyDescent="0.2">
      <c r="A1432" s="1" t="s">
        <v>2480</v>
      </c>
      <c r="B1432" t="s">
        <v>646</v>
      </c>
      <c r="C1432" t="s">
        <v>2544</v>
      </c>
      <c r="D1432" s="6" t="str">
        <f t="shared" si="22"/>
        <v>PROT:AAO89367.1</v>
      </c>
      <c r="E1432" t="s">
        <v>646</v>
      </c>
      <c r="F1432" t="s">
        <v>140</v>
      </c>
      <c r="G1432">
        <f>IF(ISERROR(MATCH(AllProtiens!F1432,Genomes!$C:$C,0)),0,1)</f>
        <v>1</v>
      </c>
      <c r="H1432">
        <f>IF(ISERROR(MATCH(AllProtiens!A1432,CoreProteinGroups!B:B,0)),0,1)</f>
        <v>1</v>
      </c>
      <c r="J1432" s="6" t="s">
        <v>141</v>
      </c>
    </row>
    <row r="1433" spans="1:10" x14ac:dyDescent="0.2">
      <c r="A1433" s="1" t="s">
        <v>2480</v>
      </c>
      <c r="B1433" t="s">
        <v>646</v>
      </c>
      <c r="C1433" t="s">
        <v>2545</v>
      </c>
      <c r="D1433" s="6" t="str">
        <f t="shared" si="22"/>
        <v>PROT:CAA49014.1</v>
      </c>
      <c r="E1433" t="s">
        <v>2538</v>
      </c>
      <c r="F1433" t="s">
        <v>144</v>
      </c>
      <c r="G1433">
        <f>IF(ISERROR(MATCH(AllProtiens!F1433,Genomes!$C:$C,0)),0,1)</f>
        <v>1</v>
      </c>
      <c r="H1433">
        <f>IF(ISERROR(MATCH(AllProtiens!A1433,CoreProteinGroups!B:B,0)),0,1)</f>
        <v>1</v>
      </c>
      <c r="J1433" s="6" t="s">
        <v>145</v>
      </c>
    </row>
    <row r="1434" spans="1:10" x14ac:dyDescent="0.2">
      <c r="A1434" s="1" t="s">
        <v>2480</v>
      </c>
      <c r="B1434" t="s">
        <v>646</v>
      </c>
      <c r="C1434" t="s">
        <v>2546</v>
      </c>
      <c r="D1434" s="6" t="str">
        <f t="shared" si="22"/>
        <v>PROT:CAB54673.1</v>
      </c>
      <c r="E1434" t="s">
        <v>2547</v>
      </c>
      <c r="F1434" t="s">
        <v>148</v>
      </c>
      <c r="G1434">
        <f>IF(ISERROR(MATCH(AllProtiens!F1434,Genomes!$C:$C,0)),0,1)</f>
        <v>1</v>
      </c>
      <c r="H1434">
        <f>IF(ISERROR(MATCH(AllProtiens!A1434,CoreProteinGroups!B:B,0)),0,1)</f>
        <v>1</v>
      </c>
      <c r="J1434" s="6" t="s">
        <v>149</v>
      </c>
    </row>
    <row r="1435" spans="1:10" x14ac:dyDescent="0.2">
      <c r="A1435" s="1" t="s">
        <v>2480</v>
      </c>
      <c r="B1435" t="s">
        <v>646</v>
      </c>
      <c r="C1435" t="s">
        <v>2548</v>
      </c>
      <c r="D1435" s="6" t="str">
        <f t="shared" si="22"/>
        <v>PROT:AOP31777.1</v>
      </c>
      <c r="E1435" t="s">
        <v>2489</v>
      </c>
      <c r="F1435" t="s">
        <v>151</v>
      </c>
      <c r="G1435">
        <f>IF(ISERROR(MATCH(AllProtiens!F1435,Genomes!$C:$C,0)),0,1)</f>
        <v>1</v>
      </c>
      <c r="H1435">
        <f>IF(ISERROR(MATCH(AllProtiens!A1435,CoreProteinGroups!B:B,0)),0,1)</f>
        <v>1</v>
      </c>
      <c r="J1435" s="6" t="s">
        <v>152</v>
      </c>
    </row>
    <row r="1436" spans="1:10" x14ac:dyDescent="0.2">
      <c r="A1436" s="1" t="s">
        <v>2480</v>
      </c>
      <c r="B1436" t="s">
        <v>646</v>
      </c>
      <c r="C1436" t="s">
        <v>2549</v>
      </c>
      <c r="D1436" s="6" t="str">
        <f t="shared" si="22"/>
        <v>PROT:ASC55592.1</v>
      </c>
      <c r="E1436" t="s">
        <v>2550</v>
      </c>
      <c r="F1436" t="s">
        <v>155</v>
      </c>
      <c r="G1436">
        <f>IF(ISERROR(MATCH(AllProtiens!F1436,Genomes!$C:$C,0)),0,1)</f>
        <v>1</v>
      </c>
      <c r="H1436">
        <f>IF(ISERROR(MATCH(AllProtiens!A1436,CoreProteinGroups!B:B,0)),0,1)</f>
        <v>1</v>
      </c>
      <c r="J1436" s="6" t="s">
        <v>156</v>
      </c>
    </row>
    <row r="1437" spans="1:10" x14ac:dyDescent="0.2">
      <c r="A1437" s="1" t="s">
        <v>2480</v>
      </c>
      <c r="B1437" t="s">
        <v>646</v>
      </c>
      <c r="C1437" t="s">
        <v>2551</v>
      </c>
      <c r="D1437" s="6" t="str">
        <f t="shared" si="22"/>
        <v>PROT:AAR98404.1</v>
      </c>
      <c r="E1437" t="s">
        <v>2552</v>
      </c>
      <c r="F1437" t="s">
        <v>159</v>
      </c>
      <c r="G1437">
        <f>IF(ISERROR(MATCH(AllProtiens!F1437,Genomes!$C:$C,0)),0,1)</f>
        <v>1</v>
      </c>
      <c r="H1437">
        <f>IF(ISERROR(MATCH(AllProtiens!A1437,CoreProteinGroups!B:B,0)),0,1)</f>
        <v>1</v>
      </c>
      <c r="J1437" s="6" t="s">
        <v>160</v>
      </c>
    </row>
    <row r="1438" spans="1:10" x14ac:dyDescent="0.2">
      <c r="A1438" s="1" t="s">
        <v>2480</v>
      </c>
      <c r="B1438" t="s">
        <v>646</v>
      </c>
      <c r="C1438" t="s">
        <v>2553</v>
      </c>
      <c r="D1438" s="6" t="str">
        <f t="shared" si="22"/>
        <v>PROT:AAR98272.1</v>
      </c>
      <c r="E1438" t="s">
        <v>2554</v>
      </c>
      <c r="F1438" t="s">
        <v>162</v>
      </c>
      <c r="G1438">
        <f>IF(ISERROR(MATCH(AllProtiens!F1438,Genomes!$C:$C,0)),0,1)</f>
        <v>1</v>
      </c>
      <c r="H1438">
        <f>IF(ISERROR(MATCH(AllProtiens!A1438,CoreProteinGroups!B:B,0)),0,1)</f>
        <v>1</v>
      </c>
      <c r="J1438" s="6" t="s">
        <v>163</v>
      </c>
    </row>
    <row r="1439" spans="1:10" x14ac:dyDescent="0.2">
      <c r="A1439" s="1" t="s">
        <v>2480</v>
      </c>
      <c r="B1439" t="s">
        <v>646</v>
      </c>
      <c r="C1439" t="s">
        <v>2555</v>
      </c>
      <c r="D1439" s="6" t="str">
        <f t="shared" si="22"/>
        <v>PROT:ABA00564.1</v>
      </c>
      <c r="E1439" t="s">
        <v>2556</v>
      </c>
      <c r="F1439" t="s">
        <v>162</v>
      </c>
      <c r="G1439">
        <f>IF(ISERROR(MATCH(AllProtiens!F1439,Genomes!$C:$C,0)),0,1)</f>
        <v>1</v>
      </c>
      <c r="H1439">
        <f>IF(ISERROR(MATCH(AllProtiens!A1439,CoreProteinGroups!B:B,0)),0,1)</f>
        <v>1</v>
      </c>
      <c r="J1439" s="6" t="s">
        <v>163</v>
      </c>
    </row>
    <row r="1440" spans="1:10" x14ac:dyDescent="0.2">
      <c r="A1440" s="1" t="s">
        <v>2480</v>
      </c>
      <c r="B1440" t="s">
        <v>646</v>
      </c>
      <c r="C1440" t="s">
        <v>2557</v>
      </c>
      <c r="D1440" s="6" t="str">
        <f t="shared" si="22"/>
        <v>PROT:AIZ77298.1</v>
      </c>
      <c r="E1440" t="s">
        <v>2531</v>
      </c>
      <c r="F1440" t="s">
        <v>167</v>
      </c>
      <c r="G1440">
        <f>IF(ISERROR(MATCH(AllProtiens!F1440,Genomes!$C:$C,0)),0,1)</f>
        <v>1</v>
      </c>
      <c r="H1440">
        <f>IF(ISERROR(MATCH(AllProtiens!A1440,CoreProteinGroups!B:B,0)),0,1)</f>
        <v>1</v>
      </c>
      <c r="J1440" s="6" t="s">
        <v>168</v>
      </c>
    </row>
    <row r="1441" spans="1:10" x14ac:dyDescent="0.2">
      <c r="A1441" s="1" t="s">
        <v>2480</v>
      </c>
      <c r="B1441" t="s">
        <v>646</v>
      </c>
      <c r="C1441" t="s">
        <v>2558</v>
      </c>
      <c r="D1441" s="6" t="str">
        <f t="shared" si="22"/>
        <v>PROT:ADC53948.1</v>
      </c>
      <c r="E1441" t="s">
        <v>2556</v>
      </c>
      <c r="F1441" t="s">
        <v>170</v>
      </c>
      <c r="G1441">
        <f>IF(ISERROR(MATCH(AllProtiens!F1441,Genomes!$C:$C,0)),0,1)</f>
        <v>1</v>
      </c>
      <c r="H1441">
        <f>IF(ISERROR(MATCH(AllProtiens!A1441,CoreProteinGroups!B:B,0)),0,1)</f>
        <v>1</v>
      </c>
      <c r="J1441" s="6" t="s">
        <v>171</v>
      </c>
    </row>
    <row r="1442" spans="1:10" x14ac:dyDescent="0.2">
      <c r="A1442" s="1" t="s">
        <v>2480</v>
      </c>
      <c r="B1442" t="s">
        <v>646</v>
      </c>
      <c r="C1442" t="s">
        <v>2559</v>
      </c>
      <c r="D1442" s="6" t="str">
        <f t="shared" si="22"/>
        <v>PROT:AAL69796.1</v>
      </c>
      <c r="E1442" t="s">
        <v>2560</v>
      </c>
      <c r="F1442" t="s">
        <v>174</v>
      </c>
      <c r="G1442">
        <f>IF(ISERROR(MATCH(AllProtiens!F1442,Genomes!$C:$C,0)),0,1)</f>
        <v>1</v>
      </c>
      <c r="H1442">
        <f>IF(ISERROR(MATCH(AllProtiens!A1442,CoreProteinGroups!B:B,0)),0,1)</f>
        <v>1</v>
      </c>
      <c r="J1442" s="6" t="s">
        <v>175</v>
      </c>
    </row>
    <row r="1443" spans="1:10" x14ac:dyDescent="0.2">
      <c r="A1443" s="1" t="s">
        <v>2480</v>
      </c>
      <c r="B1443" t="s">
        <v>646</v>
      </c>
      <c r="C1443" t="s">
        <v>2561</v>
      </c>
      <c r="D1443" s="6" t="str">
        <f t="shared" si="22"/>
        <v>PROT:CAC21298.1</v>
      </c>
      <c r="E1443" t="s">
        <v>2562</v>
      </c>
      <c r="F1443" t="s">
        <v>178</v>
      </c>
      <c r="G1443">
        <f>IF(ISERROR(MATCH(AllProtiens!F1443,Genomes!$C:$C,0)),0,1)</f>
        <v>1</v>
      </c>
      <c r="H1443">
        <f>IF(ISERROR(MATCH(AllProtiens!A1443,CoreProteinGroups!B:B,0)),0,1)</f>
        <v>1</v>
      </c>
      <c r="J1443" s="6" t="s">
        <v>179</v>
      </c>
    </row>
    <row r="1444" spans="1:10" x14ac:dyDescent="0.2">
      <c r="A1444" s="1" t="s">
        <v>2480</v>
      </c>
      <c r="B1444" t="s">
        <v>646</v>
      </c>
      <c r="C1444" t="s">
        <v>2563</v>
      </c>
      <c r="D1444" s="6" t="str">
        <f t="shared" si="22"/>
        <v>PROT:AAR07416.1</v>
      </c>
      <c r="E1444" t="s">
        <v>2564</v>
      </c>
      <c r="F1444" t="s">
        <v>182</v>
      </c>
      <c r="G1444">
        <f>IF(ISERROR(MATCH(AllProtiens!F1444,Genomes!$C:$C,0)),0,1)</f>
        <v>1</v>
      </c>
      <c r="H1444">
        <f>IF(ISERROR(MATCH(AllProtiens!A1444,CoreProteinGroups!B:B,0)),0,1)</f>
        <v>1</v>
      </c>
      <c r="J1444" s="6" t="s">
        <v>183</v>
      </c>
    </row>
    <row r="1445" spans="1:10" x14ac:dyDescent="0.2">
      <c r="A1445" s="1" t="s">
        <v>2480</v>
      </c>
      <c r="B1445" t="s">
        <v>646</v>
      </c>
      <c r="C1445" t="s">
        <v>2565</v>
      </c>
      <c r="D1445" s="6" t="str">
        <f t="shared" si="22"/>
        <v>PROT:AAC97691.1</v>
      </c>
      <c r="E1445" t="s">
        <v>2566</v>
      </c>
      <c r="F1445" t="s">
        <v>186</v>
      </c>
      <c r="G1445">
        <f>IF(ISERROR(MATCH(AllProtiens!F1445,Genomes!$C:$C,0)),0,1)</f>
        <v>1</v>
      </c>
      <c r="H1445">
        <f>IF(ISERROR(MATCH(AllProtiens!A1445,CoreProteinGroups!B:B,0)),0,1)</f>
        <v>1</v>
      </c>
      <c r="J1445" s="6" t="s">
        <v>187</v>
      </c>
    </row>
    <row r="1446" spans="1:10" x14ac:dyDescent="0.2">
      <c r="A1446" s="1" t="s">
        <v>2480</v>
      </c>
      <c r="B1446" t="s">
        <v>646</v>
      </c>
      <c r="C1446" t="s">
        <v>2567</v>
      </c>
      <c r="D1446" s="6" t="str">
        <f t="shared" si="22"/>
        <v>PROT:BAO49457.1</v>
      </c>
      <c r="E1446" t="s">
        <v>2568</v>
      </c>
      <c r="F1446" t="s">
        <v>190</v>
      </c>
      <c r="G1446">
        <f>IF(ISERROR(MATCH(AllProtiens!F1446,Genomes!$C:$C,0)),0,1)</f>
        <v>1</v>
      </c>
      <c r="H1446">
        <f>IF(ISERROR(MATCH(AllProtiens!A1446,CoreProteinGroups!B:B,0)),0,1)</f>
        <v>1</v>
      </c>
      <c r="J1446" s="6" t="s">
        <v>191</v>
      </c>
    </row>
    <row r="1447" spans="1:10" x14ac:dyDescent="0.2">
      <c r="A1447" s="1" t="s">
        <v>2480</v>
      </c>
      <c r="B1447" t="s">
        <v>646</v>
      </c>
      <c r="C1447" t="s">
        <v>2569</v>
      </c>
      <c r="D1447" s="6" t="str">
        <f t="shared" si="22"/>
        <v>PROT:CCU55456.1</v>
      </c>
      <c r="E1447" t="s">
        <v>2570</v>
      </c>
      <c r="F1447" t="s">
        <v>193</v>
      </c>
      <c r="G1447">
        <f>IF(ISERROR(MATCH(AllProtiens!F1447,Genomes!$C:$C,0)),0,1)</f>
        <v>1</v>
      </c>
      <c r="H1447">
        <f>IF(ISERROR(MATCH(AllProtiens!A1447,CoreProteinGroups!B:B,0)),0,1)</f>
        <v>1</v>
      </c>
      <c r="J1447" s="6" t="s">
        <v>194</v>
      </c>
    </row>
    <row r="1448" spans="1:10" x14ac:dyDescent="0.2">
      <c r="A1448" s="1" t="s">
        <v>2480</v>
      </c>
      <c r="B1448" t="s">
        <v>646</v>
      </c>
      <c r="C1448" t="s">
        <v>2571</v>
      </c>
      <c r="D1448" s="6" t="str">
        <f t="shared" si="22"/>
        <v>PROT:AAG02923.1</v>
      </c>
      <c r="E1448" t="s">
        <v>2572</v>
      </c>
      <c r="F1448" t="s">
        <v>197</v>
      </c>
      <c r="G1448">
        <f>IF(ISERROR(MATCH(AllProtiens!F1448,Genomes!$C:$C,0)),0,1)</f>
        <v>1</v>
      </c>
      <c r="H1448">
        <f>IF(ISERROR(MATCH(AllProtiens!A1448,CoreProteinGroups!B:B,0)),0,1)</f>
        <v>1</v>
      </c>
      <c r="J1448" s="6" t="s">
        <v>198</v>
      </c>
    </row>
    <row r="1449" spans="1:10" x14ac:dyDescent="0.2">
      <c r="A1449" s="1" t="s">
        <v>2480</v>
      </c>
      <c r="B1449" t="s">
        <v>646</v>
      </c>
      <c r="C1449" t="s">
        <v>2573</v>
      </c>
      <c r="D1449" s="6" t="str">
        <f t="shared" si="22"/>
        <v>PROT:CCU55814.1</v>
      </c>
      <c r="E1449" t="s">
        <v>2570</v>
      </c>
      <c r="F1449" t="s">
        <v>200</v>
      </c>
      <c r="G1449">
        <f>IF(ISERROR(MATCH(AllProtiens!F1449,Genomes!$C:$C,0)),0,1)</f>
        <v>1</v>
      </c>
      <c r="H1449">
        <f>IF(ISERROR(MATCH(AllProtiens!A1449,CoreProteinGroups!B:B,0)),0,1)</f>
        <v>1</v>
      </c>
      <c r="J1449" s="6" t="s">
        <v>201</v>
      </c>
    </row>
    <row r="1450" spans="1:10" x14ac:dyDescent="0.2">
      <c r="A1450" s="1" t="s">
        <v>2480</v>
      </c>
      <c r="B1450" t="s">
        <v>646</v>
      </c>
      <c r="C1450" t="s">
        <v>2574</v>
      </c>
      <c r="D1450" s="6" t="str">
        <f t="shared" si="22"/>
        <v>PROT:CCU56113.1</v>
      </c>
      <c r="E1450" t="s">
        <v>2570</v>
      </c>
      <c r="F1450" t="s">
        <v>203</v>
      </c>
      <c r="G1450">
        <f>IF(ISERROR(MATCH(AllProtiens!F1450,Genomes!$C:$C,0)),0,1)</f>
        <v>1</v>
      </c>
      <c r="H1450">
        <f>IF(ISERROR(MATCH(AllProtiens!A1450,CoreProteinGroups!B:B,0)),0,1)</f>
        <v>1</v>
      </c>
      <c r="J1450" s="6" t="s">
        <v>204</v>
      </c>
    </row>
    <row r="1451" spans="1:10" x14ac:dyDescent="0.2">
      <c r="A1451" s="1" t="s">
        <v>2480</v>
      </c>
      <c r="B1451" t="s">
        <v>646</v>
      </c>
      <c r="C1451" t="s">
        <v>2575</v>
      </c>
      <c r="D1451" s="6" t="str">
        <f t="shared" si="22"/>
        <v>PROT:CCU56438.1</v>
      </c>
      <c r="E1451" t="s">
        <v>2570</v>
      </c>
      <c r="F1451" t="s">
        <v>206</v>
      </c>
      <c r="G1451">
        <f>IF(ISERROR(MATCH(AllProtiens!F1451,Genomes!$C:$C,0)),0,1)</f>
        <v>1</v>
      </c>
      <c r="H1451">
        <f>IF(ISERROR(MATCH(AllProtiens!A1451,CoreProteinGroups!B:B,0)),0,1)</f>
        <v>1</v>
      </c>
      <c r="J1451" s="6" t="s">
        <v>207</v>
      </c>
    </row>
    <row r="1452" spans="1:10" x14ac:dyDescent="0.2">
      <c r="A1452" t="s">
        <v>10</v>
      </c>
      <c r="C1452" s="5" t="s">
        <v>2576</v>
      </c>
      <c r="D1452" s="6" t="str">
        <f t="shared" si="22"/>
        <v>PROT:ATI21056.1</v>
      </c>
      <c r="F1452" t="s">
        <v>2577</v>
      </c>
      <c r="G1452">
        <f>IF(ISERROR(MATCH(AllProtiens!F1452,Genomes!$C:$C,0)),0,1)</f>
        <v>1</v>
      </c>
      <c r="H1452">
        <f>IF(ISERROR(MATCH(AllProtiens!A1452,CoreProteinGroups!B:B,0)),0,1)</f>
        <v>1</v>
      </c>
      <c r="J1452" s="6" t="s">
        <v>2578</v>
      </c>
    </row>
    <row r="1453" spans="1:10" x14ac:dyDescent="0.2">
      <c r="A1453" t="s">
        <v>313</v>
      </c>
      <c r="C1453" s="5" t="s">
        <v>2579</v>
      </c>
      <c r="D1453" s="6" t="str">
        <f t="shared" si="22"/>
        <v>PROT:ATI21060.1</v>
      </c>
      <c r="F1453" t="s">
        <v>2577</v>
      </c>
      <c r="G1453">
        <f>IF(ISERROR(MATCH(AllProtiens!F1453,Genomes!$C:$C,0)),0,1)</f>
        <v>1</v>
      </c>
      <c r="H1453">
        <f>IF(ISERROR(MATCH(AllProtiens!A1453,CoreProteinGroups!B:B,0)),0,1)</f>
        <v>1</v>
      </c>
      <c r="J1453" s="6" t="s">
        <v>2578</v>
      </c>
    </row>
    <row r="1454" spans="1:10" x14ac:dyDescent="0.2">
      <c r="A1454" t="s">
        <v>411</v>
      </c>
      <c r="C1454" s="5" t="s">
        <v>2580</v>
      </c>
      <c r="D1454" s="6" t="str">
        <f t="shared" si="22"/>
        <v>PROT:ATI21061.1</v>
      </c>
      <c r="F1454" t="s">
        <v>2577</v>
      </c>
      <c r="G1454">
        <f>IF(ISERROR(MATCH(AllProtiens!F1454,Genomes!$C:$C,0)),0,1)</f>
        <v>1</v>
      </c>
      <c r="H1454">
        <f>IF(ISERROR(MATCH(AllProtiens!A1454,CoreProteinGroups!B:B,0)),0,1)</f>
        <v>1</v>
      </c>
      <c r="J1454" s="6" t="s">
        <v>2578</v>
      </c>
    </row>
    <row r="1455" spans="1:10" x14ac:dyDescent="0.2">
      <c r="A1455" t="s">
        <v>513</v>
      </c>
      <c r="C1455" s="5" t="s">
        <v>2581</v>
      </c>
      <c r="D1455" s="6" t="str">
        <f t="shared" si="22"/>
        <v>PROT:ATI21062.1</v>
      </c>
      <c r="F1455" t="s">
        <v>2577</v>
      </c>
      <c r="G1455">
        <f>IF(ISERROR(MATCH(AllProtiens!F1455,Genomes!$C:$C,0)),0,1)</f>
        <v>1</v>
      </c>
      <c r="H1455">
        <f>IF(ISERROR(MATCH(AllProtiens!A1455,CoreProteinGroups!B:B,0)),0,1)</f>
        <v>1</v>
      </c>
      <c r="J1455" s="6" t="s">
        <v>2578</v>
      </c>
    </row>
    <row r="1456" spans="1:10" x14ac:dyDescent="0.2">
      <c r="A1456" t="s">
        <v>610</v>
      </c>
      <c r="C1456" s="5" t="s">
        <v>2582</v>
      </c>
      <c r="D1456" s="6" t="str">
        <f t="shared" si="22"/>
        <v>PROT:ATI21067.1</v>
      </c>
      <c r="F1456" t="s">
        <v>2577</v>
      </c>
      <c r="G1456">
        <f>IF(ISERROR(MATCH(AllProtiens!F1456,Genomes!$C:$C,0)),0,1)</f>
        <v>1</v>
      </c>
      <c r="H1456">
        <f>IF(ISERROR(MATCH(AllProtiens!A1456,CoreProteinGroups!B:B,0)),0,1)</f>
        <v>1</v>
      </c>
      <c r="J1456" s="6" t="s">
        <v>2578</v>
      </c>
    </row>
    <row r="1457" spans="1:10" x14ac:dyDescent="0.2">
      <c r="A1457" t="s">
        <v>216</v>
      </c>
      <c r="C1457" s="5" t="s">
        <v>2583</v>
      </c>
      <c r="D1457" s="6" t="str">
        <f t="shared" si="22"/>
        <v>PROT:ATI21037.1</v>
      </c>
      <c r="F1457" t="s">
        <v>2577</v>
      </c>
      <c r="G1457">
        <f>IF(ISERROR(MATCH(AllProtiens!F1457,Genomes!$C:$C,0)),0,1)</f>
        <v>1</v>
      </c>
      <c r="H1457">
        <f>IF(ISERROR(MATCH(AllProtiens!A1457,CoreProteinGroups!B:B,0)),0,1)</f>
        <v>1</v>
      </c>
      <c r="J1457" s="6" t="s">
        <v>2578</v>
      </c>
    </row>
    <row r="1458" spans="1:10" x14ac:dyDescent="0.2">
      <c r="A1458" t="s">
        <v>813</v>
      </c>
      <c r="C1458" s="5" t="s">
        <v>2584</v>
      </c>
      <c r="D1458" s="6" t="str">
        <f t="shared" si="22"/>
        <v>PROT:ATI21073.1</v>
      </c>
      <c r="F1458" t="s">
        <v>2577</v>
      </c>
      <c r="G1458">
        <f>IF(ISERROR(MATCH(AllProtiens!F1458,Genomes!$C:$C,0)),0,1)</f>
        <v>1</v>
      </c>
      <c r="H1458">
        <f>IF(ISERROR(MATCH(AllProtiens!A1458,CoreProteinGroups!B:B,0)),0,1)</f>
        <v>1</v>
      </c>
      <c r="J1458" s="6" t="s">
        <v>2578</v>
      </c>
    </row>
    <row r="1459" spans="1:10" x14ac:dyDescent="0.2">
      <c r="A1459" t="s">
        <v>714</v>
      </c>
      <c r="C1459" s="5" t="s">
        <v>2585</v>
      </c>
      <c r="D1459" s="6" t="str">
        <f t="shared" si="22"/>
        <v>PROT:ATI21039.1</v>
      </c>
      <c r="F1459" t="s">
        <v>2577</v>
      </c>
      <c r="G1459">
        <f>IF(ISERROR(MATCH(AllProtiens!F1459,Genomes!$C:$C,0)),0,1)</f>
        <v>1</v>
      </c>
      <c r="H1459">
        <f>IF(ISERROR(MATCH(AllProtiens!A1459,CoreProteinGroups!B:B,0)),0,1)</f>
        <v>1</v>
      </c>
      <c r="J1459" s="6" t="s">
        <v>2578</v>
      </c>
    </row>
    <row r="1460" spans="1:10" x14ac:dyDescent="0.2">
      <c r="A1460" t="s">
        <v>911</v>
      </c>
      <c r="C1460" s="5" t="s">
        <v>2586</v>
      </c>
      <c r="D1460" s="6" t="str">
        <f t="shared" si="22"/>
        <v>PROT:ATI21043.1</v>
      </c>
      <c r="F1460" t="s">
        <v>2577</v>
      </c>
      <c r="G1460">
        <f>IF(ISERROR(MATCH(AllProtiens!F1460,Genomes!$C:$C,0)),0,1)</f>
        <v>1</v>
      </c>
      <c r="H1460">
        <f>IF(ISERROR(MATCH(AllProtiens!A1460,CoreProteinGroups!B:B,0)),0,1)</f>
        <v>1</v>
      </c>
      <c r="J1460" s="6" t="s">
        <v>2578</v>
      </c>
    </row>
    <row r="1461" spans="1:10" x14ac:dyDescent="0.2">
      <c r="A1461" t="s">
        <v>1108</v>
      </c>
      <c r="C1461" s="5" t="s">
        <v>2587</v>
      </c>
      <c r="D1461" s="6" t="str">
        <f t="shared" si="22"/>
        <v>PROT:ATI21033.1</v>
      </c>
      <c r="F1461" t="s">
        <v>2577</v>
      </c>
      <c r="G1461">
        <f>IF(ISERROR(MATCH(AllProtiens!F1461,Genomes!$C:$C,0)),0,1)</f>
        <v>1</v>
      </c>
      <c r="H1461">
        <f>IF(ISERROR(MATCH(AllProtiens!A1461,CoreProteinGroups!B:B,0)),0,1)</f>
        <v>1</v>
      </c>
      <c r="J1461" s="6" t="s">
        <v>2578</v>
      </c>
    </row>
    <row r="1462" spans="1:10" x14ac:dyDescent="0.2">
      <c r="A1462" t="s">
        <v>1208</v>
      </c>
      <c r="C1462" s="5" t="s">
        <v>2588</v>
      </c>
      <c r="D1462" s="6" t="str">
        <f t="shared" si="22"/>
        <v>PROT:ATI21034.1</v>
      </c>
      <c r="F1462" t="s">
        <v>2577</v>
      </c>
      <c r="G1462">
        <f>IF(ISERROR(MATCH(AllProtiens!F1462,Genomes!$C:$C,0)),0,1)</f>
        <v>1</v>
      </c>
      <c r="H1462">
        <f>IF(ISERROR(MATCH(AllProtiens!A1462,CoreProteinGroups!B:B,0)),0,1)</f>
        <v>1</v>
      </c>
      <c r="J1462" s="6" t="s">
        <v>2578</v>
      </c>
    </row>
    <row r="1463" spans="1:10" x14ac:dyDescent="0.2">
      <c r="A1463" t="s">
        <v>1012</v>
      </c>
      <c r="C1463" s="5" t="s">
        <v>2589</v>
      </c>
      <c r="D1463" s="6" t="str">
        <f t="shared" si="22"/>
        <v>PROT:ATI21024.1</v>
      </c>
      <c r="F1463" t="s">
        <v>2577</v>
      </c>
      <c r="G1463">
        <f>IF(ISERROR(MATCH(AllProtiens!F1463,Genomes!$C:$C,0)),0,1)</f>
        <v>1</v>
      </c>
      <c r="H1463">
        <f>IF(ISERROR(MATCH(AllProtiens!A1463,CoreProteinGroups!B:B,0)),0,1)</f>
        <v>1</v>
      </c>
      <c r="J1463" s="6" t="s">
        <v>2578</v>
      </c>
    </row>
    <row r="1464" spans="1:10" x14ac:dyDescent="0.2">
      <c r="A1464" t="s">
        <v>1301</v>
      </c>
      <c r="C1464" s="5" t="s">
        <v>2590</v>
      </c>
      <c r="D1464" s="6" t="str">
        <f t="shared" si="22"/>
        <v>PROT:ATI21028.1</v>
      </c>
      <c r="F1464" t="s">
        <v>2577</v>
      </c>
      <c r="G1464">
        <f>IF(ISERROR(MATCH(AllProtiens!F1464,Genomes!$C:$C,0)),0,1)</f>
        <v>1</v>
      </c>
      <c r="H1464">
        <f>IF(ISERROR(MATCH(AllProtiens!A1464,CoreProteinGroups!B:B,0)),0,1)</f>
        <v>1</v>
      </c>
      <c r="J1464" s="6" t="s">
        <v>2578</v>
      </c>
    </row>
    <row r="1465" spans="1:10" x14ac:dyDescent="0.2">
      <c r="A1465" t="s">
        <v>1395</v>
      </c>
      <c r="C1465" s="5" t="s">
        <v>2591</v>
      </c>
      <c r="D1465" s="6" t="str">
        <f t="shared" si="22"/>
        <v>PROT:ATI21029.1</v>
      </c>
      <c r="F1465" t="s">
        <v>2577</v>
      </c>
      <c r="G1465">
        <f>IF(ISERROR(MATCH(AllProtiens!F1465,Genomes!$C:$C,0)),0,1)</f>
        <v>1</v>
      </c>
      <c r="H1465">
        <f>IF(ISERROR(MATCH(AllProtiens!A1465,CoreProteinGroups!B:B,0)),0,1)</f>
        <v>1</v>
      </c>
      <c r="J1465" s="6" t="s">
        <v>2578</v>
      </c>
    </row>
    <row r="1466" spans="1:10" x14ac:dyDescent="0.2">
      <c r="A1466" t="s">
        <v>1602</v>
      </c>
      <c r="C1466" s="5" t="s">
        <v>2592</v>
      </c>
      <c r="D1466" s="6" t="str">
        <f t="shared" si="22"/>
        <v>PROT:ATI20982.1</v>
      </c>
      <c r="F1466" t="s">
        <v>2577</v>
      </c>
      <c r="G1466">
        <f>IF(ISERROR(MATCH(AllProtiens!F1466,Genomes!$C:$C,0)),0,1)</f>
        <v>1</v>
      </c>
      <c r="H1466">
        <f>IF(ISERROR(MATCH(AllProtiens!A1466,CoreProteinGroups!B:B,0)),0,1)</f>
        <v>1</v>
      </c>
      <c r="J1466" s="6" t="s">
        <v>2578</v>
      </c>
    </row>
    <row r="1467" spans="1:10" x14ac:dyDescent="0.2">
      <c r="A1467" t="s">
        <v>1498</v>
      </c>
      <c r="C1467" s="5" t="s">
        <v>2593</v>
      </c>
      <c r="D1467" s="6" t="str">
        <f t="shared" si="22"/>
        <v>PROT:ATI20974.1</v>
      </c>
      <c r="F1467" t="s">
        <v>2577</v>
      </c>
      <c r="G1467">
        <f>IF(ISERROR(MATCH(AllProtiens!F1467,Genomes!$C:$C,0)),0,1)</f>
        <v>1</v>
      </c>
      <c r="H1467">
        <f>IF(ISERROR(MATCH(AllProtiens!A1467,CoreProteinGroups!B:B,0)),0,1)</f>
        <v>1</v>
      </c>
      <c r="J1467" s="6" t="s">
        <v>2578</v>
      </c>
    </row>
    <row r="1468" spans="1:10" x14ac:dyDescent="0.2">
      <c r="A1468" t="s">
        <v>1699</v>
      </c>
      <c r="C1468" s="5" t="s">
        <v>2594</v>
      </c>
      <c r="D1468" s="6" t="str">
        <f t="shared" si="22"/>
        <v>PROT:ATI20981.1</v>
      </c>
      <c r="F1468" t="s">
        <v>2577</v>
      </c>
      <c r="G1468">
        <f>IF(ISERROR(MATCH(AllProtiens!F1468,Genomes!$C:$C,0)),0,1)</f>
        <v>1</v>
      </c>
      <c r="H1468">
        <f>IF(ISERROR(MATCH(AllProtiens!A1468,CoreProteinGroups!B:B,0)),0,1)</f>
        <v>1</v>
      </c>
      <c r="J1468" s="6" t="s">
        <v>2578</v>
      </c>
    </row>
    <row r="1469" spans="1:10" x14ac:dyDescent="0.2">
      <c r="A1469" t="s">
        <v>1786</v>
      </c>
      <c r="C1469" s="5" t="s">
        <v>2595</v>
      </c>
      <c r="D1469" s="6" t="str">
        <f t="shared" si="22"/>
        <v>PROT:ATI20998.1</v>
      </c>
      <c r="F1469" t="s">
        <v>2577</v>
      </c>
      <c r="G1469">
        <f>IF(ISERROR(MATCH(AllProtiens!F1469,Genomes!$C:$C,0)),0,1)</f>
        <v>1</v>
      </c>
      <c r="H1469">
        <f>IF(ISERROR(MATCH(AllProtiens!A1469,CoreProteinGroups!B:B,0)),0,1)</f>
        <v>1</v>
      </c>
      <c r="J1469" s="6" t="s">
        <v>2578</v>
      </c>
    </row>
    <row r="1470" spans="1:10" x14ac:dyDescent="0.2">
      <c r="A1470" t="s">
        <v>1884</v>
      </c>
      <c r="C1470" s="5" t="s">
        <v>2596</v>
      </c>
      <c r="D1470" s="6" t="str">
        <f t="shared" si="22"/>
        <v>PROT:ATI21017.1</v>
      </c>
      <c r="F1470" t="s">
        <v>2577</v>
      </c>
      <c r="G1470">
        <f>IF(ISERROR(MATCH(AllProtiens!F1470,Genomes!$C:$C,0)),0,1)</f>
        <v>1</v>
      </c>
      <c r="H1470">
        <f>IF(ISERROR(MATCH(AllProtiens!A1470,CoreProteinGroups!B:B,0)),0,1)</f>
        <v>1</v>
      </c>
      <c r="J1470" s="6" t="s">
        <v>2578</v>
      </c>
    </row>
    <row r="1471" spans="1:10" x14ac:dyDescent="0.2">
      <c r="A1471" t="s">
        <v>1986</v>
      </c>
      <c r="C1471" s="5" t="s">
        <v>2597</v>
      </c>
      <c r="D1471" s="6" t="str">
        <f t="shared" si="22"/>
        <v>PROT:ATI21019.1</v>
      </c>
      <c r="F1471" t="s">
        <v>2577</v>
      </c>
      <c r="G1471">
        <f>IF(ISERROR(MATCH(AllProtiens!F1471,Genomes!$C:$C,0)),0,1)</f>
        <v>1</v>
      </c>
      <c r="H1471">
        <f>IF(ISERROR(MATCH(AllProtiens!A1471,CoreProteinGroups!B:B,0)),0,1)</f>
        <v>1</v>
      </c>
      <c r="J1471" s="6" t="s">
        <v>2578</v>
      </c>
    </row>
    <row r="1472" spans="1:10" x14ac:dyDescent="0.2">
      <c r="A1472" t="s">
        <v>2090</v>
      </c>
      <c r="C1472" s="5" t="s">
        <v>2598</v>
      </c>
      <c r="D1472" s="6" t="str">
        <f t="shared" si="22"/>
        <v>PROT:ATI21021.1</v>
      </c>
      <c r="F1472" t="s">
        <v>2577</v>
      </c>
      <c r="G1472">
        <f>IF(ISERROR(MATCH(AllProtiens!F1472,Genomes!$C:$C,0)),0,1)</f>
        <v>1</v>
      </c>
      <c r="H1472">
        <f>IF(ISERROR(MATCH(AllProtiens!A1472,CoreProteinGroups!B:B,0)),0,1)</f>
        <v>1</v>
      </c>
      <c r="J1472" s="6" t="s">
        <v>2578</v>
      </c>
    </row>
    <row r="1473" spans="1:10" x14ac:dyDescent="0.2">
      <c r="A1473" t="s">
        <v>2184</v>
      </c>
      <c r="C1473" s="5" t="s">
        <v>2599</v>
      </c>
      <c r="D1473" s="6" t="str">
        <f t="shared" si="22"/>
        <v>PROT:ATI20993.1</v>
      </c>
      <c r="F1473" t="s">
        <v>2577</v>
      </c>
      <c r="G1473">
        <f>IF(ISERROR(MATCH(AllProtiens!F1473,Genomes!$C:$C,0)),0,1)</f>
        <v>1</v>
      </c>
      <c r="H1473">
        <f>IF(ISERROR(MATCH(AllProtiens!A1473,CoreProteinGroups!B:B,0)),0,1)</f>
        <v>1</v>
      </c>
      <c r="J1473" s="6" t="s">
        <v>2578</v>
      </c>
    </row>
    <row r="1474" spans="1:10" x14ac:dyDescent="0.2">
      <c r="A1474" t="s">
        <v>2283</v>
      </c>
      <c r="C1474" s="5" t="s">
        <v>2600</v>
      </c>
      <c r="D1474" s="6" t="str">
        <f t="shared" ref="D1474:D1537" si="23">HYPERLINK(_xlfn.CONCAT("https://www.ncbi.nlm.nih.gov/protein/",C1474),_xlfn.CONCAT("PROT:",C1474))</f>
        <v>PROT:ATI21011.1</v>
      </c>
      <c r="F1474" t="s">
        <v>2577</v>
      </c>
      <c r="G1474">
        <f>IF(ISERROR(MATCH(AllProtiens!F1474,Genomes!$C:$C,0)),0,1)</f>
        <v>1</v>
      </c>
      <c r="H1474">
        <f>IF(ISERROR(MATCH(AllProtiens!A1474,CoreProteinGroups!B:B,0)),0,1)</f>
        <v>1</v>
      </c>
      <c r="J1474" s="6" t="s">
        <v>2578</v>
      </c>
    </row>
    <row r="1475" spans="1:10" x14ac:dyDescent="0.2">
      <c r="A1475" t="s">
        <v>2385</v>
      </c>
      <c r="C1475" s="5" t="s">
        <v>2601</v>
      </c>
      <c r="D1475" s="6" t="str">
        <f t="shared" si="23"/>
        <v>PROT:ATI21014.1</v>
      </c>
      <c r="F1475" t="s">
        <v>2577</v>
      </c>
      <c r="G1475">
        <f>IF(ISERROR(MATCH(AllProtiens!F1475,Genomes!$C:$C,0)),0,1)</f>
        <v>1</v>
      </c>
      <c r="H1475">
        <f>IF(ISERROR(MATCH(AllProtiens!A1475,CoreProteinGroups!B:B,0)),0,1)</f>
        <v>1</v>
      </c>
      <c r="J1475" s="6" t="s">
        <v>2578</v>
      </c>
    </row>
    <row r="1476" spans="1:10" x14ac:dyDescent="0.2">
      <c r="A1476" t="s">
        <v>2480</v>
      </c>
      <c r="C1476" s="5" t="s">
        <v>2602</v>
      </c>
      <c r="D1476" s="6" t="str">
        <f t="shared" si="23"/>
        <v>PROT:ATI21004.1</v>
      </c>
      <c r="F1476" t="s">
        <v>2577</v>
      </c>
      <c r="G1476">
        <f>IF(ISERROR(MATCH(AllProtiens!F1476,Genomes!$C:$C,0)),0,1)</f>
        <v>1</v>
      </c>
      <c r="H1476">
        <f>IF(ISERROR(MATCH(AllProtiens!A1476,CoreProteinGroups!B:B,0)),0,1)</f>
        <v>1</v>
      </c>
      <c r="J1476" s="6" t="s">
        <v>2578</v>
      </c>
    </row>
  </sheetData>
  <autoFilter ref="A1:I1476" xr:uid="{00000000-0009-0000-0000-000002000000}"/>
  <hyperlinks>
    <hyperlink ref="J2" r:id="rId1" xr:uid="{00000000-0004-0000-0200-000000000000}"/>
    <hyperlink ref="J3" r:id="rId2" xr:uid="{00000000-0004-0000-0200-000001000000}"/>
    <hyperlink ref="J4" r:id="rId3" xr:uid="{00000000-0004-0000-0200-000002000000}"/>
    <hyperlink ref="J5" r:id="rId4" xr:uid="{00000000-0004-0000-0200-000003000000}"/>
    <hyperlink ref="J6" r:id="rId5" xr:uid="{00000000-0004-0000-0200-000004000000}"/>
    <hyperlink ref="J7" r:id="rId6" xr:uid="{00000000-0004-0000-0200-000005000000}"/>
    <hyperlink ref="J8" r:id="rId7" xr:uid="{00000000-0004-0000-0200-000006000000}"/>
    <hyperlink ref="J9" r:id="rId8" xr:uid="{00000000-0004-0000-0200-000007000000}"/>
    <hyperlink ref="J10" r:id="rId9" xr:uid="{00000000-0004-0000-0200-000008000000}"/>
    <hyperlink ref="J11" r:id="rId10" xr:uid="{00000000-0004-0000-0200-000009000000}"/>
    <hyperlink ref="J12" r:id="rId11" xr:uid="{00000000-0004-0000-0200-00000A000000}"/>
    <hyperlink ref="J13" r:id="rId12" xr:uid="{00000000-0004-0000-0200-00000B000000}"/>
    <hyperlink ref="J14" r:id="rId13" xr:uid="{00000000-0004-0000-0200-00000C000000}"/>
    <hyperlink ref="J15" r:id="rId14" xr:uid="{00000000-0004-0000-0200-00000D000000}"/>
    <hyperlink ref="J16" r:id="rId15" xr:uid="{00000000-0004-0000-0200-00000E000000}"/>
    <hyperlink ref="J17" r:id="rId16" xr:uid="{00000000-0004-0000-0200-00000F000000}"/>
    <hyperlink ref="J18" r:id="rId17" xr:uid="{00000000-0004-0000-0200-000010000000}"/>
    <hyperlink ref="J19" r:id="rId18" xr:uid="{00000000-0004-0000-0200-000011000000}"/>
    <hyperlink ref="J20" r:id="rId19" xr:uid="{00000000-0004-0000-0200-000012000000}"/>
    <hyperlink ref="J21" r:id="rId20" xr:uid="{00000000-0004-0000-0200-000013000000}"/>
    <hyperlink ref="J22" r:id="rId21" xr:uid="{00000000-0004-0000-0200-000014000000}"/>
    <hyperlink ref="J23" r:id="rId22" xr:uid="{00000000-0004-0000-0200-000015000000}"/>
    <hyperlink ref="J24" r:id="rId23" xr:uid="{00000000-0004-0000-0200-000016000000}"/>
    <hyperlink ref="J25" r:id="rId24" xr:uid="{00000000-0004-0000-0200-000017000000}"/>
    <hyperlink ref="J26" r:id="rId25" xr:uid="{00000000-0004-0000-0200-000018000000}"/>
    <hyperlink ref="J27" r:id="rId26" xr:uid="{00000000-0004-0000-0200-000019000000}"/>
    <hyperlink ref="J28" r:id="rId27" xr:uid="{00000000-0004-0000-0200-00001A000000}"/>
    <hyperlink ref="J29" r:id="rId28" xr:uid="{00000000-0004-0000-0200-00001B000000}"/>
    <hyperlink ref="J30" r:id="rId29" xr:uid="{00000000-0004-0000-0200-00001C000000}"/>
    <hyperlink ref="J31" r:id="rId30" xr:uid="{00000000-0004-0000-0200-00001D000000}"/>
    <hyperlink ref="J32" r:id="rId31" xr:uid="{00000000-0004-0000-0200-00001E000000}"/>
    <hyperlink ref="J33" r:id="rId32" xr:uid="{00000000-0004-0000-0200-00001F000000}"/>
    <hyperlink ref="J34" r:id="rId33" xr:uid="{00000000-0004-0000-0200-000020000000}"/>
    <hyperlink ref="J35" r:id="rId34" xr:uid="{00000000-0004-0000-0200-000021000000}"/>
    <hyperlink ref="J36" r:id="rId35" xr:uid="{00000000-0004-0000-0200-000022000000}"/>
    <hyperlink ref="J37" r:id="rId36" xr:uid="{00000000-0004-0000-0200-000023000000}"/>
    <hyperlink ref="J38" r:id="rId37" xr:uid="{00000000-0004-0000-0200-000024000000}"/>
    <hyperlink ref="J39" r:id="rId38" xr:uid="{00000000-0004-0000-0200-000025000000}"/>
    <hyperlink ref="J40" r:id="rId39" xr:uid="{00000000-0004-0000-0200-000026000000}"/>
    <hyperlink ref="J41" r:id="rId40" xr:uid="{00000000-0004-0000-0200-000027000000}"/>
    <hyperlink ref="J42" r:id="rId41" xr:uid="{00000000-0004-0000-0200-000028000000}"/>
    <hyperlink ref="J43" r:id="rId42" xr:uid="{00000000-0004-0000-0200-000029000000}"/>
    <hyperlink ref="J44" r:id="rId43" xr:uid="{00000000-0004-0000-0200-00002A000000}"/>
    <hyperlink ref="J45" r:id="rId44" xr:uid="{00000000-0004-0000-0200-00002B000000}"/>
    <hyperlink ref="J46" r:id="rId45" xr:uid="{00000000-0004-0000-0200-00002C000000}"/>
    <hyperlink ref="J47" r:id="rId46" xr:uid="{00000000-0004-0000-0200-00002D000000}"/>
    <hyperlink ref="J48" r:id="rId47" xr:uid="{00000000-0004-0000-0200-00002E000000}"/>
    <hyperlink ref="J49" r:id="rId48" xr:uid="{00000000-0004-0000-0200-00002F000000}"/>
    <hyperlink ref="J50" r:id="rId49" xr:uid="{00000000-0004-0000-0200-000030000000}"/>
    <hyperlink ref="J51" r:id="rId50" xr:uid="{00000000-0004-0000-0200-000031000000}"/>
    <hyperlink ref="J52" r:id="rId51" xr:uid="{00000000-0004-0000-0200-000032000000}"/>
    <hyperlink ref="J53" r:id="rId52" xr:uid="{00000000-0004-0000-0200-000033000000}"/>
    <hyperlink ref="J54" r:id="rId53" xr:uid="{00000000-0004-0000-0200-000034000000}"/>
    <hyperlink ref="J55" r:id="rId54" xr:uid="{00000000-0004-0000-0200-000035000000}"/>
    <hyperlink ref="J56" r:id="rId55" xr:uid="{00000000-0004-0000-0200-000036000000}"/>
    <hyperlink ref="J57" r:id="rId56" xr:uid="{00000000-0004-0000-0200-000037000000}"/>
    <hyperlink ref="J58" r:id="rId57" xr:uid="{00000000-0004-0000-0200-000038000000}"/>
    <hyperlink ref="J59" r:id="rId58" xr:uid="{00000000-0004-0000-0200-000039000000}"/>
    <hyperlink ref="J60" r:id="rId59" xr:uid="{00000000-0004-0000-0200-00003A000000}"/>
    <hyperlink ref="J61" r:id="rId60" xr:uid="{00000000-0004-0000-0200-00003B000000}"/>
    <hyperlink ref="J62" r:id="rId61" xr:uid="{00000000-0004-0000-0200-00003C000000}"/>
    <hyperlink ref="J63" r:id="rId62" xr:uid="{00000000-0004-0000-0200-00003D000000}"/>
    <hyperlink ref="J64" r:id="rId63" xr:uid="{00000000-0004-0000-0200-00003E000000}"/>
    <hyperlink ref="J65" r:id="rId64" xr:uid="{00000000-0004-0000-0200-00003F000000}"/>
    <hyperlink ref="J66" r:id="rId65" xr:uid="{00000000-0004-0000-0200-000040000000}"/>
    <hyperlink ref="J67" r:id="rId66" xr:uid="{00000000-0004-0000-0200-000041000000}"/>
    <hyperlink ref="J68" r:id="rId67" xr:uid="{00000000-0004-0000-0200-000042000000}"/>
    <hyperlink ref="J69" r:id="rId68" xr:uid="{00000000-0004-0000-0200-000043000000}"/>
    <hyperlink ref="J70" r:id="rId69" xr:uid="{00000000-0004-0000-0200-000044000000}"/>
    <hyperlink ref="J71" r:id="rId70" xr:uid="{00000000-0004-0000-0200-000045000000}"/>
    <hyperlink ref="J72" r:id="rId71" xr:uid="{00000000-0004-0000-0200-000046000000}"/>
    <hyperlink ref="J73" r:id="rId72" xr:uid="{00000000-0004-0000-0200-000047000000}"/>
    <hyperlink ref="J74" r:id="rId73" xr:uid="{00000000-0004-0000-0200-000048000000}"/>
    <hyperlink ref="J75" r:id="rId74" xr:uid="{00000000-0004-0000-0200-000049000000}"/>
    <hyperlink ref="J76" r:id="rId75" xr:uid="{00000000-0004-0000-0200-00004A000000}"/>
    <hyperlink ref="J77" r:id="rId76" xr:uid="{00000000-0004-0000-0200-00004B000000}"/>
    <hyperlink ref="J78" r:id="rId77" xr:uid="{00000000-0004-0000-0200-00004C000000}"/>
    <hyperlink ref="J79" r:id="rId78" xr:uid="{00000000-0004-0000-0200-00004D000000}"/>
    <hyperlink ref="J80" r:id="rId79" xr:uid="{00000000-0004-0000-0200-00004E000000}"/>
    <hyperlink ref="J81" r:id="rId80" xr:uid="{00000000-0004-0000-0200-00004F000000}"/>
    <hyperlink ref="J82" r:id="rId81" xr:uid="{00000000-0004-0000-0200-000050000000}"/>
    <hyperlink ref="J83" r:id="rId82" xr:uid="{00000000-0004-0000-0200-000051000000}"/>
    <hyperlink ref="J84" r:id="rId83" xr:uid="{00000000-0004-0000-0200-000052000000}"/>
    <hyperlink ref="J85" r:id="rId84" xr:uid="{00000000-0004-0000-0200-000053000000}"/>
    <hyperlink ref="J86" r:id="rId85" xr:uid="{00000000-0004-0000-0200-000054000000}"/>
    <hyperlink ref="J87" r:id="rId86" xr:uid="{00000000-0004-0000-0200-000055000000}"/>
    <hyperlink ref="J88" r:id="rId87" xr:uid="{00000000-0004-0000-0200-000056000000}"/>
    <hyperlink ref="J89" r:id="rId88" xr:uid="{00000000-0004-0000-0200-000057000000}"/>
    <hyperlink ref="J90" r:id="rId89" xr:uid="{00000000-0004-0000-0200-000058000000}"/>
    <hyperlink ref="J91" r:id="rId90" xr:uid="{00000000-0004-0000-0200-000059000000}"/>
    <hyperlink ref="J92" r:id="rId91" xr:uid="{00000000-0004-0000-0200-00005A000000}"/>
    <hyperlink ref="J93" r:id="rId92" xr:uid="{00000000-0004-0000-0200-00005B000000}"/>
    <hyperlink ref="J94" r:id="rId93" xr:uid="{00000000-0004-0000-0200-00005C000000}"/>
    <hyperlink ref="J95" r:id="rId94" xr:uid="{00000000-0004-0000-0200-00005D000000}"/>
    <hyperlink ref="J96" r:id="rId95" xr:uid="{00000000-0004-0000-0200-00005E000000}"/>
    <hyperlink ref="J97" r:id="rId96" xr:uid="{00000000-0004-0000-0200-00005F000000}"/>
    <hyperlink ref="J98" r:id="rId97" xr:uid="{00000000-0004-0000-0200-000060000000}"/>
    <hyperlink ref="J99" r:id="rId98" xr:uid="{00000000-0004-0000-0200-000061000000}"/>
    <hyperlink ref="J100" r:id="rId99" xr:uid="{00000000-0004-0000-0200-000062000000}"/>
    <hyperlink ref="J101" r:id="rId100" xr:uid="{00000000-0004-0000-0200-000063000000}"/>
    <hyperlink ref="J102" r:id="rId101" xr:uid="{00000000-0004-0000-0200-000064000000}"/>
    <hyperlink ref="J103" r:id="rId102" xr:uid="{00000000-0004-0000-0200-000065000000}"/>
    <hyperlink ref="J104" r:id="rId103" xr:uid="{00000000-0004-0000-0200-000066000000}"/>
    <hyperlink ref="J105" r:id="rId104" xr:uid="{00000000-0004-0000-0200-000067000000}"/>
    <hyperlink ref="J106" r:id="rId105" xr:uid="{00000000-0004-0000-0200-000068000000}"/>
    <hyperlink ref="J107" r:id="rId106" xr:uid="{00000000-0004-0000-0200-000069000000}"/>
    <hyperlink ref="J108" r:id="rId107" xr:uid="{00000000-0004-0000-0200-00006A000000}"/>
    <hyperlink ref="J109" r:id="rId108" xr:uid="{00000000-0004-0000-0200-00006B000000}"/>
    <hyperlink ref="J110" r:id="rId109" xr:uid="{00000000-0004-0000-0200-00006C000000}"/>
    <hyperlink ref="J111" r:id="rId110" xr:uid="{00000000-0004-0000-0200-00006D000000}"/>
    <hyperlink ref="J112" r:id="rId111" xr:uid="{00000000-0004-0000-0200-00006E000000}"/>
    <hyperlink ref="J113" r:id="rId112" xr:uid="{00000000-0004-0000-0200-00006F000000}"/>
    <hyperlink ref="J114" r:id="rId113" xr:uid="{00000000-0004-0000-0200-000070000000}"/>
    <hyperlink ref="J115" r:id="rId114" xr:uid="{00000000-0004-0000-0200-000071000000}"/>
    <hyperlink ref="J116" r:id="rId115" xr:uid="{00000000-0004-0000-0200-000072000000}"/>
    <hyperlink ref="J117" r:id="rId116" xr:uid="{00000000-0004-0000-0200-000073000000}"/>
    <hyperlink ref="J118" r:id="rId117" xr:uid="{00000000-0004-0000-0200-000074000000}"/>
    <hyperlink ref="J119" r:id="rId118" xr:uid="{00000000-0004-0000-0200-000075000000}"/>
    <hyperlink ref="J120" r:id="rId119" xr:uid="{00000000-0004-0000-0200-000076000000}"/>
    <hyperlink ref="J121" r:id="rId120" xr:uid="{00000000-0004-0000-0200-000077000000}"/>
    <hyperlink ref="J122" r:id="rId121" xr:uid="{00000000-0004-0000-0200-000078000000}"/>
    <hyperlink ref="J123" r:id="rId122" xr:uid="{00000000-0004-0000-0200-000079000000}"/>
    <hyperlink ref="J124" r:id="rId123" xr:uid="{00000000-0004-0000-0200-00007A000000}"/>
    <hyperlink ref="J125" r:id="rId124" xr:uid="{00000000-0004-0000-0200-00007B000000}"/>
    <hyperlink ref="J126" r:id="rId125" xr:uid="{00000000-0004-0000-0200-00007C000000}"/>
    <hyperlink ref="J127" r:id="rId126" xr:uid="{00000000-0004-0000-0200-00007D000000}"/>
    <hyperlink ref="J128" r:id="rId127" xr:uid="{00000000-0004-0000-0200-00007E000000}"/>
    <hyperlink ref="J129" r:id="rId128" xr:uid="{00000000-0004-0000-0200-00007F000000}"/>
    <hyperlink ref="J130" r:id="rId129" xr:uid="{00000000-0004-0000-0200-000080000000}"/>
    <hyperlink ref="J131" r:id="rId130" xr:uid="{00000000-0004-0000-0200-000081000000}"/>
    <hyperlink ref="J132" r:id="rId131" xr:uid="{00000000-0004-0000-0200-000082000000}"/>
    <hyperlink ref="J133" r:id="rId132" xr:uid="{00000000-0004-0000-0200-000083000000}"/>
    <hyperlink ref="J134" r:id="rId133" xr:uid="{00000000-0004-0000-0200-000084000000}"/>
    <hyperlink ref="J135" r:id="rId134" xr:uid="{00000000-0004-0000-0200-000085000000}"/>
    <hyperlink ref="J136" r:id="rId135" xr:uid="{00000000-0004-0000-0200-000086000000}"/>
    <hyperlink ref="J137" r:id="rId136" xr:uid="{00000000-0004-0000-0200-000087000000}"/>
    <hyperlink ref="J138" r:id="rId137" xr:uid="{00000000-0004-0000-0200-000088000000}"/>
    <hyperlink ref="J139" r:id="rId138" xr:uid="{00000000-0004-0000-0200-000089000000}"/>
    <hyperlink ref="J140" r:id="rId139" xr:uid="{00000000-0004-0000-0200-00008A000000}"/>
    <hyperlink ref="J141" r:id="rId140" xr:uid="{00000000-0004-0000-0200-00008B000000}"/>
    <hyperlink ref="J142" r:id="rId141" xr:uid="{00000000-0004-0000-0200-00008C000000}"/>
    <hyperlink ref="J143" r:id="rId142" xr:uid="{00000000-0004-0000-0200-00008D000000}"/>
    <hyperlink ref="J144" r:id="rId143" xr:uid="{00000000-0004-0000-0200-00008E000000}"/>
    <hyperlink ref="J145" r:id="rId144" xr:uid="{00000000-0004-0000-0200-00008F000000}"/>
    <hyperlink ref="J146" r:id="rId145" xr:uid="{00000000-0004-0000-0200-000090000000}"/>
    <hyperlink ref="J147" r:id="rId146" xr:uid="{00000000-0004-0000-0200-000091000000}"/>
    <hyperlink ref="J148" r:id="rId147" xr:uid="{00000000-0004-0000-0200-000092000000}"/>
    <hyperlink ref="J149" r:id="rId148" xr:uid="{00000000-0004-0000-0200-000093000000}"/>
    <hyperlink ref="J150" r:id="rId149" xr:uid="{00000000-0004-0000-0200-000094000000}"/>
    <hyperlink ref="J151" r:id="rId150" xr:uid="{00000000-0004-0000-0200-000095000000}"/>
    <hyperlink ref="J152" r:id="rId151" xr:uid="{00000000-0004-0000-0200-000096000000}"/>
    <hyperlink ref="J153" r:id="rId152" xr:uid="{00000000-0004-0000-0200-000097000000}"/>
    <hyperlink ref="J154" r:id="rId153" xr:uid="{00000000-0004-0000-0200-000098000000}"/>
    <hyperlink ref="J155" r:id="rId154" xr:uid="{00000000-0004-0000-0200-000099000000}"/>
    <hyperlink ref="J156" r:id="rId155" xr:uid="{00000000-0004-0000-0200-00009A000000}"/>
    <hyperlink ref="J157" r:id="rId156" xr:uid="{00000000-0004-0000-0200-00009B000000}"/>
    <hyperlink ref="J158" r:id="rId157" xr:uid="{00000000-0004-0000-0200-00009C000000}"/>
    <hyperlink ref="J159" r:id="rId158" xr:uid="{00000000-0004-0000-0200-00009D000000}"/>
    <hyperlink ref="J160" r:id="rId159" xr:uid="{00000000-0004-0000-0200-00009E000000}"/>
    <hyperlink ref="J161" r:id="rId160" xr:uid="{00000000-0004-0000-0200-00009F000000}"/>
    <hyperlink ref="J162" r:id="rId161" xr:uid="{00000000-0004-0000-0200-0000A0000000}"/>
    <hyperlink ref="J163" r:id="rId162" xr:uid="{00000000-0004-0000-0200-0000A1000000}"/>
    <hyperlink ref="J164" r:id="rId163" xr:uid="{00000000-0004-0000-0200-0000A2000000}"/>
    <hyperlink ref="J165" r:id="rId164" xr:uid="{00000000-0004-0000-0200-0000A3000000}"/>
    <hyperlink ref="J166" r:id="rId165" xr:uid="{00000000-0004-0000-0200-0000A4000000}"/>
    <hyperlink ref="J167" r:id="rId166" xr:uid="{00000000-0004-0000-0200-0000A5000000}"/>
    <hyperlink ref="J168" r:id="rId167" xr:uid="{00000000-0004-0000-0200-0000A6000000}"/>
    <hyperlink ref="J169" r:id="rId168" xr:uid="{00000000-0004-0000-0200-0000A7000000}"/>
    <hyperlink ref="J170" r:id="rId169" xr:uid="{00000000-0004-0000-0200-0000A8000000}"/>
    <hyperlink ref="J171" r:id="rId170" xr:uid="{00000000-0004-0000-0200-0000A9000000}"/>
    <hyperlink ref="J172" r:id="rId171" xr:uid="{00000000-0004-0000-0200-0000AA000000}"/>
    <hyperlink ref="J173" r:id="rId172" xr:uid="{00000000-0004-0000-0200-0000AB000000}"/>
    <hyperlink ref="J174" r:id="rId173" xr:uid="{00000000-0004-0000-0200-0000AC000000}"/>
    <hyperlink ref="J175" r:id="rId174" xr:uid="{00000000-0004-0000-0200-0000AD000000}"/>
    <hyperlink ref="J176" r:id="rId175" xr:uid="{00000000-0004-0000-0200-0000AE000000}"/>
    <hyperlink ref="J177" r:id="rId176" xr:uid="{00000000-0004-0000-0200-0000AF000000}"/>
    <hyperlink ref="J178" r:id="rId177" xr:uid="{00000000-0004-0000-0200-0000B0000000}"/>
    <hyperlink ref="J179" r:id="rId178" xr:uid="{00000000-0004-0000-0200-0000B1000000}"/>
    <hyperlink ref="J180" r:id="rId179" xr:uid="{00000000-0004-0000-0200-0000B2000000}"/>
    <hyperlink ref="J181" r:id="rId180" xr:uid="{00000000-0004-0000-0200-0000B3000000}"/>
    <hyperlink ref="J182" r:id="rId181" xr:uid="{00000000-0004-0000-0200-0000B4000000}"/>
    <hyperlink ref="J183" r:id="rId182" xr:uid="{00000000-0004-0000-0200-0000B5000000}"/>
    <hyperlink ref="J184" r:id="rId183" xr:uid="{00000000-0004-0000-0200-0000B6000000}"/>
    <hyperlink ref="J185" r:id="rId184" xr:uid="{00000000-0004-0000-0200-0000B7000000}"/>
    <hyperlink ref="J186" r:id="rId185" xr:uid="{00000000-0004-0000-0200-0000B8000000}"/>
    <hyperlink ref="J187" r:id="rId186" xr:uid="{00000000-0004-0000-0200-0000B9000000}"/>
    <hyperlink ref="J188" r:id="rId187" xr:uid="{00000000-0004-0000-0200-0000BA000000}"/>
    <hyperlink ref="J189" r:id="rId188" xr:uid="{00000000-0004-0000-0200-0000BB000000}"/>
    <hyperlink ref="J190" r:id="rId189" xr:uid="{00000000-0004-0000-0200-0000BC000000}"/>
    <hyperlink ref="J191" r:id="rId190" xr:uid="{00000000-0004-0000-0200-0000BD000000}"/>
    <hyperlink ref="J192" r:id="rId191" xr:uid="{00000000-0004-0000-0200-0000BE000000}"/>
    <hyperlink ref="J193" r:id="rId192" xr:uid="{00000000-0004-0000-0200-0000BF000000}"/>
    <hyperlink ref="J194" r:id="rId193" xr:uid="{00000000-0004-0000-0200-0000C0000000}"/>
    <hyperlink ref="J195" r:id="rId194" xr:uid="{00000000-0004-0000-0200-0000C1000000}"/>
    <hyperlink ref="J196" r:id="rId195" xr:uid="{00000000-0004-0000-0200-0000C2000000}"/>
    <hyperlink ref="J197" r:id="rId196" xr:uid="{00000000-0004-0000-0200-0000C3000000}"/>
    <hyperlink ref="J198" r:id="rId197" xr:uid="{00000000-0004-0000-0200-0000C4000000}"/>
    <hyperlink ref="J199" r:id="rId198" xr:uid="{00000000-0004-0000-0200-0000C5000000}"/>
    <hyperlink ref="J200" r:id="rId199" xr:uid="{00000000-0004-0000-0200-0000C6000000}"/>
    <hyperlink ref="J201" r:id="rId200" xr:uid="{00000000-0004-0000-0200-0000C7000000}"/>
    <hyperlink ref="J202" r:id="rId201" xr:uid="{00000000-0004-0000-0200-0000C8000000}"/>
    <hyperlink ref="J203" r:id="rId202" xr:uid="{00000000-0004-0000-0200-0000C9000000}"/>
    <hyperlink ref="J204" r:id="rId203" xr:uid="{00000000-0004-0000-0200-0000CA000000}"/>
    <hyperlink ref="J205" r:id="rId204" xr:uid="{00000000-0004-0000-0200-0000CB000000}"/>
    <hyperlink ref="J206" r:id="rId205" xr:uid="{00000000-0004-0000-0200-0000CC000000}"/>
    <hyperlink ref="J207" r:id="rId206" xr:uid="{00000000-0004-0000-0200-0000CD000000}"/>
    <hyperlink ref="J208" r:id="rId207" xr:uid="{00000000-0004-0000-0200-0000CE000000}"/>
    <hyperlink ref="J209" r:id="rId208" xr:uid="{00000000-0004-0000-0200-0000CF000000}"/>
    <hyperlink ref="J210" r:id="rId209" xr:uid="{00000000-0004-0000-0200-0000D0000000}"/>
    <hyperlink ref="J211" r:id="rId210" xr:uid="{00000000-0004-0000-0200-0000D1000000}"/>
    <hyperlink ref="J212" r:id="rId211" xr:uid="{00000000-0004-0000-0200-0000D2000000}"/>
    <hyperlink ref="J213" r:id="rId212" xr:uid="{00000000-0004-0000-0200-0000D3000000}"/>
    <hyperlink ref="J214" r:id="rId213" xr:uid="{00000000-0004-0000-0200-0000D4000000}"/>
    <hyperlink ref="J215" r:id="rId214" xr:uid="{00000000-0004-0000-0200-0000D5000000}"/>
    <hyperlink ref="J216" r:id="rId215" xr:uid="{00000000-0004-0000-0200-0000D6000000}"/>
    <hyperlink ref="J217" r:id="rId216" xr:uid="{00000000-0004-0000-0200-0000D7000000}"/>
    <hyperlink ref="J218" r:id="rId217" xr:uid="{00000000-0004-0000-0200-0000D8000000}"/>
    <hyperlink ref="J219" r:id="rId218" xr:uid="{00000000-0004-0000-0200-0000D9000000}"/>
    <hyperlink ref="J220" r:id="rId219" xr:uid="{00000000-0004-0000-0200-0000DA000000}"/>
    <hyperlink ref="J221" r:id="rId220" xr:uid="{00000000-0004-0000-0200-0000DB000000}"/>
    <hyperlink ref="J222" r:id="rId221" xr:uid="{00000000-0004-0000-0200-0000DC000000}"/>
    <hyperlink ref="J223" r:id="rId222" xr:uid="{00000000-0004-0000-0200-0000DD000000}"/>
    <hyperlink ref="J224" r:id="rId223" xr:uid="{00000000-0004-0000-0200-0000DE000000}"/>
    <hyperlink ref="J225" r:id="rId224" xr:uid="{00000000-0004-0000-0200-0000DF000000}"/>
    <hyperlink ref="J226" r:id="rId225" xr:uid="{00000000-0004-0000-0200-0000E0000000}"/>
    <hyperlink ref="J227" r:id="rId226" xr:uid="{00000000-0004-0000-0200-0000E1000000}"/>
    <hyperlink ref="J228" r:id="rId227" xr:uid="{00000000-0004-0000-0200-0000E2000000}"/>
    <hyperlink ref="J229" r:id="rId228" xr:uid="{00000000-0004-0000-0200-0000E3000000}"/>
    <hyperlink ref="J230" r:id="rId229" xr:uid="{00000000-0004-0000-0200-0000E4000000}"/>
    <hyperlink ref="J231" r:id="rId230" xr:uid="{00000000-0004-0000-0200-0000E5000000}"/>
    <hyperlink ref="J232" r:id="rId231" xr:uid="{00000000-0004-0000-0200-0000E6000000}"/>
    <hyperlink ref="J233" r:id="rId232" xr:uid="{00000000-0004-0000-0200-0000E7000000}"/>
    <hyperlink ref="J234" r:id="rId233" xr:uid="{00000000-0004-0000-0200-0000E8000000}"/>
    <hyperlink ref="J235" r:id="rId234" xr:uid="{00000000-0004-0000-0200-0000E9000000}"/>
    <hyperlink ref="J236" r:id="rId235" xr:uid="{00000000-0004-0000-0200-0000EA000000}"/>
    <hyperlink ref="J237" r:id="rId236" xr:uid="{00000000-0004-0000-0200-0000EB000000}"/>
    <hyperlink ref="J238" r:id="rId237" xr:uid="{00000000-0004-0000-0200-0000EC000000}"/>
    <hyperlink ref="J239" r:id="rId238" xr:uid="{00000000-0004-0000-0200-0000ED000000}"/>
    <hyperlink ref="J240" r:id="rId239" xr:uid="{00000000-0004-0000-0200-0000EE000000}"/>
    <hyperlink ref="J241" r:id="rId240" xr:uid="{00000000-0004-0000-0200-0000EF000000}"/>
    <hyperlink ref="J242" r:id="rId241" xr:uid="{00000000-0004-0000-0200-0000F0000000}"/>
    <hyperlink ref="J243" r:id="rId242" xr:uid="{00000000-0004-0000-0200-0000F1000000}"/>
    <hyperlink ref="J244" r:id="rId243" xr:uid="{00000000-0004-0000-0200-0000F2000000}"/>
    <hyperlink ref="J245" r:id="rId244" xr:uid="{00000000-0004-0000-0200-0000F3000000}"/>
    <hyperlink ref="J246" r:id="rId245" xr:uid="{00000000-0004-0000-0200-0000F4000000}"/>
    <hyperlink ref="J247" r:id="rId246" xr:uid="{00000000-0004-0000-0200-0000F5000000}"/>
    <hyperlink ref="J248" r:id="rId247" xr:uid="{00000000-0004-0000-0200-0000F6000000}"/>
    <hyperlink ref="J249" r:id="rId248" xr:uid="{00000000-0004-0000-0200-0000F7000000}"/>
    <hyperlink ref="J250" r:id="rId249" xr:uid="{00000000-0004-0000-0200-0000F8000000}"/>
    <hyperlink ref="J251" r:id="rId250" xr:uid="{00000000-0004-0000-0200-0000F9000000}"/>
    <hyperlink ref="J252" r:id="rId251" xr:uid="{00000000-0004-0000-0200-0000FA000000}"/>
    <hyperlink ref="J253" r:id="rId252" xr:uid="{00000000-0004-0000-0200-0000FB000000}"/>
    <hyperlink ref="J254" r:id="rId253" xr:uid="{00000000-0004-0000-0200-0000FC000000}"/>
    <hyperlink ref="J255" r:id="rId254" xr:uid="{00000000-0004-0000-0200-0000FD000000}"/>
    <hyperlink ref="J256" r:id="rId255" xr:uid="{00000000-0004-0000-0200-0000FE000000}"/>
    <hyperlink ref="J257" r:id="rId256" xr:uid="{00000000-0004-0000-0200-0000FF000000}"/>
    <hyperlink ref="J258" r:id="rId257" xr:uid="{00000000-0004-0000-0200-000000010000}"/>
    <hyperlink ref="J259" r:id="rId258" xr:uid="{00000000-0004-0000-0200-000001010000}"/>
    <hyperlink ref="J260" r:id="rId259" xr:uid="{00000000-0004-0000-0200-000002010000}"/>
    <hyperlink ref="J261" r:id="rId260" xr:uid="{00000000-0004-0000-0200-000003010000}"/>
    <hyperlink ref="J262" r:id="rId261" xr:uid="{00000000-0004-0000-0200-000004010000}"/>
    <hyperlink ref="J263" r:id="rId262" xr:uid="{00000000-0004-0000-0200-000005010000}"/>
    <hyperlink ref="J264" r:id="rId263" xr:uid="{00000000-0004-0000-0200-000006010000}"/>
    <hyperlink ref="J265" r:id="rId264" xr:uid="{00000000-0004-0000-0200-000007010000}"/>
    <hyperlink ref="J266" r:id="rId265" xr:uid="{00000000-0004-0000-0200-000008010000}"/>
    <hyperlink ref="J267" r:id="rId266" xr:uid="{00000000-0004-0000-0200-000009010000}"/>
    <hyperlink ref="J268" r:id="rId267" xr:uid="{00000000-0004-0000-0200-00000A010000}"/>
    <hyperlink ref="J269" r:id="rId268" xr:uid="{00000000-0004-0000-0200-00000B010000}"/>
    <hyperlink ref="J270" r:id="rId269" xr:uid="{00000000-0004-0000-0200-00000C010000}"/>
    <hyperlink ref="J271" r:id="rId270" xr:uid="{00000000-0004-0000-0200-00000D010000}"/>
    <hyperlink ref="J272" r:id="rId271" xr:uid="{00000000-0004-0000-0200-00000E010000}"/>
    <hyperlink ref="J273" r:id="rId272" xr:uid="{00000000-0004-0000-0200-00000F010000}"/>
    <hyperlink ref="J274" r:id="rId273" xr:uid="{00000000-0004-0000-0200-000010010000}"/>
    <hyperlink ref="J275" r:id="rId274" xr:uid="{00000000-0004-0000-0200-000011010000}"/>
    <hyperlink ref="J276" r:id="rId275" xr:uid="{00000000-0004-0000-0200-000012010000}"/>
    <hyperlink ref="J277" r:id="rId276" xr:uid="{00000000-0004-0000-0200-000013010000}"/>
    <hyperlink ref="J278" r:id="rId277" xr:uid="{00000000-0004-0000-0200-000014010000}"/>
    <hyperlink ref="J279" r:id="rId278" xr:uid="{00000000-0004-0000-0200-000015010000}"/>
    <hyperlink ref="J280" r:id="rId279" xr:uid="{00000000-0004-0000-0200-000016010000}"/>
    <hyperlink ref="J281" r:id="rId280" xr:uid="{00000000-0004-0000-0200-000017010000}"/>
    <hyperlink ref="J282" r:id="rId281" xr:uid="{00000000-0004-0000-0200-000018010000}"/>
    <hyperlink ref="J283" r:id="rId282" xr:uid="{00000000-0004-0000-0200-000019010000}"/>
    <hyperlink ref="J284" r:id="rId283" xr:uid="{00000000-0004-0000-0200-00001A010000}"/>
    <hyperlink ref="J285" r:id="rId284" xr:uid="{00000000-0004-0000-0200-00001B010000}"/>
    <hyperlink ref="J286" r:id="rId285" xr:uid="{00000000-0004-0000-0200-00001C010000}"/>
    <hyperlink ref="J287" r:id="rId286" xr:uid="{00000000-0004-0000-0200-00001D010000}"/>
    <hyperlink ref="J288" r:id="rId287" xr:uid="{00000000-0004-0000-0200-00001E010000}"/>
    <hyperlink ref="J289" r:id="rId288" xr:uid="{00000000-0004-0000-0200-00001F010000}"/>
    <hyperlink ref="J290" r:id="rId289" xr:uid="{00000000-0004-0000-0200-000020010000}"/>
    <hyperlink ref="J291" r:id="rId290" xr:uid="{00000000-0004-0000-0200-000021010000}"/>
    <hyperlink ref="J292" r:id="rId291" xr:uid="{00000000-0004-0000-0200-000022010000}"/>
    <hyperlink ref="J293" r:id="rId292" xr:uid="{00000000-0004-0000-0200-000023010000}"/>
    <hyperlink ref="J294" r:id="rId293" xr:uid="{00000000-0004-0000-0200-000024010000}"/>
    <hyperlink ref="J295" r:id="rId294" xr:uid="{00000000-0004-0000-0200-000025010000}"/>
    <hyperlink ref="J296" r:id="rId295" xr:uid="{00000000-0004-0000-0200-000026010000}"/>
    <hyperlink ref="J297" r:id="rId296" xr:uid="{00000000-0004-0000-0200-000027010000}"/>
    <hyperlink ref="J298" r:id="rId297" xr:uid="{00000000-0004-0000-0200-000028010000}"/>
    <hyperlink ref="J299" r:id="rId298" xr:uid="{00000000-0004-0000-0200-000029010000}"/>
    <hyperlink ref="J300" r:id="rId299" xr:uid="{00000000-0004-0000-0200-00002A010000}"/>
    <hyperlink ref="J301" r:id="rId300" xr:uid="{00000000-0004-0000-0200-00002B010000}"/>
    <hyperlink ref="J302" r:id="rId301" xr:uid="{00000000-0004-0000-0200-00002C010000}"/>
    <hyperlink ref="J303" r:id="rId302" xr:uid="{00000000-0004-0000-0200-00002D010000}"/>
    <hyperlink ref="J304" r:id="rId303" xr:uid="{00000000-0004-0000-0200-00002E010000}"/>
    <hyperlink ref="J305" r:id="rId304" xr:uid="{00000000-0004-0000-0200-00002F010000}"/>
    <hyperlink ref="J306" r:id="rId305" xr:uid="{00000000-0004-0000-0200-000030010000}"/>
    <hyperlink ref="J307" r:id="rId306" xr:uid="{00000000-0004-0000-0200-000031010000}"/>
    <hyperlink ref="J308" r:id="rId307" xr:uid="{00000000-0004-0000-0200-000032010000}"/>
    <hyperlink ref="J309" r:id="rId308" xr:uid="{00000000-0004-0000-0200-000033010000}"/>
    <hyperlink ref="J310" r:id="rId309" xr:uid="{00000000-0004-0000-0200-000034010000}"/>
    <hyperlink ref="J311" r:id="rId310" xr:uid="{00000000-0004-0000-0200-000035010000}"/>
    <hyperlink ref="J312" r:id="rId311" xr:uid="{00000000-0004-0000-0200-000036010000}"/>
    <hyperlink ref="J313" r:id="rId312" xr:uid="{00000000-0004-0000-0200-000037010000}"/>
    <hyperlink ref="J314" r:id="rId313" xr:uid="{00000000-0004-0000-0200-000038010000}"/>
    <hyperlink ref="J315" r:id="rId314" xr:uid="{00000000-0004-0000-0200-000039010000}"/>
    <hyperlink ref="J316" r:id="rId315" xr:uid="{00000000-0004-0000-0200-00003A010000}"/>
    <hyperlink ref="J317" r:id="rId316" xr:uid="{00000000-0004-0000-0200-00003B010000}"/>
    <hyperlink ref="J318" r:id="rId317" xr:uid="{00000000-0004-0000-0200-00003C010000}"/>
    <hyperlink ref="J319" r:id="rId318" xr:uid="{00000000-0004-0000-0200-00003D010000}"/>
    <hyperlink ref="J320" r:id="rId319" xr:uid="{00000000-0004-0000-0200-00003E010000}"/>
    <hyperlink ref="J321" r:id="rId320" xr:uid="{00000000-0004-0000-0200-00003F010000}"/>
    <hyperlink ref="J322" r:id="rId321" xr:uid="{00000000-0004-0000-0200-000040010000}"/>
    <hyperlink ref="J323" r:id="rId322" xr:uid="{00000000-0004-0000-0200-000041010000}"/>
    <hyperlink ref="J324" r:id="rId323" xr:uid="{00000000-0004-0000-0200-000042010000}"/>
    <hyperlink ref="J325" r:id="rId324" xr:uid="{00000000-0004-0000-0200-000043010000}"/>
    <hyperlink ref="J326" r:id="rId325" xr:uid="{00000000-0004-0000-0200-000044010000}"/>
    <hyperlink ref="J327" r:id="rId326" xr:uid="{00000000-0004-0000-0200-000045010000}"/>
    <hyperlink ref="J328" r:id="rId327" xr:uid="{00000000-0004-0000-0200-000046010000}"/>
    <hyperlink ref="J329" r:id="rId328" xr:uid="{00000000-0004-0000-0200-000047010000}"/>
    <hyperlink ref="J330" r:id="rId329" xr:uid="{00000000-0004-0000-0200-000048010000}"/>
    <hyperlink ref="J331" r:id="rId330" xr:uid="{00000000-0004-0000-0200-000049010000}"/>
    <hyperlink ref="J332" r:id="rId331" xr:uid="{00000000-0004-0000-0200-00004A010000}"/>
    <hyperlink ref="J333" r:id="rId332" xr:uid="{00000000-0004-0000-0200-00004B010000}"/>
    <hyperlink ref="J334" r:id="rId333" xr:uid="{00000000-0004-0000-0200-00004C010000}"/>
    <hyperlink ref="J335" r:id="rId334" xr:uid="{00000000-0004-0000-0200-00004D010000}"/>
    <hyperlink ref="J336" r:id="rId335" xr:uid="{00000000-0004-0000-0200-00004E010000}"/>
    <hyperlink ref="J337" r:id="rId336" xr:uid="{00000000-0004-0000-0200-00004F010000}"/>
    <hyperlink ref="J338" r:id="rId337" xr:uid="{00000000-0004-0000-0200-000050010000}"/>
    <hyperlink ref="J339" r:id="rId338" xr:uid="{00000000-0004-0000-0200-000051010000}"/>
    <hyperlink ref="J340" r:id="rId339" xr:uid="{00000000-0004-0000-0200-000052010000}"/>
    <hyperlink ref="J341" r:id="rId340" xr:uid="{00000000-0004-0000-0200-000053010000}"/>
    <hyperlink ref="J342" r:id="rId341" xr:uid="{00000000-0004-0000-0200-000054010000}"/>
    <hyperlink ref="J343" r:id="rId342" xr:uid="{00000000-0004-0000-0200-000055010000}"/>
    <hyperlink ref="J344" r:id="rId343" xr:uid="{00000000-0004-0000-0200-000056010000}"/>
    <hyperlink ref="J345" r:id="rId344" xr:uid="{00000000-0004-0000-0200-000057010000}"/>
    <hyperlink ref="J346" r:id="rId345" xr:uid="{00000000-0004-0000-0200-000058010000}"/>
    <hyperlink ref="J347" r:id="rId346" xr:uid="{00000000-0004-0000-0200-000059010000}"/>
    <hyperlink ref="J348" r:id="rId347" xr:uid="{00000000-0004-0000-0200-00005A010000}"/>
    <hyperlink ref="J349" r:id="rId348" xr:uid="{00000000-0004-0000-0200-00005B010000}"/>
    <hyperlink ref="J350" r:id="rId349" xr:uid="{00000000-0004-0000-0200-00005C010000}"/>
    <hyperlink ref="J351" r:id="rId350" xr:uid="{00000000-0004-0000-0200-00005D010000}"/>
    <hyperlink ref="J352" r:id="rId351" xr:uid="{00000000-0004-0000-0200-00005E010000}"/>
    <hyperlink ref="J353" r:id="rId352" xr:uid="{00000000-0004-0000-0200-00005F010000}"/>
    <hyperlink ref="J354" r:id="rId353" xr:uid="{00000000-0004-0000-0200-000060010000}"/>
    <hyperlink ref="J355" r:id="rId354" xr:uid="{00000000-0004-0000-0200-000061010000}"/>
    <hyperlink ref="J356" r:id="rId355" xr:uid="{00000000-0004-0000-0200-000062010000}"/>
    <hyperlink ref="J357" r:id="rId356" xr:uid="{00000000-0004-0000-0200-000063010000}"/>
    <hyperlink ref="J358" r:id="rId357" xr:uid="{00000000-0004-0000-0200-000064010000}"/>
    <hyperlink ref="J359" r:id="rId358" xr:uid="{00000000-0004-0000-0200-000065010000}"/>
    <hyperlink ref="J360" r:id="rId359" xr:uid="{00000000-0004-0000-0200-000066010000}"/>
    <hyperlink ref="J361" r:id="rId360" xr:uid="{00000000-0004-0000-0200-000067010000}"/>
    <hyperlink ref="J362" r:id="rId361" xr:uid="{00000000-0004-0000-0200-000068010000}"/>
    <hyperlink ref="J363" r:id="rId362" xr:uid="{00000000-0004-0000-0200-000069010000}"/>
    <hyperlink ref="J364" r:id="rId363" xr:uid="{00000000-0004-0000-0200-00006A010000}"/>
    <hyperlink ref="J365" r:id="rId364" xr:uid="{00000000-0004-0000-0200-00006B010000}"/>
    <hyperlink ref="J366" r:id="rId365" xr:uid="{00000000-0004-0000-0200-00006C010000}"/>
    <hyperlink ref="J367" r:id="rId366" xr:uid="{00000000-0004-0000-0200-00006D010000}"/>
    <hyperlink ref="J368" r:id="rId367" xr:uid="{00000000-0004-0000-0200-00006E010000}"/>
    <hyperlink ref="J369" r:id="rId368" xr:uid="{00000000-0004-0000-0200-00006F010000}"/>
    <hyperlink ref="J370" r:id="rId369" xr:uid="{00000000-0004-0000-0200-000070010000}"/>
    <hyperlink ref="J371" r:id="rId370" xr:uid="{00000000-0004-0000-0200-000071010000}"/>
    <hyperlink ref="J372" r:id="rId371" xr:uid="{00000000-0004-0000-0200-000072010000}"/>
    <hyperlink ref="J373" r:id="rId372" xr:uid="{00000000-0004-0000-0200-000073010000}"/>
    <hyperlink ref="J374" r:id="rId373" xr:uid="{00000000-0004-0000-0200-000074010000}"/>
    <hyperlink ref="J375" r:id="rId374" xr:uid="{00000000-0004-0000-0200-000075010000}"/>
    <hyperlink ref="J376" r:id="rId375" xr:uid="{00000000-0004-0000-0200-000076010000}"/>
    <hyperlink ref="J377" r:id="rId376" xr:uid="{00000000-0004-0000-0200-000077010000}"/>
    <hyperlink ref="J378" r:id="rId377" xr:uid="{00000000-0004-0000-0200-000078010000}"/>
    <hyperlink ref="J379" r:id="rId378" xr:uid="{00000000-0004-0000-0200-000079010000}"/>
    <hyperlink ref="J380" r:id="rId379" xr:uid="{00000000-0004-0000-0200-00007A010000}"/>
    <hyperlink ref="J381" r:id="rId380" xr:uid="{00000000-0004-0000-0200-00007B010000}"/>
    <hyperlink ref="J382" r:id="rId381" xr:uid="{00000000-0004-0000-0200-00007C010000}"/>
    <hyperlink ref="J383" r:id="rId382" xr:uid="{00000000-0004-0000-0200-00007D010000}"/>
    <hyperlink ref="J384" r:id="rId383" xr:uid="{00000000-0004-0000-0200-00007E010000}"/>
    <hyperlink ref="J385" r:id="rId384" xr:uid="{00000000-0004-0000-0200-00007F010000}"/>
    <hyperlink ref="J386" r:id="rId385" xr:uid="{00000000-0004-0000-0200-000080010000}"/>
    <hyperlink ref="J387" r:id="rId386" xr:uid="{00000000-0004-0000-0200-000081010000}"/>
    <hyperlink ref="J388" r:id="rId387" xr:uid="{00000000-0004-0000-0200-000082010000}"/>
    <hyperlink ref="J389" r:id="rId388" xr:uid="{00000000-0004-0000-0200-000083010000}"/>
    <hyperlink ref="J390" r:id="rId389" xr:uid="{00000000-0004-0000-0200-000084010000}"/>
    <hyperlink ref="J391" r:id="rId390" xr:uid="{00000000-0004-0000-0200-000085010000}"/>
    <hyperlink ref="J392" r:id="rId391" xr:uid="{00000000-0004-0000-0200-000086010000}"/>
    <hyperlink ref="J393" r:id="rId392" xr:uid="{00000000-0004-0000-0200-000087010000}"/>
    <hyperlink ref="J394" r:id="rId393" xr:uid="{00000000-0004-0000-0200-000088010000}"/>
    <hyperlink ref="J395" r:id="rId394" xr:uid="{00000000-0004-0000-0200-000089010000}"/>
    <hyperlink ref="J396" r:id="rId395" xr:uid="{00000000-0004-0000-0200-00008A010000}"/>
    <hyperlink ref="J397" r:id="rId396" xr:uid="{00000000-0004-0000-0200-00008B010000}"/>
    <hyperlink ref="J398" r:id="rId397" xr:uid="{00000000-0004-0000-0200-00008C010000}"/>
    <hyperlink ref="J399" r:id="rId398" xr:uid="{00000000-0004-0000-0200-00008D010000}"/>
    <hyperlink ref="J400" r:id="rId399" xr:uid="{00000000-0004-0000-0200-00008E010000}"/>
    <hyperlink ref="J401" r:id="rId400" xr:uid="{00000000-0004-0000-0200-00008F010000}"/>
    <hyperlink ref="J402" r:id="rId401" xr:uid="{00000000-0004-0000-0200-000090010000}"/>
    <hyperlink ref="J403" r:id="rId402" xr:uid="{00000000-0004-0000-0200-000091010000}"/>
    <hyperlink ref="J404" r:id="rId403" xr:uid="{00000000-0004-0000-0200-000092010000}"/>
    <hyperlink ref="J405" r:id="rId404" xr:uid="{00000000-0004-0000-0200-000093010000}"/>
    <hyperlink ref="J406" r:id="rId405" xr:uid="{00000000-0004-0000-0200-000094010000}"/>
    <hyperlink ref="J407" r:id="rId406" xr:uid="{00000000-0004-0000-0200-000095010000}"/>
    <hyperlink ref="J408" r:id="rId407" xr:uid="{00000000-0004-0000-0200-000096010000}"/>
    <hyperlink ref="J409" r:id="rId408" xr:uid="{00000000-0004-0000-0200-000097010000}"/>
    <hyperlink ref="J410" r:id="rId409" xr:uid="{00000000-0004-0000-0200-000098010000}"/>
    <hyperlink ref="J411" r:id="rId410" xr:uid="{00000000-0004-0000-0200-000099010000}"/>
    <hyperlink ref="J412" r:id="rId411" xr:uid="{00000000-0004-0000-0200-00009A010000}"/>
    <hyperlink ref="J413" r:id="rId412" xr:uid="{00000000-0004-0000-0200-00009B010000}"/>
    <hyperlink ref="J414" r:id="rId413" xr:uid="{00000000-0004-0000-0200-00009C010000}"/>
    <hyperlink ref="J415" r:id="rId414" xr:uid="{00000000-0004-0000-0200-00009D010000}"/>
    <hyperlink ref="J416" r:id="rId415" xr:uid="{00000000-0004-0000-0200-00009E010000}"/>
    <hyperlink ref="J417" r:id="rId416" xr:uid="{00000000-0004-0000-0200-00009F010000}"/>
    <hyperlink ref="J418" r:id="rId417" xr:uid="{00000000-0004-0000-0200-0000A0010000}"/>
    <hyperlink ref="J419" r:id="rId418" xr:uid="{00000000-0004-0000-0200-0000A1010000}"/>
    <hyperlink ref="J420" r:id="rId419" xr:uid="{00000000-0004-0000-0200-0000A2010000}"/>
    <hyperlink ref="J421" r:id="rId420" xr:uid="{00000000-0004-0000-0200-0000A3010000}"/>
    <hyperlink ref="J422" r:id="rId421" xr:uid="{00000000-0004-0000-0200-0000A4010000}"/>
    <hyperlink ref="J423" r:id="rId422" xr:uid="{00000000-0004-0000-0200-0000A5010000}"/>
    <hyperlink ref="J424" r:id="rId423" xr:uid="{00000000-0004-0000-0200-0000A6010000}"/>
    <hyperlink ref="J425" r:id="rId424" xr:uid="{00000000-0004-0000-0200-0000A7010000}"/>
    <hyperlink ref="J426" r:id="rId425" xr:uid="{00000000-0004-0000-0200-0000A8010000}"/>
    <hyperlink ref="J427" r:id="rId426" xr:uid="{00000000-0004-0000-0200-0000A9010000}"/>
    <hyperlink ref="J428" r:id="rId427" xr:uid="{00000000-0004-0000-0200-0000AA010000}"/>
    <hyperlink ref="J429" r:id="rId428" xr:uid="{00000000-0004-0000-0200-0000AB010000}"/>
    <hyperlink ref="J430" r:id="rId429" xr:uid="{00000000-0004-0000-0200-0000AC010000}"/>
    <hyperlink ref="J431" r:id="rId430" xr:uid="{00000000-0004-0000-0200-0000AD010000}"/>
    <hyperlink ref="J432" r:id="rId431" xr:uid="{00000000-0004-0000-0200-0000AE010000}"/>
    <hyperlink ref="J433" r:id="rId432" xr:uid="{00000000-0004-0000-0200-0000AF010000}"/>
    <hyperlink ref="J434" r:id="rId433" xr:uid="{00000000-0004-0000-0200-0000B0010000}"/>
    <hyperlink ref="J435" r:id="rId434" xr:uid="{00000000-0004-0000-0200-0000B1010000}"/>
    <hyperlink ref="J436" r:id="rId435" xr:uid="{00000000-0004-0000-0200-0000B2010000}"/>
    <hyperlink ref="J437" r:id="rId436" xr:uid="{00000000-0004-0000-0200-0000B3010000}"/>
    <hyperlink ref="J438" r:id="rId437" xr:uid="{00000000-0004-0000-0200-0000B4010000}"/>
    <hyperlink ref="J439" r:id="rId438" xr:uid="{00000000-0004-0000-0200-0000B5010000}"/>
    <hyperlink ref="J440" r:id="rId439" xr:uid="{00000000-0004-0000-0200-0000B6010000}"/>
    <hyperlink ref="J441" r:id="rId440" xr:uid="{00000000-0004-0000-0200-0000B7010000}"/>
    <hyperlink ref="J442" r:id="rId441" xr:uid="{00000000-0004-0000-0200-0000B8010000}"/>
    <hyperlink ref="J443" r:id="rId442" xr:uid="{00000000-0004-0000-0200-0000B9010000}"/>
    <hyperlink ref="J444" r:id="rId443" xr:uid="{00000000-0004-0000-0200-0000BA010000}"/>
    <hyperlink ref="J445" r:id="rId444" xr:uid="{00000000-0004-0000-0200-0000BB010000}"/>
    <hyperlink ref="J446" r:id="rId445" xr:uid="{00000000-0004-0000-0200-0000BC010000}"/>
    <hyperlink ref="J447" r:id="rId446" xr:uid="{00000000-0004-0000-0200-0000BD010000}"/>
    <hyperlink ref="J448" r:id="rId447" xr:uid="{00000000-0004-0000-0200-0000BE010000}"/>
    <hyperlink ref="J449" r:id="rId448" xr:uid="{00000000-0004-0000-0200-0000BF010000}"/>
    <hyperlink ref="J450" r:id="rId449" xr:uid="{00000000-0004-0000-0200-0000C0010000}"/>
    <hyperlink ref="J451" r:id="rId450" xr:uid="{00000000-0004-0000-0200-0000C1010000}"/>
    <hyperlink ref="J452" r:id="rId451" xr:uid="{00000000-0004-0000-0200-0000C2010000}"/>
    <hyperlink ref="J453" r:id="rId452" xr:uid="{00000000-0004-0000-0200-0000C3010000}"/>
    <hyperlink ref="J454" r:id="rId453" xr:uid="{00000000-0004-0000-0200-0000C4010000}"/>
    <hyperlink ref="J455" r:id="rId454" xr:uid="{00000000-0004-0000-0200-0000C5010000}"/>
    <hyperlink ref="J456" r:id="rId455" xr:uid="{00000000-0004-0000-0200-0000C6010000}"/>
    <hyperlink ref="J457" r:id="rId456" xr:uid="{00000000-0004-0000-0200-0000C7010000}"/>
    <hyperlink ref="J458" r:id="rId457" xr:uid="{00000000-0004-0000-0200-0000C8010000}"/>
    <hyperlink ref="J459" r:id="rId458" xr:uid="{00000000-0004-0000-0200-0000C9010000}"/>
    <hyperlink ref="J460" r:id="rId459" xr:uid="{00000000-0004-0000-0200-0000CA010000}"/>
    <hyperlink ref="J461" r:id="rId460" xr:uid="{00000000-0004-0000-0200-0000CB010000}"/>
    <hyperlink ref="J462" r:id="rId461" xr:uid="{00000000-0004-0000-0200-0000CC010000}"/>
    <hyperlink ref="J463" r:id="rId462" xr:uid="{00000000-0004-0000-0200-0000CD010000}"/>
    <hyperlink ref="J464" r:id="rId463" xr:uid="{00000000-0004-0000-0200-0000CE010000}"/>
    <hyperlink ref="J465" r:id="rId464" xr:uid="{00000000-0004-0000-0200-0000CF010000}"/>
    <hyperlink ref="J466" r:id="rId465" xr:uid="{00000000-0004-0000-0200-0000D0010000}"/>
    <hyperlink ref="J467" r:id="rId466" xr:uid="{00000000-0004-0000-0200-0000D1010000}"/>
    <hyperlink ref="J468" r:id="rId467" xr:uid="{00000000-0004-0000-0200-0000D2010000}"/>
    <hyperlink ref="J469" r:id="rId468" xr:uid="{00000000-0004-0000-0200-0000D3010000}"/>
    <hyperlink ref="J470" r:id="rId469" xr:uid="{00000000-0004-0000-0200-0000D4010000}"/>
    <hyperlink ref="J471" r:id="rId470" xr:uid="{00000000-0004-0000-0200-0000D5010000}"/>
    <hyperlink ref="J472" r:id="rId471" xr:uid="{00000000-0004-0000-0200-0000D6010000}"/>
    <hyperlink ref="J473" r:id="rId472" xr:uid="{00000000-0004-0000-0200-0000D7010000}"/>
    <hyperlink ref="J474" r:id="rId473" xr:uid="{00000000-0004-0000-0200-0000D8010000}"/>
    <hyperlink ref="J475" r:id="rId474" xr:uid="{00000000-0004-0000-0200-0000D9010000}"/>
    <hyperlink ref="J476" r:id="rId475" xr:uid="{00000000-0004-0000-0200-0000DA010000}"/>
    <hyperlink ref="J477" r:id="rId476" xr:uid="{00000000-0004-0000-0200-0000DB010000}"/>
    <hyperlink ref="J478" r:id="rId477" xr:uid="{00000000-0004-0000-0200-0000DC010000}"/>
    <hyperlink ref="J479" r:id="rId478" xr:uid="{00000000-0004-0000-0200-0000DD010000}"/>
    <hyperlink ref="J480" r:id="rId479" xr:uid="{00000000-0004-0000-0200-0000DE010000}"/>
    <hyperlink ref="J481" r:id="rId480" xr:uid="{00000000-0004-0000-0200-0000DF010000}"/>
    <hyperlink ref="J482" r:id="rId481" xr:uid="{00000000-0004-0000-0200-0000E0010000}"/>
    <hyperlink ref="J483" r:id="rId482" xr:uid="{00000000-0004-0000-0200-0000E1010000}"/>
    <hyperlink ref="J484" r:id="rId483" xr:uid="{00000000-0004-0000-0200-0000E2010000}"/>
    <hyperlink ref="J485" r:id="rId484" xr:uid="{00000000-0004-0000-0200-0000E3010000}"/>
    <hyperlink ref="J486" r:id="rId485" xr:uid="{00000000-0004-0000-0200-0000E4010000}"/>
    <hyperlink ref="J487" r:id="rId486" xr:uid="{00000000-0004-0000-0200-0000E5010000}"/>
    <hyperlink ref="J488" r:id="rId487" xr:uid="{00000000-0004-0000-0200-0000E6010000}"/>
    <hyperlink ref="J489" r:id="rId488" xr:uid="{00000000-0004-0000-0200-0000E7010000}"/>
    <hyperlink ref="J490" r:id="rId489" xr:uid="{00000000-0004-0000-0200-0000E8010000}"/>
    <hyperlink ref="J491" r:id="rId490" xr:uid="{00000000-0004-0000-0200-0000E9010000}"/>
    <hyperlink ref="J492" r:id="rId491" xr:uid="{00000000-0004-0000-0200-0000EA010000}"/>
    <hyperlink ref="J493" r:id="rId492" xr:uid="{00000000-0004-0000-0200-0000EB010000}"/>
    <hyperlink ref="J494" r:id="rId493" xr:uid="{00000000-0004-0000-0200-0000EC010000}"/>
    <hyperlink ref="J495" r:id="rId494" xr:uid="{00000000-0004-0000-0200-0000ED010000}"/>
    <hyperlink ref="J496" r:id="rId495" xr:uid="{00000000-0004-0000-0200-0000EE010000}"/>
    <hyperlink ref="J497" r:id="rId496" xr:uid="{00000000-0004-0000-0200-0000EF010000}"/>
    <hyperlink ref="J498" r:id="rId497" xr:uid="{00000000-0004-0000-0200-0000F0010000}"/>
    <hyperlink ref="J499" r:id="rId498" xr:uid="{00000000-0004-0000-0200-0000F1010000}"/>
    <hyperlink ref="J500" r:id="rId499" xr:uid="{00000000-0004-0000-0200-0000F2010000}"/>
    <hyperlink ref="J501" r:id="rId500" xr:uid="{00000000-0004-0000-0200-0000F3010000}"/>
    <hyperlink ref="J502" r:id="rId501" xr:uid="{00000000-0004-0000-0200-0000F4010000}"/>
    <hyperlink ref="J503" r:id="rId502" xr:uid="{00000000-0004-0000-0200-0000F5010000}"/>
    <hyperlink ref="J504" r:id="rId503" xr:uid="{00000000-0004-0000-0200-0000F6010000}"/>
    <hyperlink ref="J505" r:id="rId504" xr:uid="{00000000-0004-0000-0200-0000F7010000}"/>
    <hyperlink ref="J506" r:id="rId505" xr:uid="{00000000-0004-0000-0200-0000F8010000}"/>
    <hyperlink ref="J507" r:id="rId506" xr:uid="{00000000-0004-0000-0200-0000F9010000}"/>
    <hyperlink ref="J508" r:id="rId507" xr:uid="{00000000-0004-0000-0200-0000FA010000}"/>
    <hyperlink ref="J509" r:id="rId508" xr:uid="{00000000-0004-0000-0200-0000FB010000}"/>
    <hyperlink ref="J510" r:id="rId509" xr:uid="{00000000-0004-0000-0200-0000FC010000}"/>
    <hyperlink ref="J511" r:id="rId510" xr:uid="{00000000-0004-0000-0200-0000FD010000}"/>
    <hyperlink ref="J512" r:id="rId511" xr:uid="{00000000-0004-0000-0200-0000FE010000}"/>
    <hyperlink ref="J513" r:id="rId512" xr:uid="{00000000-0004-0000-0200-0000FF010000}"/>
    <hyperlink ref="J514" r:id="rId513" xr:uid="{00000000-0004-0000-0200-000000020000}"/>
    <hyperlink ref="J515" r:id="rId514" xr:uid="{00000000-0004-0000-0200-000001020000}"/>
    <hyperlink ref="J516" r:id="rId515" xr:uid="{00000000-0004-0000-0200-000002020000}"/>
    <hyperlink ref="J517" r:id="rId516" xr:uid="{00000000-0004-0000-0200-000003020000}"/>
    <hyperlink ref="J518" r:id="rId517" xr:uid="{00000000-0004-0000-0200-000004020000}"/>
    <hyperlink ref="J519" r:id="rId518" xr:uid="{00000000-0004-0000-0200-000005020000}"/>
    <hyperlink ref="J520" r:id="rId519" xr:uid="{00000000-0004-0000-0200-000006020000}"/>
    <hyperlink ref="J521" r:id="rId520" xr:uid="{00000000-0004-0000-0200-000007020000}"/>
    <hyperlink ref="J522" r:id="rId521" xr:uid="{00000000-0004-0000-0200-000008020000}"/>
    <hyperlink ref="J523" r:id="rId522" xr:uid="{00000000-0004-0000-0200-000009020000}"/>
    <hyperlink ref="J524" r:id="rId523" xr:uid="{00000000-0004-0000-0200-00000A020000}"/>
    <hyperlink ref="J525" r:id="rId524" xr:uid="{00000000-0004-0000-0200-00000B020000}"/>
    <hyperlink ref="J526" r:id="rId525" xr:uid="{00000000-0004-0000-0200-00000C020000}"/>
    <hyperlink ref="J527" r:id="rId526" xr:uid="{00000000-0004-0000-0200-00000D020000}"/>
    <hyperlink ref="J528" r:id="rId527" xr:uid="{00000000-0004-0000-0200-00000E020000}"/>
    <hyperlink ref="J529" r:id="rId528" xr:uid="{00000000-0004-0000-0200-00000F020000}"/>
    <hyperlink ref="J530" r:id="rId529" xr:uid="{00000000-0004-0000-0200-000010020000}"/>
    <hyperlink ref="J531" r:id="rId530" xr:uid="{00000000-0004-0000-0200-000011020000}"/>
    <hyperlink ref="J532" r:id="rId531" xr:uid="{00000000-0004-0000-0200-000012020000}"/>
    <hyperlink ref="J533" r:id="rId532" xr:uid="{00000000-0004-0000-0200-000013020000}"/>
    <hyperlink ref="J534" r:id="rId533" xr:uid="{00000000-0004-0000-0200-000014020000}"/>
    <hyperlink ref="J535" r:id="rId534" xr:uid="{00000000-0004-0000-0200-000015020000}"/>
    <hyperlink ref="J536" r:id="rId535" xr:uid="{00000000-0004-0000-0200-000016020000}"/>
    <hyperlink ref="J537" r:id="rId536" xr:uid="{00000000-0004-0000-0200-000017020000}"/>
    <hyperlink ref="J538" r:id="rId537" xr:uid="{00000000-0004-0000-0200-000018020000}"/>
    <hyperlink ref="J539" r:id="rId538" xr:uid="{00000000-0004-0000-0200-000019020000}"/>
    <hyperlink ref="J540" r:id="rId539" xr:uid="{00000000-0004-0000-0200-00001A020000}"/>
    <hyperlink ref="J541" r:id="rId540" xr:uid="{00000000-0004-0000-0200-00001B020000}"/>
    <hyperlink ref="J542" r:id="rId541" xr:uid="{00000000-0004-0000-0200-00001C020000}"/>
    <hyperlink ref="J543" r:id="rId542" xr:uid="{00000000-0004-0000-0200-00001D020000}"/>
    <hyperlink ref="J544" r:id="rId543" xr:uid="{00000000-0004-0000-0200-00001E020000}"/>
    <hyperlink ref="J545" r:id="rId544" xr:uid="{00000000-0004-0000-0200-00001F020000}"/>
    <hyperlink ref="J546" r:id="rId545" xr:uid="{00000000-0004-0000-0200-000020020000}"/>
    <hyperlink ref="J547" r:id="rId546" xr:uid="{00000000-0004-0000-0200-000021020000}"/>
    <hyperlink ref="J548" r:id="rId547" xr:uid="{00000000-0004-0000-0200-000022020000}"/>
    <hyperlink ref="J549" r:id="rId548" xr:uid="{00000000-0004-0000-0200-000023020000}"/>
    <hyperlink ref="J550" r:id="rId549" xr:uid="{00000000-0004-0000-0200-000024020000}"/>
    <hyperlink ref="J551" r:id="rId550" xr:uid="{00000000-0004-0000-0200-000025020000}"/>
    <hyperlink ref="J552" r:id="rId551" xr:uid="{00000000-0004-0000-0200-000026020000}"/>
    <hyperlink ref="J553" r:id="rId552" xr:uid="{00000000-0004-0000-0200-000027020000}"/>
    <hyperlink ref="J554" r:id="rId553" xr:uid="{00000000-0004-0000-0200-000028020000}"/>
    <hyperlink ref="J555" r:id="rId554" xr:uid="{00000000-0004-0000-0200-000029020000}"/>
    <hyperlink ref="J556" r:id="rId555" xr:uid="{00000000-0004-0000-0200-00002A020000}"/>
    <hyperlink ref="J557" r:id="rId556" xr:uid="{00000000-0004-0000-0200-00002B020000}"/>
    <hyperlink ref="J558" r:id="rId557" xr:uid="{00000000-0004-0000-0200-00002C020000}"/>
    <hyperlink ref="J559" r:id="rId558" xr:uid="{00000000-0004-0000-0200-00002D020000}"/>
    <hyperlink ref="J560" r:id="rId559" xr:uid="{00000000-0004-0000-0200-00002E020000}"/>
    <hyperlink ref="J561" r:id="rId560" xr:uid="{00000000-0004-0000-0200-00002F020000}"/>
    <hyperlink ref="J562" r:id="rId561" xr:uid="{00000000-0004-0000-0200-000030020000}"/>
    <hyperlink ref="J563" r:id="rId562" xr:uid="{00000000-0004-0000-0200-000031020000}"/>
    <hyperlink ref="J564" r:id="rId563" xr:uid="{00000000-0004-0000-0200-000032020000}"/>
    <hyperlink ref="J565" r:id="rId564" xr:uid="{00000000-0004-0000-0200-000033020000}"/>
    <hyperlink ref="J566" r:id="rId565" xr:uid="{00000000-0004-0000-0200-000034020000}"/>
    <hyperlink ref="J567" r:id="rId566" xr:uid="{00000000-0004-0000-0200-000035020000}"/>
    <hyperlink ref="J568" r:id="rId567" xr:uid="{00000000-0004-0000-0200-000036020000}"/>
    <hyperlink ref="J569" r:id="rId568" xr:uid="{00000000-0004-0000-0200-000037020000}"/>
    <hyperlink ref="J570" r:id="rId569" xr:uid="{00000000-0004-0000-0200-000038020000}"/>
    <hyperlink ref="J571" r:id="rId570" xr:uid="{00000000-0004-0000-0200-000039020000}"/>
    <hyperlink ref="J572" r:id="rId571" xr:uid="{00000000-0004-0000-0200-00003A020000}"/>
    <hyperlink ref="J573" r:id="rId572" xr:uid="{00000000-0004-0000-0200-00003B020000}"/>
    <hyperlink ref="J574" r:id="rId573" xr:uid="{00000000-0004-0000-0200-00003C020000}"/>
    <hyperlink ref="J575" r:id="rId574" xr:uid="{00000000-0004-0000-0200-00003D020000}"/>
    <hyperlink ref="J576" r:id="rId575" xr:uid="{00000000-0004-0000-0200-00003E020000}"/>
    <hyperlink ref="J577" r:id="rId576" xr:uid="{00000000-0004-0000-0200-00003F020000}"/>
    <hyperlink ref="J578" r:id="rId577" xr:uid="{00000000-0004-0000-0200-000040020000}"/>
    <hyperlink ref="J579" r:id="rId578" xr:uid="{00000000-0004-0000-0200-000041020000}"/>
    <hyperlink ref="J580" r:id="rId579" xr:uid="{00000000-0004-0000-0200-000042020000}"/>
    <hyperlink ref="J581" r:id="rId580" xr:uid="{00000000-0004-0000-0200-000043020000}"/>
    <hyperlink ref="J582" r:id="rId581" xr:uid="{00000000-0004-0000-0200-000044020000}"/>
    <hyperlink ref="J583" r:id="rId582" xr:uid="{00000000-0004-0000-0200-000045020000}"/>
    <hyperlink ref="J584" r:id="rId583" xr:uid="{00000000-0004-0000-0200-000046020000}"/>
    <hyperlink ref="J585" r:id="rId584" xr:uid="{00000000-0004-0000-0200-000047020000}"/>
    <hyperlink ref="J586" r:id="rId585" xr:uid="{00000000-0004-0000-0200-000048020000}"/>
    <hyperlink ref="J587" r:id="rId586" xr:uid="{00000000-0004-0000-0200-000049020000}"/>
    <hyperlink ref="J588" r:id="rId587" xr:uid="{00000000-0004-0000-0200-00004A020000}"/>
    <hyperlink ref="J589" r:id="rId588" xr:uid="{00000000-0004-0000-0200-00004B020000}"/>
    <hyperlink ref="J590" r:id="rId589" xr:uid="{00000000-0004-0000-0200-00004C020000}"/>
    <hyperlink ref="J591" r:id="rId590" xr:uid="{00000000-0004-0000-0200-00004D020000}"/>
    <hyperlink ref="J592" r:id="rId591" xr:uid="{00000000-0004-0000-0200-00004E020000}"/>
    <hyperlink ref="J593" r:id="rId592" xr:uid="{00000000-0004-0000-0200-00004F020000}"/>
    <hyperlink ref="J594" r:id="rId593" xr:uid="{00000000-0004-0000-0200-000050020000}"/>
    <hyperlink ref="J595" r:id="rId594" xr:uid="{00000000-0004-0000-0200-000051020000}"/>
    <hyperlink ref="J596" r:id="rId595" xr:uid="{00000000-0004-0000-0200-000052020000}"/>
    <hyperlink ref="J597" r:id="rId596" xr:uid="{00000000-0004-0000-0200-000053020000}"/>
    <hyperlink ref="J598" r:id="rId597" xr:uid="{00000000-0004-0000-0200-000054020000}"/>
    <hyperlink ref="J599" r:id="rId598" xr:uid="{00000000-0004-0000-0200-000055020000}"/>
    <hyperlink ref="J600" r:id="rId599" xr:uid="{00000000-0004-0000-0200-000056020000}"/>
    <hyperlink ref="J601" r:id="rId600" xr:uid="{00000000-0004-0000-0200-000057020000}"/>
    <hyperlink ref="J602" r:id="rId601" xr:uid="{00000000-0004-0000-0200-000058020000}"/>
    <hyperlink ref="J603" r:id="rId602" xr:uid="{00000000-0004-0000-0200-000059020000}"/>
    <hyperlink ref="J604" r:id="rId603" xr:uid="{00000000-0004-0000-0200-00005A020000}"/>
    <hyperlink ref="J605" r:id="rId604" xr:uid="{00000000-0004-0000-0200-00005B020000}"/>
    <hyperlink ref="J606" r:id="rId605" xr:uid="{00000000-0004-0000-0200-00005C020000}"/>
    <hyperlink ref="J607" r:id="rId606" xr:uid="{00000000-0004-0000-0200-00005D020000}"/>
    <hyperlink ref="J608" r:id="rId607" xr:uid="{00000000-0004-0000-0200-00005E020000}"/>
    <hyperlink ref="J609" r:id="rId608" xr:uid="{00000000-0004-0000-0200-00005F020000}"/>
    <hyperlink ref="J610" r:id="rId609" xr:uid="{00000000-0004-0000-0200-000060020000}"/>
    <hyperlink ref="J611" r:id="rId610" xr:uid="{00000000-0004-0000-0200-000061020000}"/>
    <hyperlink ref="J612" r:id="rId611" xr:uid="{00000000-0004-0000-0200-000062020000}"/>
    <hyperlink ref="J613" r:id="rId612" xr:uid="{00000000-0004-0000-0200-000063020000}"/>
    <hyperlink ref="J614" r:id="rId613" xr:uid="{00000000-0004-0000-0200-000064020000}"/>
    <hyperlink ref="J615" r:id="rId614" xr:uid="{00000000-0004-0000-0200-000065020000}"/>
    <hyperlink ref="J616" r:id="rId615" xr:uid="{00000000-0004-0000-0200-000066020000}"/>
    <hyperlink ref="J617" r:id="rId616" xr:uid="{00000000-0004-0000-0200-000067020000}"/>
    <hyperlink ref="J618" r:id="rId617" xr:uid="{00000000-0004-0000-0200-000068020000}"/>
    <hyperlink ref="J619" r:id="rId618" xr:uid="{00000000-0004-0000-0200-000069020000}"/>
    <hyperlink ref="J620" r:id="rId619" xr:uid="{00000000-0004-0000-0200-00006A020000}"/>
    <hyperlink ref="J621" r:id="rId620" xr:uid="{00000000-0004-0000-0200-00006B020000}"/>
    <hyperlink ref="J622" r:id="rId621" xr:uid="{00000000-0004-0000-0200-00006C020000}"/>
    <hyperlink ref="J623" r:id="rId622" xr:uid="{00000000-0004-0000-0200-00006D020000}"/>
    <hyperlink ref="J624" r:id="rId623" xr:uid="{00000000-0004-0000-0200-00006E020000}"/>
    <hyperlink ref="J625" r:id="rId624" xr:uid="{00000000-0004-0000-0200-00006F020000}"/>
    <hyperlink ref="J626" r:id="rId625" xr:uid="{00000000-0004-0000-0200-000070020000}"/>
    <hyperlink ref="J627" r:id="rId626" xr:uid="{00000000-0004-0000-0200-000071020000}"/>
    <hyperlink ref="J628" r:id="rId627" xr:uid="{00000000-0004-0000-0200-000072020000}"/>
    <hyperlink ref="J629" r:id="rId628" xr:uid="{00000000-0004-0000-0200-000073020000}"/>
    <hyperlink ref="J630" r:id="rId629" xr:uid="{00000000-0004-0000-0200-000074020000}"/>
    <hyperlink ref="J631" r:id="rId630" xr:uid="{00000000-0004-0000-0200-000075020000}"/>
    <hyperlink ref="J632" r:id="rId631" xr:uid="{00000000-0004-0000-0200-000076020000}"/>
    <hyperlink ref="J633" r:id="rId632" xr:uid="{00000000-0004-0000-0200-000077020000}"/>
    <hyperlink ref="J634" r:id="rId633" xr:uid="{00000000-0004-0000-0200-000078020000}"/>
    <hyperlink ref="J635" r:id="rId634" xr:uid="{00000000-0004-0000-0200-000079020000}"/>
    <hyperlink ref="J636" r:id="rId635" xr:uid="{00000000-0004-0000-0200-00007A020000}"/>
    <hyperlink ref="J637" r:id="rId636" xr:uid="{00000000-0004-0000-0200-00007B020000}"/>
    <hyperlink ref="J638" r:id="rId637" xr:uid="{00000000-0004-0000-0200-00007C020000}"/>
    <hyperlink ref="J639" r:id="rId638" xr:uid="{00000000-0004-0000-0200-00007D020000}"/>
    <hyperlink ref="J640" r:id="rId639" xr:uid="{00000000-0004-0000-0200-00007E020000}"/>
    <hyperlink ref="J641" r:id="rId640" xr:uid="{00000000-0004-0000-0200-00007F020000}"/>
    <hyperlink ref="J642" r:id="rId641" xr:uid="{00000000-0004-0000-0200-000080020000}"/>
    <hyperlink ref="J643" r:id="rId642" xr:uid="{00000000-0004-0000-0200-000081020000}"/>
    <hyperlink ref="J644" r:id="rId643" xr:uid="{00000000-0004-0000-0200-000082020000}"/>
    <hyperlink ref="J645" r:id="rId644" xr:uid="{00000000-0004-0000-0200-000083020000}"/>
    <hyperlink ref="J646" r:id="rId645" xr:uid="{00000000-0004-0000-0200-000084020000}"/>
    <hyperlink ref="J647" r:id="rId646" xr:uid="{00000000-0004-0000-0200-000085020000}"/>
    <hyperlink ref="J648" r:id="rId647" xr:uid="{00000000-0004-0000-0200-000086020000}"/>
    <hyperlink ref="J649" r:id="rId648" xr:uid="{00000000-0004-0000-0200-000087020000}"/>
    <hyperlink ref="J650" r:id="rId649" xr:uid="{00000000-0004-0000-0200-000088020000}"/>
    <hyperlink ref="J651" r:id="rId650" xr:uid="{00000000-0004-0000-0200-000089020000}"/>
    <hyperlink ref="J652" r:id="rId651" xr:uid="{00000000-0004-0000-0200-00008A020000}"/>
    <hyperlink ref="J653" r:id="rId652" xr:uid="{00000000-0004-0000-0200-00008B020000}"/>
    <hyperlink ref="J654" r:id="rId653" xr:uid="{00000000-0004-0000-0200-00008C020000}"/>
    <hyperlink ref="J655" r:id="rId654" xr:uid="{00000000-0004-0000-0200-00008D020000}"/>
    <hyperlink ref="J656" r:id="rId655" xr:uid="{00000000-0004-0000-0200-00008E020000}"/>
    <hyperlink ref="J657" r:id="rId656" xr:uid="{00000000-0004-0000-0200-00008F020000}"/>
    <hyperlink ref="J658" r:id="rId657" xr:uid="{00000000-0004-0000-0200-000090020000}"/>
    <hyperlink ref="J659" r:id="rId658" xr:uid="{00000000-0004-0000-0200-000091020000}"/>
    <hyperlink ref="J660" r:id="rId659" xr:uid="{00000000-0004-0000-0200-000092020000}"/>
    <hyperlink ref="J661" r:id="rId660" xr:uid="{00000000-0004-0000-0200-000093020000}"/>
    <hyperlink ref="J662" r:id="rId661" xr:uid="{00000000-0004-0000-0200-000094020000}"/>
    <hyperlink ref="J663" r:id="rId662" xr:uid="{00000000-0004-0000-0200-000095020000}"/>
    <hyperlink ref="J664" r:id="rId663" xr:uid="{00000000-0004-0000-0200-000096020000}"/>
    <hyperlink ref="J665" r:id="rId664" xr:uid="{00000000-0004-0000-0200-000097020000}"/>
    <hyperlink ref="J666" r:id="rId665" xr:uid="{00000000-0004-0000-0200-000098020000}"/>
    <hyperlink ref="J667" r:id="rId666" xr:uid="{00000000-0004-0000-0200-000099020000}"/>
    <hyperlink ref="J668" r:id="rId667" xr:uid="{00000000-0004-0000-0200-00009A020000}"/>
    <hyperlink ref="J669" r:id="rId668" xr:uid="{00000000-0004-0000-0200-00009B020000}"/>
    <hyperlink ref="J670" r:id="rId669" xr:uid="{00000000-0004-0000-0200-00009C020000}"/>
    <hyperlink ref="J671" r:id="rId670" xr:uid="{00000000-0004-0000-0200-00009D020000}"/>
    <hyperlink ref="J672" r:id="rId671" xr:uid="{00000000-0004-0000-0200-00009E020000}"/>
    <hyperlink ref="J673" r:id="rId672" xr:uid="{00000000-0004-0000-0200-00009F020000}"/>
    <hyperlink ref="J674" r:id="rId673" xr:uid="{00000000-0004-0000-0200-0000A0020000}"/>
    <hyperlink ref="J675" r:id="rId674" xr:uid="{00000000-0004-0000-0200-0000A1020000}"/>
    <hyperlink ref="J676" r:id="rId675" xr:uid="{00000000-0004-0000-0200-0000A2020000}"/>
    <hyperlink ref="J677" r:id="rId676" xr:uid="{00000000-0004-0000-0200-0000A3020000}"/>
    <hyperlink ref="J678" r:id="rId677" xr:uid="{00000000-0004-0000-0200-0000A4020000}"/>
    <hyperlink ref="J679" r:id="rId678" xr:uid="{00000000-0004-0000-0200-0000A5020000}"/>
    <hyperlink ref="J680" r:id="rId679" xr:uid="{00000000-0004-0000-0200-0000A6020000}"/>
    <hyperlink ref="J681" r:id="rId680" xr:uid="{00000000-0004-0000-0200-0000A7020000}"/>
    <hyperlink ref="J682" r:id="rId681" xr:uid="{00000000-0004-0000-0200-0000A8020000}"/>
    <hyperlink ref="J683" r:id="rId682" xr:uid="{00000000-0004-0000-0200-0000A9020000}"/>
    <hyperlink ref="J684" r:id="rId683" xr:uid="{00000000-0004-0000-0200-0000AA020000}"/>
    <hyperlink ref="J685" r:id="rId684" xr:uid="{00000000-0004-0000-0200-0000AB020000}"/>
    <hyperlink ref="J686" r:id="rId685" xr:uid="{00000000-0004-0000-0200-0000AC020000}"/>
    <hyperlink ref="J687" r:id="rId686" xr:uid="{00000000-0004-0000-0200-0000AD020000}"/>
    <hyperlink ref="J688" r:id="rId687" xr:uid="{00000000-0004-0000-0200-0000AE020000}"/>
    <hyperlink ref="J689" r:id="rId688" xr:uid="{00000000-0004-0000-0200-0000AF020000}"/>
    <hyperlink ref="J690" r:id="rId689" xr:uid="{00000000-0004-0000-0200-0000B0020000}"/>
    <hyperlink ref="J691" r:id="rId690" xr:uid="{00000000-0004-0000-0200-0000B1020000}"/>
    <hyperlink ref="J692" r:id="rId691" xr:uid="{00000000-0004-0000-0200-0000B2020000}"/>
    <hyperlink ref="J693" r:id="rId692" xr:uid="{00000000-0004-0000-0200-0000B3020000}"/>
    <hyperlink ref="J694" r:id="rId693" xr:uid="{00000000-0004-0000-0200-0000B4020000}"/>
    <hyperlink ref="J695" r:id="rId694" xr:uid="{00000000-0004-0000-0200-0000B5020000}"/>
    <hyperlink ref="J696" r:id="rId695" xr:uid="{00000000-0004-0000-0200-0000B6020000}"/>
    <hyperlink ref="J697" r:id="rId696" xr:uid="{00000000-0004-0000-0200-0000B7020000}"/>
    <hyperlink ref="J698" r:id="rId697" xr:uid="{00000000-0004-0000-0200-0000B8020000}"/>
    <hyperlink ref="J699" r:id="rId698" xr:uid="{00000000-0004-0000-0200-0000B9020000}"/>
    <hyperlink ref="J700" r:id="rId699" xr:uid="{00000000-0004-0000-0200-0000BA020000}"/>
    <hyperlink ref="J701" r:id="rId700" xr:uid="{00000000-0004-0000-0200-0000BB020000}"/>
    <hyperlink ref="J702" r:id="rId701" xr:uid="{00000000-0004-0000-0200-0000BC020000}"/>
    <hyperlink ref="J703" r:id="rId702" xr:uid="{00000000-0004-0000-0200-0000BD020000}"/>
    <hyperlink ref="J704" r:id="rId703" xr:uid="{00000000-0004-0000-0200-0000BE020000}"/>
    <hyperlink ref="J705" r:id="rId704" xr:uid="{00000000-0004-0000-0200-0000BF020000}"/>
    <hyperlink ref="J706" r:id="rId705" xr:uid="{00000000-0004-0000-0200-0000C0020000}"/>
    <hyperlink ref="J707" r:id="rId706" xr:uid="{00000000-0004-0000-0200-0000C1020000}"/>
    <hyperlink ref="J708" r:id="rId707" xr:uid="{00000000-0004-0000-0200-0000C2020000}"/>
    <hyperlink ref="J709" r:id="rId708" xr:uid="{00000000-0004-0000-0200-0000C3020000}"/>
    <hyperlink ref="J710" r:id="rId709" xr:uid="{00000000-0004-0000-0200-0000C4020000}"/>
    <hyperlink ref="J711" r:id="rId710" xr:uid="{00000000-0004-0000-0200-0000C5020000}"/>
    <hyperlink ref="J712" r:id="rId711" xr:uid="{00000000-0004-0000-0200-0000C6020000}"/>
    <hyperlink ref="J713" r:id="rId712" xr:uid="{00000000-0004-0000-0200-0000C7020000}"/>
    <hyperlink ref="J714" r:id="rId713" xr:uid="{00000000-0004-0000-0200-0000C8020000}"/>
    <hyperlink ref="J715" r:id="rId714" xr:uid="{00000000-0004-0000-0200-0000C9020000}"/>
    <hyperlink ref="J716" r:id="rId715" xr:uid="{00000000-0004-0000-0200-0000CA020000}"/>
    <hyperlink ref="J717" r:id="rId716" xr:uid="{00000000-0004-0000-0200-0000CB020000}"/>
    <hyperlink ref="J718" r:id="rId717" xr:uid="{00000000-0004-0000-0200-0000CC020000}"/>
    <hyperlink ref="J719" r:id="rId718" xr:uid="{00000000-0004-0000-0200-0000CD020000}"/>
    <hyperlink ref="J720" r:id="rId719" xr:uid="{00000000-0004-0000-0200-0000CE020000}"/>
    <hyperlink ref="J721" r:id="rId720" xr:uid="{00000000-0004-0000-0200-0000CF020000}"/>
    <hyperlink ref="J722" r:id="rId721" xr:uid="{00000000-0004-0000-0200-0000D0020000}"/>
    <hyperlink ref="J723" r:id="rId722" xr:uid="{00000000-0004-0000-0200-0000D1020000}"/>
    <hyperlink ref="J724" r:id="rId723" xr:uid="{00000000-0004-0000-0200-0000D2020000}"/>
    <hyperlink ref="J725" r:id="rId724" xr:uid="{00000000-0004-0000-0200-0000D3020000}"/>
    <hyperlink ref="J726" r:id="rId725" xr:uid="{00000000-0004-0000-0200-0000D4020000}"/>
    <hyperlink ref="J727" r:id="rId726" xr:uid="{00000000-0004-0000-0200-0000D5020000}"/>
    <hyperlink ref="J728" r:id="rId727" xr:uid="{00000000-0004-0000-0200-0000D6020000}"/>
    <hyperlink ref="J729" r:id="rId728" xr:uid="{00000000-0004-0000-0200-0000D7020000}"/>
    <hyperlink ref="J730" r:id="rId729" xr:uid="{00000000-0004-0000-0200-0000D8020000}"/>
    <hyperlink ref="J731" r:id="rId730" xr:uid="{00000000-0004-0000-0200-0000D9020000}"/>
    <hyperlink ref="J732" r:id="rId731" xr:uid="{00000000-0004-0000-0200-0000DA020000}"/>
    <hyperlink ref="J733" r:id="rId732" xr:uid="{00000000-0004-0000-0200-0000DB020000}"/>
    <hyperlink ref="J734" r:id="rId733" xr:uid="{00000000-0004-0000-0200-0000DC020000}"/>
    <hyperlink ref="J735" r:id="rId734" xr:uid="{00000000-0004-0000-0200-0000DD020000}"/>
    <hyperlink ref="J736" r:id="rId735" xr:uid="{00000000-0004-0000-0200-0000DE020000}"/>
    <hyperlink ref="J737" r:id="rId736" xr:uid="{00000000-0004-0000-0200-0000DF020000}"/>
    <hyperlink ref="J738" r:id="rId737" xr:uid="{00000000-0004-0000-0200-0000E0020000}"/>
    <hyperlink ref="J739" r:id="rId738" xr:uid="{00000000-0004-0000-0200-0000E1020000}"/>
    <hyperlink ref="J740" r:id="rId739" xr:uid="{00000000-0004-0000-0200-0000E2020000}"/>
    <hyperlink ref="J741" r:id="rId740" xr:uid="{00000000-0004-0000-0200-0000E3020000}"/>
    <hyperlink ref="J742" r:id="rId741" xr:uid="{00000000-0004-0000-0200-0000E4020000}"/>
    <hyperlink ref="J743" r:id="rId742" xr:uid="{00000000-0004-0000-0200-0000E5020000}"/>
    <hyperlink ref="J744" r:id="rId743" xr:uid="{00000000-0004-0000-0200-0000E6020000}"/>
    <hyperlink ref="J745" r:id="rId744" xr:uid="{00000000-0004-0000-0200-0000E7020000}"/>
    <hyperlink ref="J746" r:id="rId745" xr:uid="{00000000-0004-0000-0200-0000E8020000}"/>
    <hyperlink ref="J747" r:id="rId746" xr:uid="{00000000-0004-0000-0200-0000E9020000}"/>
    <hyperlink ref="J748" r:id="rId747" xr:uid="{00000000-0004-0000-0200-0000EA020000}"/>
    <hyperlink ref="J749" r:id="rId748" xr:uid="{00000000-0004-0000-0200-0000EB020000}"/>
    <hyperlink ref="J750" r:id="rId749" xr:uid="{00000000-0004-0000-0200-0000EC020000}"/>
    <hyperlink ref="J751" r:id="rId750" xr:uid="{00000000-0004-0000-0200-0000ED020000}"/>
    <hyperlink ref="J752" r:id="rId751" xr:uid="{00000000-0004-0000-0200-0000EE020000}"/>
    <hyperlink ref="J753" r:id="rId752" xr:uid="{00000000-0004-0000-0200-0000EF020000}"/>
    <hyperlink ref="J754" r:id="rId753" xr:uid="{00000000-0004-0000-0200-0000F0020000}"/>
    <hyperlink ref="J755" r:id="rId754" xr:uid="{00000000-0004-0000-0200-0000F1020000}"/>
    <hyperlink ref="J756" r:id="rId755" xr:uid="{00000000-0004-0000-0200-0000F2020000}"/>
    <hyperlink ref="J757" r:id="rId756" xr:uid="{00000000-0004-0000-0200-0000F3020000}"/>
    <hyperlink ref="J758" r:id="rId757" xr:uid="{00000000-0004-0000-0200-0000F4020000}"/>
    <hyperlink ref="J759" r:id="rId758" xr:uid="{00000000-0004-0000-0200-0000F5020000}"/>
    <hyperlink ref="J760" r:id="rId759" xr:uid="{00000000-0004-0000-0200-0000F6020000}"/>
    <hyperlink ref="J761" r:id="rId760" xr:uid="{00000000-0004-0000-0200-0000F7020000}"/>
    <hyperlink ref="J762" r:id="rId761" xr:uid="{00000000-0004-0000-0200-0000F8020000}"/>
    <hyperlink ref="J763" r:id="rId762" xr:uid="{00000000-0004-0000-0200-0000F9020000}"/>
    <hyperlink ref="J764" r:id="rId763" xr:uid="{00000000-0004-0000-0200-0000FA020000}"/>
    <hyperlink ref="J765" r:id="rId764" xr:uid="{00000000-0004-0000-0200-0000FB020000}"/>
    <hyperlink ref="J766" r:id="rId765" xr:uid="{00000000-0004-0000-0200-0000FC020000}"/>
    <hyperlink ref="J767" r:id="rId766" xr:uid="{00000000-0004-0000-0200-0000FD020000}"/>
    <hyperlink ref="J768" r:id="rId767" xr:uid="{00000000-0004-0000-0200-0000FE020000}"/>
    <hyperlink ref="J769" r:id="rId768" xr:uid="{00000000-0004-0000-0200-0000FF020000}"/>
    <hyperlink ref="J770" r:id="rId769" xr:uid="{00000000-0004-0000-0200-000000030000}"/>
    <hyperlink ref="J771" r:id="rId770" xr:uid="{00000000-0004-0000-0200-000001030000}"/>
    <hyperlink ref="J772" r:id="rId771" xr:uid="{00000000-0004-0000-0200-000002030000}"/>
    <hyperlink ref="J773" r:id="rId772" xr:uid="{00000000-0004-0000-0200-000003030000}"/>
    <hyperlink ref="J774" r:id="rId773" xr:uid="{00000000-0004-0000-0200-000004030000}"/>
    <hyperlink ref="J775" r:id="rId774" xr:uid="{00000000-0004-0000-0200-000005030000}"/>
    <hyperlink ref="J776" r:id="rId775" xr:uid="{00000000-0004-0000-0200-000006030000}"/>
    <hyperlink ref="J777" r:id="rId776" xr:uid="{00000000-0004-0000-0200-000007030000}"/>
    <hyperlink ref="J778" r:id="rId777" xr:uid="{00000000-0004-0000-0200-000008030000}"/>
    <hyperlink ref="J779" r:id="rId778" xr:uid="{00000000-0004-0000-0200-000009030000}"/>
    <hyperlink ref="J780" r:id="rId779" xr:uid="{00000000-0004-0000-0200-00000A030000}"/>
    <hyperlink ref="J781" r:id="rId780" xr:uid="{00000000-0004-0000-0200-00000B030000}"/>
    <hyperlink ref="J782" r:id="rId781" xr:uid="{00000000-0004-0000-0200-00000C030000}"/>
    <hyperlink ref="J783" r:id="rId782" xr:uid="{00000000-0004-0000-0200-00000D030000}"/>
    <hyperlink ref="J784" r:id="rId783" xr:uid="{00000000-0004-0000-0200-00000E030000}"/>
    <hyperlink ref="J785" r:id="rId784" xr:uid="{00000000-0004-0000-0200-00000F030000}"/>
    <hyperlink ref="J786" r:id="rId785" xr:uid="{00000000-0004-0000-0200-000010030000}"/>
    <hyperlink ref="J787" r:id="rId786" xr:uid="{00000000-0004-0000-0200-000011030000}"/>
    <hyperlink ref="J788" r:id="rId787" xr:uid="{00000000-0004-0000-0200-000012030000}"/>
    <hyperlink ref="J789" r:id="rId788" xr:uid="{00000000-0004-0000-0200-000013030000}"/>
    <hyperlink ref="J790" r:id="rId789" xr:uid="{00000000-0004-0000-0200-000014030000}"/>
    <hyperlink ref="J791" r:id="rId790" xr:uid="{00000000-0004-0000-0200-000015030000}"/>
    <hyperlink ref="J792" r:id="rId791" xr:uid="{00000000-0004-0000-0200-000016030000}"/>
    <hyperlink ref="J793" r:id="rId792" xr:uid="{00000000-0004-0000-0200-000017030000}"/>
    <hyperlink ref="J794" r:id="rId793" xr:uid="{00000000-0004-0000-0200-000018030000}"/>
    <hyperlink ref="J795" r:id="rId794" xr:uid="{00000000-0004-0000-0200-000019030000}"/>
    <hyperlink ref="J796" r:id="rId795" xr:uid="{00000000-0004-0000-0200-00001A030000}"/>
    <hyperlink ref="J797" r:id="rId796" xr:uid="{00000000-0004-0000-0200-00001B030000}"/>
    <hyperlink ref="J798" r:id="rId797" xr:uid="{00000000-0004-0000-0200-00001C030000}"/>
    <hyperlink ref="J799" r:id="rId798" xr:uid="{00000000-0004-0000-0200-00001D030000}"/>
    <hyperlink ref="J800" r:id="rId799" xr:uid="{00000000-0004-0000-0200-00001E030000}"/>
    <hyperlink ref="J801" r:id="rId800" xr:uid="{00000000-0004-0000-0200-00001F030000}"/>
    <hyperlink ref="J802" r:id="rId801" xr:uid="{00000000-0004-0000-0200-000020030000}"/>
    <hyperlink ref="J803" r:id="rId802" xr:uid="{00000000-0004-0000-0200-000021030000}"/>
    <hyperlink ref="J804" r:id="rId803" xr:uid="{00000000-0004-0000-0200-000022030000}"/>
    <hyperlink ref="J805" r:id="rId804" xr:uid="{00000000-0004-0000-0200-000023030000}"/>
    <hyperlink ref="J806" r:id="rId805" xr:uid="{00000000-0004-0000-0200-000024030000}"/>
    <hyperlink ref="J807" r:id="rId806" xr:uid="{00000000-0004-0000-0200-000025030000}"/>
    <hyperlink ref="J808" r:id="rId807" xr:uid="{00000000-0004-0000-0200-000026030000}"/>
    <hyperlink ref="J809" r:id="rId808" xr:uid="{00000000-0004-0000-0200-000027030000}"/>
    <hyperlink ref="J810" r:id="rId809" xr:uid="{00000000-0004-0000-0200-000028030000}"/>
    <hyperlink ref="J811" r:id="rId810" xr:uid="{00000000-0004-0000-0200-000029030000}"/>
    <hyperlink ref="J812" r:id="rId811" xr:uid="{00000000-0004-0000-0200-00002A030000}"/>
    <hyperlink ref="J813" r:id="rId812" xr:uid="{00000000-0004-0000-0200-00002B030000}"/>
    <hyperlink ref="J814" r:id="rId813" xr:uid="{00000000-0004-0000-0200-00002C030000}"/>
    <hyperlink ref="J815" r:id="rId814" xr:uid="{00000000-0004-0000-0200-00002D030000}"/>
    <hyperlink ref="J816" r:id="rId815" xr:uid="{00000000-0004-0000-0200-00002E030000}"/>
    <hyperlink ref="J817" r:id="rId816" xr:uid="{00000000-0004-0000-0200-00002F030000}"/>
    <hyperlink ref="J818" r:id="rId817" xr:uid="{00000000-0004-0000-0200-000030030000}"/>
    <hyperlink ref="J819" r:id="rId818" xr:uid="{00000000-0004-0000-0200-000031030000}"/>
    <hyperlink ref="J820" r:id="rId819" xr:uid="{00000000-0004-0000-0200-000032030000}"/>
    <hyperlink ref="J821" r:id="rId820" xr:uid="{00000000-0004-0000-0200-000033030000}"/>
    <hyperlink ref="J822" r:id="rId821" xr:uid="{00000000-0004-0000-0200-000034030000}"/>
    <hyperlink ref="J823" r:id="rId822" xr:uid="{00000000-0004-0000-0200-000035030000}"/>
    <hyperlink ref="J824" r:id="rId823" xr:uid="{00000000-0004-0000-0200-000036030000}"/>
    <hyperlink ref="J825" r:id="rId824" xr:uid="{00000000-0004-0000-0200-000037030000}"/>
    <hyperlink ref="J826" r:id="rId825" xr:uid="{00000000-0004-0000-0200-000038030000}"/>
    <hyperlink ref="J827" r:id="rId826" xr:uid="{00000000-0004-0000-0200-000039030000}"/>
    <hyperlink ref="J828" r:id="rId827" xr:uid="{00000000-0004-0000-0200-00003A030000}"/>
    <hyperlink ref="J829" r:id="rId828" xr:uid="{00000000-0004-0000-0200-00003B030000}"/>
    <hyperlink ref="J830" r:id="rId829" xr:uid="{00000000-0004-0000-0200-00003C030000}"/>
    <hyperlink ref="J831" r:id="rId830" xr:uid="{00000000-0004-0000-0200-00003D030000}"/>
    <hyperlink ref="J832" r:id="rId831" xr:uid="{00000000-0004-0000-0200-00003E030000}"/>
    <hyperlink ref="J833" r:id="rId832" xr:uid="{00000000-0004-0000-0200-00003F030000}"/>
    <hyperlink ref="J834" r:id="rId833" xr:uid="{00000000-0004-0000-0200-000040030000}"/>
    <hyperlink ref="J835" r:id="rId834" xr:uid="{00000000-0004-0000-0200-000041030000}"/>
    <hyperlink ref="J836" r:id="rId835" xr:uid="{00000000-0004-0000-0200-000042030000}"/>
    <hyperlink ref="J837" r:id="rId836" xr:uid="{00000000-0004-0000-0200-000043030000}"/>
    <hyperlink ref="J838" r:id="rId837" xr:uid="{00000000-0004-0000-0200-000044030000}"/>
    <hyperlink ref="J839" r:id="rId838" xr:uid="{00000000-0004-0000-0200-000045030000}"/>
    <hyperlink ref="J840" r:id="rId839" xr:uid="{00000000-0004-0000-0200-000046030000}"/>
    <hyperlink ref="J841" r:id="rId840" xr:uid="{00000000-0004-0000-0200-000047030000}"/>
    <hyperlink ref="J842" r:id="rId841" xr:uid="{00000000-0004-0000-0200-000048030000}"/>
    <hyperlink ref="J843" r:id="rId842" xr:uid="{00000000-0004-0000-0200-000049030000}"/>
    <hyperlink ref="J844" r:id="rId843" xr:uid="{00000000-0004-0000-0200-00004A030000}"/>
    <hyperlink ref="J845" r:id="rId844" xr:uid="{00000000-0004-0000-0200-00004B030000}"/>
    <hyperlink ref="J846" r:id="rId845" xr:uid="{00000000-0004-0000-0200-00004C030000}"/>
    <hyperlink ref="J847" r:id="rId846" xr:uid="{00000000-0004-0000-0200-00004D030000}"/>
    <hyperlink ref="J848" r:id="rId847" xr:uid="{00000000-0004-0000-0200-00004E030000}"/>
    <hyperlink ref="J849" r:id="rId848" xr:uid="{00000000-0004-0000-0200-00004F030000}"/>
    <hyperlink ref="J850" r:id="rId849" xr:uid="{00000000-0004-0000-0200-000050030000}"/>
    <hyperlink ref="J851" r:id="rId850" xr:uid="{00000000-0004-0000-0200-000051030000}"/>
    <hyperlink ref="J852" r:id="rId851" xr:uid="{00000000-0004-0000-0200-000052030000}"/>
    <hyperlink ref="J853" r:id="rId852" xr:uid="{00000000-0004-0000-0200-000053030000}"/>
    <hyperlink ref="J854" r:id="rId853" xr:uid="{00000000-0004-0000-0200-000054030000}"/>
    <hyperlink ref="J855" r:id="rId854" xr:uid="{00000000-0004-0000-0200-000055030000}"/>
    <hyperlink ref="J856" r:id="rId855" xr:uid="{00000000-0004-0000-0200-000056030000}"/>
    <hyperlink ref="J857" r:id="rId856" xr:uid="{00000000-0004-0000-0200-000057030000}"/>
    <hyperlink ref="J858" r:id="rId857" xr:uid="{00000000-0004-0000-0200-000058030000}"/>
    <hyperlink ref="J859" r:id="rId858" xr:uid="{00000000-0004-0000-0200-000059030000}"/>
    <hyperlink ref="J860" r:id="rId859" xr:uid="{00000000-0004-0000-0200-00005A030000}"/>
    <hyperlink ref="J861" r:id="rId860" xr:uid="{00000000-0004-0000-0200-00005B030000}"/>
    <hyperlink ref="J862" r:id="rId861" xr:uid="{00000000-0004-0000-0200-00005C030000}"/>
    <hyperlink ref="J863" r:id="rId862" xr:uid="{00000000-0004-0000-0200-00005D030000}"/>
    <hyperlink ref="J864" r:id="rId863" xr:uid="{00000000-0004-0000-0200-00005E030000}"/>
    <hyperlink ref="J865" r:id="rId864" xr:uid="{00000000-0004-0000-0200-00005F030000}"/>
    <hyperlink ref="J866" r:id="rId865" xr:uid="{00000000-0004-0000-0200-000060030000}"/>
    <hyperlink ref="J867" r:id="rId866" xr:uid="{00000000-0004-0000-0200-000061030000}"/>
    <hyperlink ref="J868" r:id="rId867" xr:uid="{00000000-0004-0000-0200-000062030000}"/>
    <hyperlink ref="J869" r:id="rId868" xr:uid="{00000000-0004-0000-0200-000063030000}"/>
    <hyperlink ref="J870" r:id="rId869" xr:uid="{00000000-0004-0000-0200-000064030000}"/>
    <hyperlink ref="J871" r:id="rId870" xr:uid="{00000000-0004-0000-0200-000065030000}"/>
    <hyperlink ref="J872" r:id="rId871" xr:uid="{00000000-0004-0000-0200-000066030000}"/>
    <hyperlink ref="J873" r:id="rId872" xr:uid="{00000000-0004-0000-0200-000067030000}"/>
    <hyperlink ref="J874" r:id="rId873" xr:uid="{00000000-0004-0000-0200-000068030000}"/>
    <hyperlink ref="J875" r:id="rId874" xr:uid="{00000000-0004-0000-0200-000069030000}"/>
    <hyperlink ref="J876" r:id="rId875" xr:uid="{00000000-0004-0000-0200-00006A030000}"/>
    <hyperlink ref="J877" r:id="rId876" xr:uid="{00000000-0004-0000-0200-00006B030000}"/>
    <hyperlink ref="J878" r:id="rId877" xr:uid="{00000000-0004-0000-0200-00006C030000}"/>
    <hyperlink ref="J879" r:id="rId878" xr:uid="{00000000-0004-0000-0200-00006D030000}"/>
    <hyperlink ref="J880" r:id="rId879" xr:uid="{00000000-0004-0000-0200-00006E030000}"/>
    <hyperlink ref="J881" r:id="rId880" xr:uid="{00000000-0004-0000-0200-00006F030000}"/>
    <hyperlink ref="J882" r:id="rId881" xr:uid="{00000000-0004-0000-0200-000070030000}"/>
    <hyperlink ref="J883" r:id="rId882" xr:uid="{00000000-0004-0000-0200-000071030000}"/>
    <hyperlink ref="J884" r:id="rId883" xr:uid="{00000000-0004-0000-0200-000072030000}"/>
    <hyperlink ref="J885" r:id="rId884" xr:uid="{00000000-0004-0000-0200-000073030000}"/>
    <hyperlink ref="J886" r:id="rId885" xr:uid="{00000000-0004-0000-0200-000074030000}"/>
    <hyperlink ref="J887" r:id="rId886" xr:uid="{00000000-0004-0000-0200-000075030000}"/>
    <hyperlink ref="J888" r:id="rId887" xr:uid="{00000000-0004-0000-0200-000076030000}"/>
    <hyperlink ref="J889" r:id="rId888" xr:uid="{00000000-0004-0000-0200-000077030000}"/>
    <hyperlink ref="J890" r:id="rId889" xr:uid="{00000000-0004-0000-0200-000078030000}"/>
    <hyperlink ref="J891" r:id="rId890" xr:uid="{00000000-0004-0000-0200-000079030000}"/>
    <hyperlink ref="J892" r:id="rId891" xr:uid="{00000000-0004-0000-0200-00007A030000}"/>
    <hyperlink ref="J893" r:id="rId892" xr:uid="{00000000-0004-0000-0200-00007B030000}"/>
    <hyperlink ref="J894" r:id="rId893" xr:uid="{00000000-0004-0000-0200-00007C030000}"/>
    <hyperlink ref="J895" r:id="rId894" xr:uid="{00000000-0004-0000-0200-00007D030000}"/>
    <hyperlink ref="J896" r:id="rId895" xr:uid="{00000000-0004-0000-0200-00007E030000}"/>
    <hyperlink ref="J897" r:id="rId896" xr:uid="{00000000-0004-0000-0200-00007F030000}"/>
    <hyperlink ref="J898" r:id="rId897" xr:uid="{00000000-0004-0000-0200-000080030000}"/>
    <hyperlink ref="J899" r:id="rId898" xr:uid="{00000000-0004-0000-0200-000081030000}"/>
    <hyperlink ref="J900" r:id="rId899" xr:uid="{00000000-0004-0000-0200-000082030000}"/>
    <hyperlink ref="J901" r:id="rId900" xr:uid="{00000000-0004-0000-0200-000083030000}"/>
    <hyperlink ref="J902" r:id="rId901" xr:uid="{00000000-0004-0000-0200-000084030000}"/>
    <hyperlink ref="J903" r:id="rId902" xr:uid="{00000000-0004-0000-0200-000085030000}"/>
    <hyperlink ref="J904" r:id="rId903" xr:uid="{00000000-0004-0000-0200-000086030000}"/>
    <hyperlink ref="J905" r:id="rId904" xr:uid="{00000000-0004-0000-0200-000087030000}"/>
    <hyperlink ref="J906" r:id="rId905" xr:uid="{00000000-0004-0000-0200-000088030000}"/>
    <hyperlink ref="J907" r:id="rId906" xr:uid="{00000000-0004-0000-0200-000089030000}"/>
    <hyperlink ref="J908" r:id="rId907" xr:uid="{00000000-0004-0000-0200-00008A030000}"/>
    <hyperlink ref="J909" r:id="rId908" xr:uid="{00000000-0004-0000-0200-00008B030000}"/>
    <hyperlink ref="J910" r:id="rId909" xr:uid="{00000000-0004-0000-0200-00008C030000}"/>
    <hyperlink ref="J911" r:id="rId910" xr:uid="{00000000-0004-0000-0200-00008D030000}"/>
    <hyperlink ref="J912" r:id="rId911" xr:uid="{00000000-0004-0000-0200-00008E030000}"/>
    <hyperlink ref="J913" r:id="rId912" xr:uid="{00000000-0004-0000-0200-00008F030000}"/>
    <hyperlink ref="J914" r:id="rId913" xr:uid="{00000000-0004-0000-0200-000090030000}"/>
    <hyperlink ref="J915" r:id="rId914" xr:uid="{00000000-0004-0000-0200-000091030000}"/>
    <hyperlink ref="J916" r:id="rId915" xr:uid="{00000000-0004-0000-0200-000092030000}"/>
    <hyperlink ref="J917" r:id="rId916" xr:uid="{00000000-0004-0000-0200-000093030000}"/>
    <hyperlink ref="J918" r:id="rId917" xr:uid="{00000000-0004-0000-0200-000094030000}"/>
    <hyperlink ref="J919" r:id="rId918" xr:uid="{00000000-0004-0000-0200-000095030000}"/>
    <hyperlink ref="J920" r:id="rId919" xr:uid="{00000000-0004-0000-0200-000096030000}"/>
    <hyperlink ref="J921" r:id="rId920" xr:uid="{00000000-0004-0000-0200-000097030000}"/>
    <hyperlink ref="J922" r:id="rId921" xr:uid="{00000000-0004-0000-0200-000098030000}"/>
    <hyperlink ref="J923" r:id="rId922" xr:uid="{00000000-0004-0000-0200-000099030000}"/>
    <hyperlink ref="J924" r:id="rId923" xr:uid="{00000000-0004-0000-0200-00009A030000}"/>
    <hyperlink ref="J925" r:id="rId924" xr:uid="{00000000-0004-0000-0200-00009B030000}"/>
    <hyperlink ref="J926" r:id="rId925" xr:uid="{00000000-0004-0000-0200-00009C030000}"/>
    <hyperlink ref="J927" r:id="rId926" xr:uid="{00000000-0004-0000-0200-00009D030000}"/>
    <hyperlink ref="J928" r:id="rId927" xr:uid="{00000000-0004-0000-0200-00009E030000}"/>
    <hyperlink ref="J929" r:id="rId928" xr:uid="{00000000-0004-0000-0200-00009F030000}"/>
    <hyperlink ref="J930" r:id="rId929" xr:uid="{00000000-0004-0000-0200-0000A0030000}"/>
    <hyperlink ref="J931" r:id="rId930" xr:uid="{00000000-0004-0000-0200-0000A1030000}"/>
    <hyperlink ref="J932" r:id="rId931" xr:uid="{00000000-0004-0000-0200-0000A2030000}"/>
    <hyperlink ref="J933" r:id="rId932" xr:uid="{00000000-0004-0000-0200-0000A3030000}"/>
    <hyperlink ref="J934" r:id="rId933" xr:uid="{00000000-0004-0000-0200-0000A4030000}"/>
    <hyperlink ref="J935" r:id="rId934" xr:uid="{00000000-0004-0000-0200-0000A5030000}"/>
    <hyperlink ref="J936" r:id="rId935" xr:uid="{00000000-0004-0000-0200-0000A6030000}"/>
    <hyperlink ref="J937" r:id="rId936" xr:uid="{00000000-0004-0000-0200-0000A7030000}"/>
    <hyperlink ref="J938" r:id="rId937" xr:uid="{00000000-0004-0000-0200-0000A8030000}"/>
    <hyperlink ref="J939" r:id="rId938" xr:uid="{00000000-0004-0000-0200-0000A9030000}"/>
    <hyperlink ref="J940" r:id="rId939" xr:uid="{00000000-0004-0000-0200-0000AA030000}"/>
    <hyperlink ref="J941" r:id="rId940" xr:uid="{00000000-0004-0000-0200-0000AB030000}"/>
    <hyperlink ref="J942" r:id="rId941" xr:uid="{00000000-0004-0000-0200-0000AC030000}"/>
    <hyperlink ref="J943" r:id="rId942" xr:uid="{00000000-0004-0000-0200-0000AD030000}"/>
    <hyperlink ref="J944" r:id="rId943" xr:uid="{00000000-0004-0000-0200-0000AE030000}"/>
    <hyperlink ref="J945" r:id="rId944" xr:uid="{00000000-0004-0000-0200-0000AF030000}"/>
    <hyperlink ref="J946" r:id="rId945" xr:uid="{00000000-0004-0000-0200-0000B0030000}"/>
    <hyperlink ref="J947" r:id="rId946" xr:uid="{00000000-0004-0000-0200-0000B1030000}"/>
    <hyperlink ref="J948" r:id="rId947" xr:uid="{00000000-0004-0000-0200-0000B2030000}"/>
    <hyperlink ref="J949" r:id="rId948" xr:uid="{00000000-0004-0000-0200-0000B3030000}"/>
    <hyperlink ref="J950" r:id="rId949" xr:uid="{00000000-0004-0000-0200-0000B4030000}"/>
    <hyperlink ref="J951" r:id="rId950" xr:uid="{00000000-0004-0000-0200-0000B5030000}"/>
    <hyperlink ref="J952" r:id="rId951" xr:uid="{00000000-0004-0000-0200-0000B6030000}"/>
    <hyperlink ref="J953" r:id="rId952" xr:uid="{00000000-0004-0000-0200-0000B7030000}"/>
    <hyperlink ref="J954" r:id="rId953" xr:uid="{00000000-0004-0000-0200-0000B8030000}"/>
    <hyperlink ref="J955" r:id="rId954" xr:uid="{00000000-0004-0000-0200-0000B9030000}"/>
    <hyperlink ref="J956" r:id="rId955" xr:uid="{00000000-0004-0000-0200-0000BA030000}"/>
    <hyperlink ref="J957" r:id="rId956" xr:uid="{00000000-0004-0000-0200-0000BB030000}"/>
    <hyperlink ref="J958" r:id="rId957" xr:uid="{00000000-0004-0000-0200-0000BC030000}"/>
    <hyperlink ref="J959" r:id="rId958" xr:uid="{00000000-0004-0000-0200-0000BD030000}"/>
    <hyperlink ref="J960" r:id="rId959" xr:uid="{00000000-0004-0000-0200-0000BE030000}"/>
    <hyperlink ref="J961" r:id="rId960" xr:uid="{00000000-0004-0000-0200-0000BF030000}"/>
    <hyperlink ref="J962" r:id="rId961" xr:uid="{00000000-0004-0000-0200-0000C0030000}"/>
    <hyperlink ref="J963" r:id="rId962" xr:uid="{00000000-0004-0000-0200-0000C1030000}"/>
    <hyperlink ref="J964" r:id="rId963" xr:uid="{00000000-0004-0000-0200-0000C2030000}"/>
    <hyperlink ref="J965" r:id="rId964" xr:uid="{00000000-0004-0000-0200-0000C3030000}"/>
    <hyperlink ref="J966" r:id="rId965" xr:uid="{00000000-0004-0000-0200-0000C4030000}"/>
    <hyperlink ref="J967" r:id="rId966" xr:uid="{00000000-0004-0000-0200-0000C5030000}"/>
    <hyperlink ref="J968" r:id="rId967" xr:uid="{00000000-0004-0000-0200-0000C6030000}"/>
    <hyperlink ref="J969" r:id="rId968" xr:uid="{00000000-0004-0000-0200-0000C7030000}"/>
    <hyperlink ref="J970" r:id="rId969" xr:uid="{00000000-0004-0000-0200-0000C8030000}"/>
    <hyperlink ref="J971" r:id="rId970" xr:uid="{00000000-0004-0000-0200-0000C9030000}"/>
    <hyperlink ref="J972" r:id="rId971" xr:uid="{00000000-0004-0000-0200-0000CA030000}"/>
    <hyperlink ref="J973" r:id="rId972" xr:uid="{00000000-0004-0000-0200-0000CB030000}"/>
    <hyperlink ref="J974" r:id="rId973" xr:uid="{00000000-0004-0000-0200-0000CC030000}"/>
    <hyperlink ref="J975" r:id="rId974" xr:uid="{00000000-0004-0000-0200-0000CD030000}"/>
    <hyperlink ref="J976" r:id="rId975" xr:uid="{00000000-0004-0000-0200-0000CE030000}"/>
    <hyperlink ref="J977" r:id="rId976" xr:uid="{00000000-0004-0000-0200-0000CF030000}"/>
    <hyperlink ref="J978" r:id="rId977" xr:uid="{00000000-0004-0000-0200-0000D0030000}"/>
    <hyperlink ref="J979" r:id="rId978" xr:uid="{00000000-0004-0000-0200-0000D1030000}"/>
    <hyperlink ref="J980" r:id="rId979" xr:uid="{00000000-0004-0000-0200-0000D2030000}"/>
    <hyperlink ref="J981" r:id="rId980" xr:uid="{00000000-0004-0000-0200-0000D3030000}"/>
    <hyperlink ref="J982" r:id="rId981" xr:uid="{00000000-0004-0000-0200-0000D4030000}"/>
    <hyperlink ref="J983" r:id="rId982" xr:uid="{00000000-0004-0000-0200-0000D5030000}"/>
    <hyperlink ref="J984" r:id="rId983" xr:uid="{00000000-0004-0000-0200-0000D6030000}"/>
    <hyperlink ref="J985" r:id="rId984" xr:uid="{00000000-0004-0000-0200-0000D7030000}"/>
    <hyperlink ref="J986" r:id="rId985" xr:uid="{00000000-0004-0000-0200-0000D8030000}"/>
    <hyperlink ref="J987" r:id="rId986" xr:uid="{00000000-0004-0000-0200-0000D9030000}"/>
    <hyperlink ref="J988" r:id="rId987" xr:uid="{00000000-0004-0000-0200-0000DA030000}"/>
    <hyperlink ref="J989" r:id="rId988" xr:uid="{00000000-0004-0000-0200-0000DB030000}"/>
    <hyperlink ref="J990" r:id="rId989" xr:uid="{00000000-0004-0000-0200-0000DC030000}"/>
    <hyperlink ref="J991" r:id="rId990" xr:uid="{00000000-0004-0000-0200-0000DD030000}"/>
    <hyperlink ref="J992" r:id="rId991" xr:uid="{00000000-0004-0000-0200-0000DE030000}"/>
    <hyperlink ref="J993" r:id="rId992" xr:uid="{00000000-0004-0000-0200-0000DF030000}"/>
    <hyperlink ref="J994" r:id="rId993" xr:uid="{00000000-0004-0000-0200-0000E0030000}"/>
    <hyperlink ref="J995" r:id="rId994" xr:uid="{00000000-0004-0000-0200-0000E1030000}"/>
    <hyperlink ref="J996" r:id="rId995" xr:uid="{00000000-0004-0000-0200-0000E2030000}"/>
    <hyperlink ref="J997" r:id="rId996" xr:uid="{00000000-0004-0000-0200-0000E3030000}"/>
    <hyperlink ref="J998" r:id="rId997" xr:uid="{00000000-0004-0000-0200-0000E4030000}"/>
    <hyperlink ref="J999" r:id="rId998" xr:uid="{00000000-0004-0000-0200-0000E5030000}"/>
    <hyperlink ref="J1000" r:id="rId999" xr:uid="{00000000-0004-0000-0200-0000E6030000}"/>
    <hyperlink ref="J1001" r:id="rId1000" xr:uid="{00000000-0004-0000-0200-0000E7030000}"/>
    <hyperlink ref="J1002" r:id="rId1001" xr:uid="{00000000-0004-0000-0200-0000E8030000}"/>
    <hyperlink ref="J1003" r:id="rId1002" xr:uid="{00000000-0004-0000-0200-0000E9030000}"/>
    <hyperlink ref="J1004" r:id="rId1003" xr:uid="{00000000-0004-0000-0200-0000EA030000}"/>
    <hyperlink ref="J1005" r:id="rId1004" xr:uid="{00000000-0004-0000-0200-0000EB030000}"/>
    <hyperlink ref="J1006" r:id="rId1005" xr:uid="{00000000-0004-0000-0200-0000EC030000}"/>
    <hyperlink ref="J1007" r:id="rId1006" xr:uid="{00000000-0004-0000-0200-0000ED030000}"/>
    <hyperlink ref="J1008" r:id="rId1007" xr:uid="{00000000-0004-0000-0200-0000EE030000}"/>
    <hyperlink ref="J1009" r:id="rId1008" xr:uid="{00000000-0004-0000-0200-0000EF030000}"/>
    <hyperlink ref="J1010" r:id="rId1009" xr:uid="{00000000-0004-0000-0200-0000F0030000}"/>
    <hyperlink ref="J1011" r:id="rId1010" xr:uid="{00000000-0004-0000-0200-0000F1030000}"/>
    <hyperlink ref="J1012" r:id="rId1011" xr:uid="{00000000-0004-0000-0200-0000F2030000}"/>
    <hyperlink ref="J1013" r:id="rId1012" xr:uid="{00000000-0004-0000-0200-0000F3030000}"/>
    <hyperlink ref="J1014" r:id="rId1013" xr:uid="{00000000-0004-0000-0200-0000F4030000}"/>
    <hyperlink ref="J1015" r:id="rId1014" xr:uid="{00000000-0004-0000-0200-0000F5030000}"/>
    <hyperlink ref="J1016" r:id="rId1015" xr:uid="{00000000-0004-0000-0200-0000F6030000}"/>
    <hyperlink ref="J1017" r:id="rId1016" xr:uid="{00000000-0004-0000-0200-0000F7030000}"/>
    <hyperlink ref="J1018" r:id="rId1017" xr:uid="{00000000-0004-0000-0200-0000F8030000}"/>
    <hyperlink ref="J1019" r:id="rId1018" xr:uid="{00000000-0004-0000-0200-0000F9030000}"/>
    <hyperlink ref="J1020" r:id="rId1019" xr:uid="{00000000-0004-0000-0200-0000FA030000}"/>
    <hyperlink ref="J1021" r:id="rId1020" xr:uid="{00000000-0004-0000-0200-0000FB030000}"/>
    <hyperlink ref="J1022" r:id="rId1021" xr:uid="{00000000-0004-0000-0200-0000FC030000}"/>
    <hyperlink ref="J1023" r:id="rId1022" xr:uid="{00000000-0004-0000-0200-0000FD030000}"/>
    <hyperlink ref="J1024" r:id="rId1023" xr:uid="{00000000-0004-0000-0200-0000FE030000}"/>
    <hyperlink ref="J1025" r:id="rId1024" xr:uid="{00000000-0004-0000-0200-0000FF030000}"/>
    <hyperlink ref="J1026" r:id="rId1025" xr:uid="{00000000-0004-0000-0200-000000040000}"/>
    <hyperlink ref="J1027" r:id="rId1026" xr:uid="{00000000-0004-0000-0200-000001040000}"/>
    <hyperlink ref="J1028" r:id="rId1027" xr:uid="{00000000-0004-0000-0200-000002040000}"/>
    <hyperlink ref="J1029" r:id="rId1028" xr:uid="{00000000-0004-0000-0200-000003040000}"/>
    <hyperlink ref="J1030" r:id="rId1029" xr:uid="{00000000-0004-0000-0200-000004040000}"/>
    <hyperlink ref="J1031" r:id="rId1030" xr:uid="{00000000-0004-0000-0200-000005040000}"/>
    <hyperlink ref="J1032" r:id="rId1031" xr:uid="{00000000-0004-0000-0200-000006040000}"/>
    <hyperlink ref="J1033" r:id="rId1032" xr:uid="{00000000-0004-0000-0200-000007040000}"/>
    <hyperlink ref="J1034" r:id="rId1033" xr:uid="{00000000-0004-0000-0200-000008040000}"/>
    <hyperlink ref="J1035" r:id="rId1034" xr:uid="{00000000-0004-0000-0200-000009040000}"/>
    <hyperlink ref="J1036" r:id="rId1035" xr:uid="{00000000-0004-0000-0200-00000A040000}"/>
    <hyperlink ref="J1037" r:id="rId1036" xr:uid="{00000000-0004-0000-0200-00000B040000}"/>
    <hyperlink ref="J1038" r:id="rId1037" xr:uid="{00000000-0004-0000-0200-00000C040000}"/>
    <hyperlink ref="J1039" r:id="rId1038" xr:uid="{00000000-0004-0000-0200-00000D040000}"/>
    <hyperlink ref="J1040" r:id="rId1039" xr:uid="{00000000-0004-0000-0200-00000E040000}"/>
    <hyperlink ref="J1041" r:id="rId1040" xr:uid="{00000000-0004-0000-0200-00000F040000}"/>
    <hyperlink ref="J1042" r:id="rId1041" xr:uid="{00000000-0004-0000-0200-000010040000}"/>
    <hyperlink ref="J1043" r:id="rId1042" xr:uid="{00000000-0004-0000-0200-000011040000}"/>
    <hyperlink ref="J1044" r:id="rId1043" xr:uid="{00000000-0004-0000-0200-000012040000}"/>
    <hyperlink ref="J1045" r:id="rId1044" xr:uid="{00000000-0004-0000-0200-000013040000}"/>
    <hyperlink ref="J1046" r:id="rId1045" xr:uid="{00000000-0004-0000-0200-000014040000}"/>
    <hyperlink ref="J1047" r:id="rId1046" xr:uid="{00000000-0004-0000-0200-000015040000}"/>
    <hyperlink ref="J1048" r:id="rId1047" xr:uid="{00000000-0004-0000-0200-000016040000}"/>
    <hyperlink ref="J1049" r:id="rId1048" xr:uid="{00000000-0004-0000-0200-000017040000}"/>
    <hyperlink ref="J1050" r:id="rId1049" xr:uid="{00000000-0004-0000-0200-000018040000}"/>
    <hyperlink ref="J1051" r:id="rId1050" xr:uid="{00000000-0004-0000-0200-000019040000}"/>
    <hyperlink ref="J1052" r:id="rId1051" xr:uid="{00000000-0004-0000-0200-00001A040000}"/>
    <hyperlink ref="J1053" r:id="rId1052" xr:uid="{00000000-0004-0000-0200-00001B040000}"/>
    <hyperlink ref="J1054" r:id="rId1053" xr:uid="{00000000-0004-0000-0200-00001C040000}"/>
    <hyperlink ref="J1055" r:id="rId1054" xr:uid="{00000000-0004-0000-0200-00001D040000}"/>
    <hyperlink ref="J1056" r:id="rId1055" xr:uid="{00000000-0004-0000-0200-00001E040000}"/>
    <hyperlink ref="J1057" r:id="rId1056" xr:uid="{00000000-0004-0000-0200-00001F040000}"/>
    <hyperlink ref="J1058" r:id="rId1057" xr:uid="{00000000-0004-0000-0200-000020040000}"/>
    <hyperlink ref="J1059" r:id="rId1058" xr:uid="{00000000-0004-0000-0200-000021040000}"/>
    <hyperlink ref="J1060" r:id="rId1059" xr:uid="{00000000-0004-0000-0200-000022040000}"/>
    <hyperlink ref="J1061" r:id="rId1060" xr:uid="{00000000-0004-0000-0200-000023040000}"/>
    <hyperlink ref="J1062" r:id="rId1061" xr:uid="{00000000-0004-0000-0200-000024040000}"/>
    <hyperlink ref="J1063" r:id="rId1062" xr:uid="{00000000-0004-0000-0200-000025040000}"/>
    <hyperlink ref="J1064" r:id="rId1063" xr:uid="{00000000-0004-0000-0200-000026040000}"/>
    <hyperlink ref="J1065" r:id="rId1064" xr:uid="{00000000-0004-0000-0200-000027040000}"/>
    <hyperlink ref="J1066" r:id="rId1065" xr:uid="{00000000-0004-0000-0200-000028040000}"/>
    <hyperlink ref="J1067" r:id="rId1066" xr:uid="{00000000-0004-0000-0200-000029040000}"/>
    <hyperlink ref="J1068" r:id="rId1067" xr:uid="{00000000-0004-0000-0200-00002A040000}"/>
    <hyperlink ref="J1069" r:id="rId1068" xr:uid="{00000000-0004-0000-0200-00002B040000}"/>
    <hyperlink ref="J1070" r:id="rId1069" xr:uid="{00000000-0004-0000-0200-00002C040000}"/>
    <hyperlink ref="J1071" r:id="rId1070" xr:uid="{00000000-0004-0000-0200-00002D040000}"/>
    <hyperlink ref="J1072" r:id="rId1071" xr:uid="{00000000-0004-0000-0200-00002E040000}"/>
    <hyperlink ref="J1073" r:id="rId1072" xr:uid="{00000000-0004-0000-0200-00002F040000}"/>
    <hyperlink ref="J1074" r:id="rId1073" xr:uid="{00000000-0004-0000-0200-000030040000}"/>
    <hyperlink ref="J1075" r:id="rId1074" xr:uid="{00000000-0004-0000-0200-000031040000}"/>
    <hyperlink ref="J1076" r:id="rId1075" xr:uid="{00000000-0004-0000-0200-000032040000}"/>
    <hyperlink ref="J1077" r:id="rId1076" xr:uid="{00000000-0004-0000-0200-000033040000}"/>
    <hyperlink ref="J1078" r:id="rId1077" xr:uid="{00000000-0004-0000-0200-000034040000}"/>
    <hyperlink ref="J1079" r:id="rId1078" xr:uid="{00000000-0004-0000-0200-000035040000}"/>
    <hyperlink ref="J1080" r:id="rId1079" xr:uid="{00000000-0004-0000-0200-000036040000}"/>
    <hyperlink ref="J1081" r:id="rId1080" xr:uid="{00000000-0004-0000-0200-000037040000}"/>
    <hyperlink ref="J1082" r:id="rId1081" xr:uid="{00000000-0004-0000-0200-000038040000}"/>
    <hyperlink ref="J1083" r:id="rId1082" xr:uid="{00000000-0004-0000-0200-000039040000}"/>
    <hyperlink ref="J1084" r:id="rId1083" xr:uid="{00000000-0004-0000-0200-00003A040000}"/>
    <hyperlink ref="J1085" r:id="rId1084" xr:uid="{00000000-0004-0000-0200-00003B040000}"/>
    <hyperlink ref="J1086" r:id="rId1085" xr:uid="{00000000-0004-0000-0200-00003C040000}"/>
    <hyperlink ref="J1087" r:id="rId1086" xr:uid="{00000000-0004-0000-0200-00003D040000}"/>
    <hyperlink ref="J1088" r:id="rId1087" xr:uid="{00000000-0004-0000-0200-00003E040000}"/>
    <hyperlink ref="J1089" r:id="rId1088" xr:uid="{00000000-0004-0000-0200-00003F040000}"/>
    <hyperlink ref="J1090" r:id="rId1089" xr:uid="{00000000-0004-0000-0200-000040040000}"/>
    <hyperlink ref="J1091" r:id="rId1090" xr:uid="{00000000-0004-0000-0200-000041040000}"/>
    <hyperlink ref="J1092" r:id="rId1091" xr:uid="{00000000-0004-0000-0200-000042040000}"/>
    <hyperlink ref="J1093" r:id="rId1092" xr:uid="{00000000-0004-0000-0200-000043040000}"/>
    <hyperlink ref="J1094" r:id="rId1093" xr:uid="{00000000-0004-0000-0200-000044040000}"/>
    <hyperlink ref="J1095" r:id="rId1094" xr:uid="{00000000-0004-0000-0200-000045040000}"/>
    <hyperlink ref="J1096" r:id="rId1095" xr:uid="{00000000-0004-0000-0200-000046040000}"/>
    <hyperlink ref="J1097" r:id="rId1096" xr:uid="{00000000-0004-0000-0200-000047040000}"/>
    <hyperlink ref="J1098" r:id="rId1097" xr:uid="{00000000-0004-0000-0200-000048040000}"/>
    <hyperlink ref="J1099" r:id="rId1098" xr:uid="{00000000-0004-0000-0200-000049040000}"/>
    <hyperlink ref="J1100" r:id="rId1099" xr:uid="{00000000-0004-0000-0200-00004A040000}"/>
    <hyperlink ref="J1101" r:id="rId1100" xr:uid="{00000000-0004-0000-0200-00004B040000}"/>
    <hyperlink ref="J1102" r:id="rId1101" xr:uid="{00000000-0004-0000-0200-00004C040000}"/>
    <hyperlink ref="J1103" r:id="rId1102" xr:uid="{00000000-0004-0000-0200-00004D040000}"/>
    <hyperlink ref="J1104" r:id="rId1103" xr:uid="{00000000-0004-0000-0200-00004E040000}"/>
    <hyperlink ref="J1105" r:id="rId1104" xr:uid="{00000000-0004-0000-0200-00004F040000}"/>
    <hyperlink ref="J1106" r:id="rId1105" xr:uid="{00000000-0004-0000-0200-000050040000}"/>
    <hyperlink ref="J1107" r:id="rId1106" xr:uid="{00000000-0004-0000-0200-000051040000}"/>
    <hyperlink ref="J1108" r:id="rId1107" xr:uid="{00000000-0004-0000-0200-000052040000}"/>
    <hyperlink ref="J1109" r:id="rId1108" xr:uid="{00000000-0004-0000-0200-000053040000}"/>
    <hyperlink ref="J1110" r:id="rId1109" xr:uid="{00000000-0004-0000-0200-000054040000}"/>
    <hyperlink ref="J1111" r:id="rId1110" xr:uid="{00000000-0004-0000-0200-000055040000}"/>
    <hyperlink ref="J1112" r:id="rId1111" xr:uid="{00000000-0004-0000-0200-000056040000}"/>
    <hyperlink ref="J1113" r:id="rId1112" xr:uid="{00000000-0004-0000-0200-000057040000}"/>
    <hyperlink ref="J1114" r:id="rId1113" xr:uid="{00000000-0004-0000-0200-000058040000}"/>
    <hyperlink ref="J1115" r:id="rId1114" xr:uid="{00000000-0004-0000-0200-000059040000}"/>
    <hyperlink ref="J1116" r:id="rId1115" xr:uid="{00000000-0004-0000-0200-00005A040000}"/>
    <hyperlink ref="J1117" r:id="rId1116" xr:uid="{00000000-0004-0000-0200-00005B040000}"/>
    <hyperlink ref="J1118" r:id="rId1117" xr:uid="{00000000-0004-0000-0200-00005C040000}"/>
    <hyperlink ref="J1119" r:id="rId1118" xr:uid="{00000000-0004-0000-0200-00005D040000}"/>
    <hyperlink ref="J1120" r:id="rId1119" xr:uid="{00000000-0004-0000-0200-00005E040000}"/>
    <hyperlink ref="J1121" r:id="rId1120" xr:uid="{00000000-0004-0000-0200-00005F040000}"/>
    <hyperlink ref="J1122" r:id="rId1121" xr:uid="{00000000-0004-0000-0200-000060040000}"/>
    <hyperlink ref="J1123" r:id="rId1122" xr:uid="{00000000-0004-0000-0200-000061040000}"/>
    <hyperlink ref="J1124" r:id="rId1123" xr:uid="{00000000-0004-0000-0200-000062040000}"/>
    <hyperlink ref="J1125" r:id="rId1124" xr:uid="{00000000-0004-0000-0200-000063040000}"/>
    <hyperlink ref="J1126" r:id="rId1125" xr:uid="{00000000-0004-0000-0200-000064040000}"/>
    <hyperlink ref="J1127" r:id="rId1126" xr:uid="{00000000-0004-0000-0200-000065040000}"/>
    <hyperlink ref="J1128" r:id="rId1127" xr:uid="{00000000-0004-0000-0200-000066040000}"/>
    <hyperlink ref="J1129" r:id="rId1128" xr:uid="{00000000-0004-0000-0200-000067040000}"/>
    <hyperlink ref="J1130" r:id="rId1129" xr:uid="{00000000-0004-0000-0200-000068040000}"/>
    <hyperlink ref="J1131" r:id="rId1130" xr:uid="{00000000-0004-0000-0200-000069040000}"/>
    <hyperlink ref="J1132" r:id="rId1131" xr:uid="{00000000-0004-0000-0200-00006A040000}"/>
    <hyperlink ref="J1133" r:id="rId1132" xr:uid="{00000000-0004-0000-0200-00006B040000}"/>
    <hyperlink ref="J1134" r:id="rId1133" xr:uid="{00000000-0004-0000-0200-00006C040000}"/>
    <hyperlink ref="J1135" r:id="rId1134" xr:uid="{00000000-0004-0000-0200-00006D040000}"/>
    <hyperlink ref="J1136" r:id="rId1135" xr:uid="{00000000-0004-0000-0200-00006E040000}"/>
    <hyperlink ref="J1137" r:id="rId1136" xr:uid="{00000000-0004-0000-0200-00006F040000}"/>
    <hyperlink ref="J1138" r:id="rId1137" xr:uid="{00000000-0004-0000-0200-000070040000}"/>
    <hyperlink ref="J1139" r:id="rId1138" xr:uid="{00000000-0004-0000-0200-000071040000}"/>
    <hyperlink ref="J1140" r:id="rId1139" xr:uid="{00000000-0004-0000-0200-000072040000}"/>
    <hyperlink ref="J1141" r:id="rId1140" xr:uid="{00000000-0004-0000-0200-000073040000}"/>
    <hyperlink ref="J1142" r:id="rId1141" xr:uid="{00000000-0004-0000-0200-000074040000}"/>
    <hyperlink ref="J1143" r:id="rId1142" xr:uid="{00000000-0004-0000-0200-000075040000}"/>
    <hyperlink ref="J1144" r:id="rId1143" xr:uid="{00000000-0004-0000-0200-000076040000}"/>
    <hyperlink ref="J1145" r:id="rId1144" xr:uid="{00000000-0004-0000-0200-000077040000}"/>
    <hyperlink ref="J1146" r:id="rId1145" xr:uid="{00000000-0004-0000-0200-000078040000}"/>
    <hyperlink ref="J1147" r:id="rId1146" xr:uid="{00000000-0004-0000-0200-000079040000}"/>
    <hyperlink ref="J1148" r:id="rId1147" xr:uid="{00000000-0004-0000-0200-00007A040000}"/>
    <hyperlink ref="J1149" r:id="rId1148" xr:uid="{00000000-0004-0000-0200-00007B040000}"/>
    <hyperlink ref="J1150" r:id="rId1149" xr:uid="{00000000-0004-0000-0200-00007C040000}"/>
    <hyperlink ref="J1151" r:id="rId1150" xr:uid="{00000000-0004-0000-0200-00007D040000}"/>
    <hyperlink ref="J1152" r:id="rId1151" xr:uid="{00000000-0004-0000-0200-00007E040000}"/>
    <hyperlink ref="J1153" r:id="rId1152" xr:uid="{00000000-0004-0000-0200-00007F040000}"/>
    <hyperlink ref="J1154" r:id="rId1153" xr:uid="{00000000-0004-0000-0200-000080040000}"/>
    <hyperlink ref="J1155" r:id="rId1154" xr:uid="{00000000-0004-0000-0200-000081040000}"/>
    <hyperlink ref="J1156" r:id="rId1155" xr:uid="{00000000-0004-0000-0200-000082040000}"/>
    <hyperlink ref="J1157" r:id="rId1156" xr:uid="{00000000-0004-0000-0200-000083040000}"/>
    <hyperlink ref="J1158" r:id="rId1157" xr:uid="{00000000-0004-0000-0200-000084040000}"/>
    <hyperlink ref="J1159" r:id="rId1158" xr:uid="{00000000-0004-0000-0200-000085040000}"/>
    <hyperlink ref="J1160" r:id="rId1159" xr:uid="{00000000-0004-0000-0200-000086040000}"/>
    <hyperlink ref="J1161" r:id="rId1160" xr:uid="{00000000-0004-0000-0200-000087040000}"/>
    <hyperlink ref="J1162" r:id="rId1161" xr:uid="{00000000-0004-0000-0200-000088040000}"/>
    <hyperlink ref="J1163" r:id="rId1162" xr:uid="{00000000-0004-0000-0200-000089040000}"/>
    <hyperlink ref="J1164" r:id="rId1163" xr:uid="{00000000-0004-0000-0200-00008A040000}"/>
    <hyperlink ref="J1165" r:id="rId1164" xr:uid="{00000000-0004-0000-0200-00008B040000}"/>
    <hyperlink ref="J1166" r:id="rId1165" xr:uid="{00000000-0004-0000-0200-00008C040000}"/>
    <hyperlink ref="J1167" r:id="rId1166" xr:uid="{00000000-0004-0000-0200-00008D040000}"/>
    <hyperlink ref="J1168" r:id="rId1167" xr:uid="{00000000-0004-0000-0200-00008E040000}"/>
    <hyperlink ref="J1169" r:id="rId1168" xr:uid="{00000000-0004-0000-0200-00008F040000}"/>
    <hyperlink ref="J1170" r:id="rId1169" xr:uid="{00000000-0004-0000-0200-000090040000}"/>
    <hyperlink ref="J1171" r:id="rId1170" xr:uid="{00000000-0004-0000-0200-000091040000}"/>
    <hyperlink ref="J1172" r:id="rId1171" xr:uid="{00000000-0004-0000-0200-000092040000}"/>
    <hyperlink ref="J1173" r:id="rId1172" xr:uid="{00000000-0004-0000-0200-000093040000}"/>
    <hyperlink ref="J1174" r:id="rId1173" xr:uid="{00000000-0004-0000-0200-000094040000}"/>
    <hyperlink ref="J1175" r:id="rId1174" xr:uid="{00000000-0004-0000-0200-000095040000}"/>
    <hyperlink ref="J1176" r:id="rId1175" xr:uid="{00000000-0004-0000-0200-000096040000}"/>
    <hyperlink ref="J1177" r:id="rId1176" xr:uid="{00000000-0004-0000-0200-000097040000}"/>
    <hyperlink ref="J1178" r:id="rId1177" xr:uid="{00000000-0004-0000-0200-000098040000}"/>
    <hyperlink ref="J1179" r:id="rId1178" xr:uid="{00000000-0004-0000-0200-000099040000}"/>
    <hyperlink ref="J1180" r:id="rId1179" xr:uid="{00000000-0004-0000-0200-00009A040000}"/>
    <hyperlink ref="J1181" r:id="rId1180" xr:uid="{00000000-0004-0000-0200-00009B040000}"/>
    <hyperlink ref="J1182" r:id="rId1181" xr:uid="{00000000-0004-0000-0200-00009C040000}"/>
    <hyperlink ref="J1183" r:id="rId1182" xr:uid="{00000000-0004-0000-0200-00009D040000}"/>
    <hyperlink ref="J1184" r:id="rId1183" xr:uid="{00000000-0004-0000-0200-00009E040000}"/>
    <hyperlink ref="J1185" r:id="rId1184" xr:uid="{00000000-0004-0000-0200-00009F040000}"/>
    <hyperlink ref="J1186" r:id="rId1185" xr:uid="{00000000-0004-0000-0200-0000A0040000}"/>
    <hyperlink ref="J1187" r:id="rId1186" xr:uid="{00000000-0004-0000-0200-0000A1040000}"/>
    <hyperlink ref="J1188" r:id="rId1187" xr:uid="{00000000-0004-0000-0200-0000A2040000}"/>
    <hyperlink ref="J1189" r:id="rId1188" xr:uid="{00000000-0004-0000-0200-0000A3040000}"/>
    <hyperlink ref="J1190" r:id="rId1189" xr:uid="{00000000-0004-0000-0200-0000A4040000}"/>
    <hyperlink ref="J1191" r:id="rId1190" xr:uid="{00000000-0004-0000-0200-0000A5040000}"/>
    <hyperlink ref="J1192" r:id="rId1191" xr:uid="{00000000-0004-0000-0200-0000A6040000}"/>
    <hyperlink ref="J1193" r:id="rId1192" xr:uid="{00000000-0004-0000-0200-0000A7040000}"/>
    <hyperlink ref="J1194" r:id="rId1193" xr:uid="{00000000-0004-0000-0200-0000A8040000}"/>
    <hyperlink ref="J1195" r:id="rId1194" xr:uid="{00000000-0004-0000-0200-0000A9040000}"/>
    <hyperlink ref="J1196" r:id="rId1195" xr:uid="{00000000-0004-0000-0200-0000AA040000}"/>
    <hyperlink ref="J1197" r:id="rId1196" xr:uid="{00000000-0004-0000-0200-0000AB040000}"/>
    <hyperlink ref="J1198" r:id="rId1197" xr:uid="{00000000-0004-0000-0200-0000AC040000}"/>
    <hyperlink ref="J1199" r:id="rId1198" xr:uid="{00000000-0004-0000-0200-0000AD040000}"/>
    <hyperlink ref="J1200" r:id="rId1199" xr:uid="{00000000-0004-0000-0200-0000AE040000}"/>
    <hyperlink ref="J1201" r:id="rId1200" xr:uid="{00000000-0004-0000-0200-0000AF040000}"/>
    <hyperlink ref="J1202" r:id="rId1201" xr:uid="{00000000-0004-0000-0200-0000B0040000}"/>
    <hyperlink ref="J1203" r:id="rId1202" xr:uid="{00000000-0004-0000-0200-0000B1040000}"/>
    <hyperlink ref="J1204" r:id="rId1203" xr:uid="{00000000-0004-0000-0200-0000B2040000}"/>
    <hyperlink ref="J1205" r:id="rId1204" xr:uid="{00000000-0004-0000-0200-0000B3040000}"/>
    <hyperlink ref="J1206" r:id="rId1205" xr:uid="{00000000-0004-0000-0200-0000B4040000}"/>
    <hyperlink ref="J1207" r:id="rId1206" xr:uid="{00000000-0004-0000-0200-0000B5040000}"/>
    <hyperlink ref="J1208" r:id="rId1207" xr:uid="{00000000-0004-0000-0200-0000B6040000}"/>
    <hyperlink ref="J1209" r:id="rId1208" xr:uid="{00000000-0004-0000-0200-0000B7040000}"/>
    <hyperlink ref="J1210" r:id="rId1209" xr:uid="{00000000-0004-0000-0200-0000B8040000}"/>
    <hyperlink ref="J1211" r:id="rId1210" xr:uid="{00000000-0004-0000-0200-0000B9040000}"/>
    <hyperlink ref="J1212" r:id="rId1211" xr:uid="{00000000-0004-0000-0200-0000BA040000}"/>
    <hyperlink ref="J1213" r:id="rId1212" xr:uid="{00000000-0004-0000-0200-0000BB040000}"/>
    <hyperlink ref="J1214" r:id="rId1213" xr:uid="{00000000-0004-0000-0200-0000BC040000}"/>
    <hyperlink ref="J1215" r:id="rId1214" xr:uid="{00000000-0004-0000-0200-0000BD040000}"/>
    <hyperlink ref="J1216" r:id="rId1215" xr:uid="{00000000-0004-0000-0200-0000BE040000}"/>
    <hyperlink ref="J1217" r:id="rId1216" xr:uid="{00000000-0004-0000-0200-0000BF040000}"/>
    <hyperlink ref="J1218" r:id="rId1217" xr:uid="{00000000-0004-0000-0200-0000C0040000}"/>
    <hyperlink ref="J1219" r:id="rId1218" xr:uid="{00000000-0004-0000-0200-0000C1040000}"/>
    <hyperlink ref="J1220" r:id="rId1219" xr:uid="{00000000-0004-0000-0200-0000C2040000}"/>
    <hyperlink ref="J1221" r:id="rId1220" xr:uid="{00000000-0004-0000-0200-0000C3040000}"/>
    <hyperlink ref="J1222" r:id="rId1221" xr:uid="{00000000-0004-0000-0200-0000C4040000}"/>
    <hyperlink ref="J1223" r:id="rId1222" xr:uid="{00000000-0004-0000-0200-0000C5040000}"/>
    <hyperlink ref="J1224" r:id="rId1223" xr:uid="{00000000-0004-0000-0200-0000C6040000}"/>
    <hyperlink ref="J1225" r:id="rId1224" xr:uid="{00000000-0004-0000-0200-0000C7040000}"/>
    <hyperlink ref="J1226" r:id="rId1225" xr:uid="{00000000-0004-0000-0200-0000C8040000}"/>
    <hyperlink ref="J1227" r:id="rId1226" xr:uid="{00000000-0004-0000-0200-0000C9040000}"/>
    <hyperlink ref="J1228" r:id="rId1227" xr:uid="{00000000-0004-0000-0200-0000CA040000}"/>
    <hyperlink ref="J1229" r:id="rId1228" xr:uid="{00000000-0004-0000-0200-0000CB040000}"/>
    <hyperlink ref="J1230" r:id="rId1229" xr:uid="{00000000-0004-0000-0200-0000CC040000}"/>
    <hyperlink ref="J1231" r:id="rId1230" xr:uid="{00000000-0004-0000-0200-0000CD040000}"/>
    <hyperlink ref="J1232" r:id="rId1231" xr:uid="{00000000-0004-0000-0200-0000CE040000}"/>
    <hyperlink ref="J1233" r:id="rId1232" xr:uid="{00000000-0004-0000-0200-0000CF040000}"/>
    <hyperlink ref="J1234" r:id="rId1233" xr:uid="{00000000-0004-0000-0200-0000D0040000}"/>
    <hyperlink ref="J1235" r:id="rId1234" xr:uid="{00000000-0004-0000-0200-0000D1040000}"/>
    <hyperlink ref="J1236" r:id="rId1235" xr:uid="{00000000-0004-0000-0200-0000D2040000}"/>
    <hyperlink ref="J1237" r:id="rId1236" xr:uid="{00000000-0004-0000-0200-0000D3040000}"/>
    <hyperlink ref="J1238" r:id="rId1237" xr:uid="{00000000-0004-0000-0200-0000D4040000}"/>
    <hyperlink ref="J1239" r:id="rId1238" xr:uid="{00000000-0004-0000-0200-0000D5040000}"/>
    <hyperlink ref="J1240" r:id="rId1239" xr:uid="{00000000-0004-0000-0200-0000D6040000}"/>
    <hyperlink ref="J1241" r:id="rId1240" xr:uid="{00000000-0004-0000-0200-0000D7040000}"/>
    <hyperlink ref="J1242" r:id="rId1241" xr:uid="{00000000-0004-0000-0200-0000D8040000}"/>
    <hyperlink ref="J1243" r:id="rId1242" xr:uid="{00000000-0004-0000-0200-0000D9040000}"/>
    <hyperlink ref="J1244" r:id="rId1243" xr:uid="{00000000-0004-0000-0200-0000DA040000}"/>
    <hyperlink ref="J1245" r:id="rId1244" xr:uid="{00000000-0004-0000-0200-0000DB040000}"/>
    <hyperlink ref="J1246" r:id="rId1245" xr:uid="{00000000-0004-0000-0200-0000DC040000}"/>
    <hyperlink ref="J1247" r:id="rId1246" xr:uid="{00000000-0004-0000-0200-0000DD040000}"/>
    <hyperlink ref="J1248" r:id="rId1247" xr:uid="{00000000-0004-0000-0200-0000DE040000}"/>
    <hyperlink ref="J1249" r:id="rId1248" xr:uid="{00000000-0004-0000-0200-0000DF040000}"/>
    <hyperlink ref="J1250" r:id="rId1249" xr:uid="{00000000-0004-0000-0200-0000E0040000}"/>
    <hyperlink ref="J1251" r:id="rId1250" xr:uid="{00000000-0004-0000-0200-0000E1040000}"/>
    <hyperlink ref="J1252" r:id="rId1251" xr:uid="{00000000-0004-0000-0200-0000E2040000}"/>
    <hyperlink ref="J1253" r:id="rId1252" xr:uid="{00000000-0004-0000-0200-0000E3040000}"/>
    <hyperlink ref="J1254" r:id="rId1253" xr:uid="{00000000-0004-0000-0200-0000E4040000}"/>
    <hyperlink ref="J1255" r:id="rId1254" xr:uid="{00000000-0004-0000-0200-0000E5040000}"/>
    <hyperlink ref="J1256" r:id="rId1255" xr:uid="{00000000-0004-0000-0200-0000E6040000}"/>
    <hyperlink ref="J1257" r:id="rId1256" xr:uid="{00000000-0004-0000-0200-0000E7040000}"/>
    <hyperlink ref="J1258" r:id="rId1257" xr:uid="{00000000-0004-0000-0200-0000E8040000}"/>
    <hyperlink ref="J1259" r:id="rId1258" xr:uid="{00000000-0004-0000-0200-0000E9040000}"/>
    <hyperlink ref="J1260" r:id="rId1259" xr:uid="{00000000-0004-0000-0200-0000EA040000}"/>
    <hyperlink ref="J1261" r:id="rId1260" xr:uid="{00000000-0004-0000-0200-0000EB040000}"/>
    <hyperlink ref="J1262" r:id="rId1261" xr:uid="{00000000-0004-0000-0200-0000EC040000}"/>
    <hyperlink ref="J1263" r:id="rId1262" xr:uid="{00000000-0004-0000-0200-0000ED040000}"/>
    <hyperlink ref="J1264" r:id="rId1263" xr:uid="{00000000-0004-0000-0200-0000EE040000}"/>
    <hyperlink ref="J1265" r:id="rId1264" xr:uid="{00000000-0004-0000-0200-0000EF040000}"/>
    <hyperlink ref="J1266" r:id="rId1265" xr:uid="{00000000-0004-0000-0200-0000F0040000}"/>
    <hyperlink ref="J1267" r:id="rId1266" xr:uid="{00000000-0004-0000-0200-0000F1040000}"/>
    <hyperlink ref="J1268" r:id="rId1267" xr:uid="{00000000-0004-0000-0200-0000F2040000}"/>
    <hyperlink ref="J1269" r:id="rId1268" xr:uid="{00000000-0004-0000-0200-0000F3040000}"/>
    <hyperlink ref="J1270" r:id="rId1269" xr:uid="{00000000-0004-0000-0200-0000F4040000}"/>
    <hyperlink ref="J1271" r:id="rId1270" xr:uid="{00000000-0004-0000-0200-0000F5040000}"/>
    <hyperlink ref="J1272" r:id="rId1271" xr:uid="{00000000-0004-0000-0200-0000F6040000}"/>
    <hyperlink ref="J1273" r:id="rId1272" xr:uid="{00000000-0004-0000-0200-0000F7040000}"/>
    <hyperlink ref="J1274" r:id="rId1273" xr:uid="{00000000-0004-0000-0200-0000F8040000}"/>
    <hyperlink ref="J1275" r:id="rId1274" xr:uid="{00000000-0004-0000-0200-0000F9040000}"/>
    <hyperlink ref="J1276" r:id="rId1275" xr:uid="{00000000-0004-0000-0200-0000FA040000}"/>
    <hyperlink ref="J1277" r:id="rId1276" xr:uid="{00000000-0004-0000-0200-0000FB040000}"/>
    <hyperlink ref="J1278" r:id="rId1277" xr:uid="{00000000-0004-0000-0200-0000FC040000}"/>
    <hyperlink ref="J1279" r:id="rId1278" xr:uid="{00000000-0004-0000-0200-0000FD040000}"/>
    <hyperlink ref="J1280" r:id="rId1279" xr:uid="{00000000-0004-0000-0200-0000FE040000}"/>
    <hyperlink ref="J1281" r:id="rId1280" xr:uid="{00000000-0004-0000-0200-0000FF040000}"/>
    <hyperlink ref="J1282" r:id="rId1281" xr:uid="{00000000-0004-0000-0200-000000050000}"/>
    <hyperlink ref="J1283" r:id="rId1282" xr:uid="{00000000-0004-0000-0200-000001050000}"/>
    <hyperlink ref="J1284" r:id="rId1283" xr:uid="{00000000-0004-0000-0200-000002050000}"/>
    <hyperlink ref="J1285" r:id="rId1284" xr:uid="{00000000-0004-0000-0200-000003050000}"/>
    <hyperlink ref="J1286" r:id="rId1285" xr:uid="{00000000-0004-0000-0200-000004050000}"/>
    <hyperlink ref="J1287" r:id="rId1286" xr:uid="{00000000-0004-0000-0200-000005050000}"/>
    <hyperlink ref="J1288" r:id="rId1287" xr:uid="{00000000-0004-0000-0200-000006050000}"/>
    <hyperlink ref="J1289" r:id="rId1288" xr:uid="{00000000-0004-0000-0200-000007050000}"/>
    <hyperlink ref="J1290" r:id="rId1289" xr:uid="{00000000-0004-0000-0200-000008050000}"/>
    <hyperlink ref="J1291" r:id="rId1290" xr:uid="{00000000-0004-0000-0200-000009050000}"/>
    <hyperlink ref="J1292" r:id="rId1291" xr:uid="{00000000-0004-0000-0200-00000A050000}"/>
    <hyperlink ref="J1293" r:id="rId1292" xr:uid="{00000000-0004-0000-0200-00000B050000}"/>
    <hyperlink ref="J1294" r:id="rId1293" xr:uid="{00000000-0004-0000-0200-00000C050000}"/>
    <hyperlink ref="J1295" r:id="rId1294" xr:uid="{00000000-0004-0000-0200-00000D050000}"/>
    <hyperlink ref="J1296" r:id="rId1295" xr:uid="{00000000-0004-0000-0200-00000E050000}"/>
    <hyperlink ref="J1297" r:id="rId1296" xr:uid="{00000000-0004-0000-0200-00000F050000}"/>
    <hyperlink ref="J1298" r:id="rId1297" xr:uid="{00000000-0004-0000-0200-000010050000}"/>
    <hyperlink ref="J1299" r:id="rId1298" xr:uid="{00000000-0004-0000-0200-000011050000}"/>
    <hyperlink ref="J1300" r:id="rId1299" xr:uid="{00000000-0004-0000-0200-000012050000}"/>
    <hyperlink ref="J1301" r:id="rId1300" xr:uid="{00000000-0004-0000-0200-000013050000}"/>
    <hyperlink ref="J1302" r:id="rId1301" xr:uid="{00000000-0004-0000-0200-000014050000}"/>
    <hyperlink ref="J1303" r:id="rId1302" xr:uid="{00000000-0004-0000-0200-000015050000}"/>
    <hyperlink ref="J1304" r:id="rId1303" xr:uid="{00000000-0004-0000-0200-000016050000}"/>
    <hyperlink ref="J1305" r:id="rId1304" xr:uid="{00000000-0004-0000-0200-000017050000}"/>
    <hyperlink ref="J1306" r:id="rId1305" xr:uid="{00000000-0004-0000-0200-000018050000}"/>
    <hyperlink ref="J1307" r:id="rId1306" xr:uid="{00000000-0004-0000-0200-000019050000}"/>
    <hyperlink ref="J1308" r:id="rId1307" xr:uid="{00000000-0004-0000-0200-00001A050000}"/>
    <hyperlink ref="J1309" r:id="rId1308" xr:uid="{00000000-0004-0000-0200-00001B050000}"/>
    <hyperlink ref="J1310" r:id="rId1309" xr:uid="{00000000-0004-0000-0200-00001C050000}"/>
    <hyperlink ref="J1311" r:id="rId1310" xr:uid="{00000000-0004-0000-0200-00001D050000}"/>
    <hyperlink ref="J1312" r:id="rId1311" xr:uid="{00000000-0004-0000-0200-00001E050000}"/>
    <hyperlink ref="J1313" r:id="rId1312" xr:uid="{00000000-0004-0000-0200-00001F050000}"/>
    <hyperlink ref="J1314" r:id="rId1313" xr:uid="{00000000-0004-0000-0200-000020050000}"/>
    <hyperlink ref="J1315" r:id="rId1314" xr:uid="{00000000-0004-0000-0200-000021050000}"/>
    <hyperlink ref="J1316" r:id="rId1315" xr:uid="{00000000-0004-0000-0200-000022050000}"/>
    <hyperlink ref="J1317" r:id="rId1316" xr:uid="{00000000-0004-0000-0200-000023050000}"/>
    <hyperlink ref="J1318" r:id="rId1317" xr:uid="{00000000-0004-0000-0200-000024050000}"/>
    <hyperlink ref="J1319" r:id="rId1318" xr:uid="{00000000-0004-0000-0200-000025050000}"/>
    <hyperlink ref="J1320" r:id="rId1319" xr:uid="{00000000-0004-0000-0200-000026050000}"/>
    <hyperlink ref="J1321" r:id="rId1320" xr:uid="{00000000-0004-0000-0200-000027050000}"/>
    <hyperlink ref="J1322" r:id="rId1321" xr:uid="{00000000-0004-0000-0200-000028050000}"/>
    <hyperlink ref="J1323" r:id="rId1322" xr:uid="{00000000-0004-0000-0200-000029050000}"/>
    <hyperlink ref="J1324" r:id="rId1323" xr:uid="{00000000-0004-0000-0200-00002A050000}"/>
    <hyperlink ref="J1325" r:id="rId1324" xr:uid="{00000000-0004-0000-0200-00002B050000}"/>
    <hyperlink ref="J1326" r:id="rId1325" xr:uid="{00000000-0004-0000-0200-00002C050000}"/>
    <hyperlink ref="J1327" r:id="rId1326" xr:uid="{00000000-0004-0000-0200-00002D050000}"/>
    <hyperlink ref="J1328" r:id="rId1327" xr:uid="{00000000-0004-0000-0200-00002E050000}"/>
    <hyperlink ref="J1329" r:id="rId1328" xr:uid="{00000000-0004-0000-0200-00002F050000}"/>
    <hyperlink ref="J1330" r:id="rId1329" xr:uid="{00000000-0004-0000-0200-000030050000}"/>
    <hyperlink ref="J1331" r:id="rId1330" xr:uid="{00000000-0004-0000-0200-000031050000}"/>
    <hyperlink ref="J1332" r:id="rId1331" xr:uid="{00000000-0004-0000-0200-000032050000}"/>
    <hyperlink ref="J1333" r:id="rId1332" xr:uid="{00000000-0004-0000-0200-000033050000}"/>
    <hyperlink ref="J1334" r:id="rId1333" xr:uid="{00000000-0004-0000-0200-000034050000}"/>
    <hyperlink ref="J1335" r:id="rId1334" xr:uid="{00000000-0004-0000-0200-000035050000}"/>
    <hyperlink ref="J1336" r:id="rId1335" xr:uid="{00000000-0004-0000-0200-000036050000}"/>
    <hyperlink ref="J1337" r:id="rId1336" xr:uid="{00000000-0004-0000-0200-000037050000}"/>
    <hyperlink ref="J1338" r:id="rId1337" xr:uid="{00000000-0004-0000-0200-000038050000}"/>
    <hyperlink ref="J1339" r:id="rId1338" xr:uid="{00000000-0004-0000-0200-000039050000}"/>
    <hyperlink ref="J1340" r:id="rId1339" xr:uid="{00000000-0004-0000-0200-00003A050000}"/>
    <hyperlink ref="J1341" r:id="rId1340" xr:uid="{00000000-0004-0000-0200-00003B050000}"/>
    <hyperlink ref="J1342" r:id="rId1341" xr:uid="{00000000-0004-0000-0200-00003C050000}"/>
    <hyperlink ref="J1343" r:id="rId1342" xr:uid="{00000000-0004-0000-0200-00003D050000}"/>
    <hyperlink ref="J1344" r:id="rId1343" xr:uid="{00000000-0004-0000-0200-00003E050000}"/>
    <hyperlink ref="J1345" r:id="rId1344" xr:uid="{00000000-0004-0000-0200-00003F050000}"/>
    <hyperlink ref="J1346" r:id="rId1345" xr:uid="{00000000-0004-0000-0200-000040050000}"/>
    <hyperlink ref="J1347" r:id="rId1346" xr:uid="{00000000-0004-0000-0200-000041050000}"/>
    <hyperlink ref="J1348" r:id="rId1347" xr:uid="{00000000-0004-0000-0200-000042050000}"/>
    <hyperlink ref="J1349" r:id="rId1348" xr:uid="{00000000-0004-0000-0200-000043050000}"/>
    <hyperlink ref="J1350" r:id="rId1349" xr:uid="{00000000-0004-0000-0200-000044050000}"/>
    <hyperlink ref="J1351" r:id="rId1350" xr:uid="{00000000-0004-0000-0200-000045050000}"/>
    <hyperlink ref="J1352" r:id="rId1351" xr:uid="{00000000-0004-0000-0200-000046050000}"/>
    <hyperlink ref="J1353" r:id="rId1352" xr:uid="{00000000-0004-0000-0200-000047050000}"/>
    <hyperlink ref="J1354" r:id="rId1353" xr:uid="{00000000-0004-0000-0200-000048050000}"/>
    <hyperlink ref="J1355" r:id="rId1354" xr:uid="{00000000-0004-0000-0200-000049050000}"/>
    <hyperlink ref="J1356" r:id="rId1355" xr:uid="{00000000-0004-0000-0200-00004A050000}"/>
    <hyperlink ref="J1357" r:id="rId1356" xr:uid="{00000000-0004-0000-0200-00004B050000}"/>
    <hyperlink ref="J1358" r:id="rId1357" xr:uid="{00000000-0004-0000-0200-00004C050000}"/>
    <hyperlink ref="J1359" r:id="rId1358" xr:uid="{00000000-0004-0000-0200-00004D050000}"/>
    <hyperlink ref="J1360" r:id="rId1359" xr:uid="{00000000-0004-0000-0200-00004E050000}"/>
    <hyperlink ref="J1361" r:id="rId1360" xr:uid="{00000000-0004-0000-0200-00004F050000}"/>
    <hyperlink ref="J1362" r:id="rId1361" xr:uid="{00000000-0004-0000-0200-000050050000}"/>
    <hyperlink ref="J1363" r:id="rId1362" xr:uid="{00000000-0004-0000-0200-000051050000}"/>
    <hyperlink ref="J1364" r:id="rId1363" xr:uid="{00000000-0004-0000-0200-000052050000}"/>
    <hyperlink ref="J1365" r:id="rId1364" xr:uid="{00000000-0004-0000-0200-000053050000}"/>
    <hyperlink ref="J1366" r:id="rId1365" xr:uid="{00000000-0004-0000-0200-000054050000}"/>
    <hyperlink ref="J1367" r:id="rId1366" xr:uid="{00000000-0004-0000-0200-000055050000}"/>
    <hyperlink ref="J1368" r:id="rId1367" xr:uid="{00000000-0004-0000-0200-000056050000}"/>
    <hyperlink ref="J1369" r:id="rId1368" xr:uid="{00000000-0004-0000-0200-000057050000}"/>
    <hyperlink ref="J1370" r:id="rId1369" xr:uid="{00000000-0004-0000-0200-000058050000}"/>
    <hyperlink ref="J1371" r:id="rId1370" xr:uid="{00000000-0004-0000-0200-000059050000}"/>
    <hyperlink ref="J1372" r:id="rId1371" xr:uid="{00000000-0004-0000-0200-00005A050000}"/>
    <hyperlink ref="J1373" r:id="rId1372" xr:uid="{00000000-0004-0000-0200-00005B050000}"/>
    <hyperlink ref="J1374" r:id="rId1373" xr:uid="{00000000-0004-0000-0200-00005C050000}"/>
    <hyperlink ref="J1375" r:id="rId1374" xr:uid="{00000000-0004-0000-0200-00005D050000}"/>
    <hyperlink ref="J1376" r:id="rId1375" xr:uid="{00000000-0004-0000-0200-00005E050000}"/>
    <hyperlink ref="J1377" r:id="rId1376" xr:uid="{00000000-0004-0000-0200-00005F050000}"/>
    <hyperlink ref="J1378" r:id="rId1377" xr:uid="{00000000-0004-0000-0200-000060050000}"/>
    <hyperlink ref="J1379" r:id="rId1378" xr:uid="{00000000-0004-0000-0200-000061050000}"/>
    <hyperlink ref="J1380" r:id="rId1379" xr:uid="{00000000-0004-0000-0200-000062050000}"/>
    <hyperlink ref="J1381" r:id="rId1380" xr:uid="{00000000-0004-0000-0200-000063050000}"/>
    <hyperlink ref="J1382" r:id="rId1381" xr:uid="{00000000-0004-0000-0200-000064050000}"/>
    <hyperlink ref="J1383" r:id="rId1382" xr:uid="{00000000-0004-0000-0200-000065050000}"/>
    <hyperlink ref="J1384" r:id="rId1383" xr:uid="{00000000-0004-0000-0200-000066050000}"/>
    <hyperlink ref="J1385" r:id="rId1384" xr:uid="{00000000-0004-0000-0200-000067050000}"/>
    <hyperlink ref="J1386" r:id="rId1385" xr:uid="{00000000-0004-0000-0200-000068050000}"/>
    <hyperlink ref="J1387" r:id="rId1386" xr:uid="{00000000-0004-0000-0200-000069050000}"/>
    <hyperlink ref="J1388" r:id="rId1387" xr:uid="{00000000-0004-0000-0200-00006A050000}"/>
    <hyperlink ref="J1389" r:id="rId1388" xr:uid="{00000000-0004-0000-0200-00006B050000}"/>
    <hyperlink ref="J1390" r:id="rId1389" xr:uid="{00000000-0004-0000-0200-00006C050000}"/>
    <hyperlink ref="J1391" r:id="rId1390" xr:uid="{00000000-0004-0000-0200-00006D050000}"/>
    <hyperlink ref="J1392" r:id="rId1391" xr:uid="{00000000-0004-0000-0200-00006E050000}"/>
    <hyperlink ref="J1393" r:id="rId1392" xr:uid="{00000000-0004-0000-0200-00006F050000}"/>
    <hyperlink ref="J1394" r:id="rId1393" xr:uid="{00000000-0004-0000-0200-000070050000}"/>
    <hyperlink ref="J1395" r:id="rId1394" xr:uid="{00000000-0004-0000-0200-000071050000}"/>
    <hyperlink ref="J1396" r:id="rId1395" xr:uid="{00000000-0004-0000-0200-000072050000}"/>
    <hyperlink ref="J1397" r:id="rId1396" xr:uid="{00000000-0004-0000-0200-000073050000}"/>
    <hyperlink ref="J1398" r:id="rId1397" xr:uid="{00000000-0004-0000-0200-000074050000}"/>
    <hyperlink ref="J1399" r:id="rId1398" xr:uid="{00000000-0004-0000-0200-000075050000}"/>
    <hyperlink ref="J1400" r:id="rId1399" xr:uid="{00000000-0004-0000-0200-000076050000}"/>
    <hyperlink ref="J1401" r:id="rId1400" xr:uid="{00000000-0004-0000-0200-000077050000}"/>
    <hyperlink ref="J1402" r:id="rId1401" xr:uid="{00000000-0004-0000-0200-000078050000}"/>
    <hyperlink ref="J1403" r:id="rId1402" xr:uid="{00000000-0004-0000-0200-000079050000}"/>
    <hyperlink ref="J1404" r:id="rId1403" xr:uid="{00000000-0004-0000-0200-00007A050000}"/>
    <hyperlink ref="J1405" r:id="rId1404" xr:uid="{00000000-0004-0000-0200-00007B050000}"/>
    <hyperlink ref="J1406" r:id="rId1405" xr:uid="{00000000-0004-0000-0200-00007C050000}"/>
    <hyperlink ref="J1407" r:id="rId1406" xr:uid="{00000000-0004-0000-0200-00007D050000}"/>
    <hyperlink ref="J1408" r:id="rId1407" xr:uid="{00000000-0004-0000-0200-00007E050000}"/>
    <hyperlink ref="J1409" r:id="rId1408" xr:uid="{00000000-0004-0000-0200-00007F050000}"/>
    <hyperlink ref="J1410" r:id="rId1409" xr:uid="{00000000-0004-0000-0200-000080050000}"/>
    <hyperlink ref="J1411" r:id="rId1410" xr:uid="{00000000-0004-0000-0200-000081050000}"/>
    <hyperlink ref="J1412" r:id="rId1411" xr:uid="{00000000-0004-0000-0200-000082050000}"/>
    <hyperlink ref="J1413" r:id="rId1412" xr:uid="{00000000-0004-0000-0200-000083050000}"/>
    <hyperlink ref="J1414" r:id="rId1413" xr:uid="{00000000-0004-0000-0200-000084050000}"/>
    <hyperlink ref="J1415" r:id="rId1414" xr:uid="{00000000-0004-0000-0200-000085050000}"/>
    <hyperlink ref="J1416" r:id="rId1415" xr:uid="{00000000-0004-0000-0200-000086050000}"/>
    <hyperlink ref="J1417" r:id="rId1416" xr:uid="{00000000-0004-0000-0200-000087050000}"/>
    <hyperlink ref="J1418" r:id="rId1417" xr:uid="{00000000-0004-0000-0200-000088050000}"/>
    <hyperlink ref="J1419" r:id="rId1418" xr:uid="{00000000-0004-0000-0200-000089050000}"/>
    <hyperlink ref="J1420" r:id="rId1419" xr:uid="{00000000-0004-0000-0200-00008A050000}"/>
    <hyperlink ref="J1421" r:id="rId1420" xr:uid="{00000000-0004-0000-0200-00008B050000}"/>
    <hyperlink ref="J1422" r:id="rId1421" xr:uid="{00000000-0004-0000-0200-00008C050000}"/>
    <hyperlink ref="J1423" r:id="rId1422" xr:uid="{00000000-0004-0000-0200-00008D050000}"/>
    <hyperlink ref="J1424" r:id="rId1423" xr:uid="{00000000-0004-0000-0200-00008E050000}"/>
    <hyperlink ref="J1425" r:id="rId1424" xr:uid="{00000000-0004-0000-0200-00008F050000}"/>
    <hyperlink ref="J1426" r:id="rId1425" xr:uid="{00000000-0004-0000-0200-000090050000}"/>
    <hyperlink ref="J1427" r:id="rId1426" xr:uid="{00000000-0004-0000-0200-000091050000}"/>
    <hyperlink ref="J1428" r:id="rId1427" xr:uid="{00000000-0004-0000-0200-000092050000}"/>
    <hyperlink ref="J1429" r:id="rId1428" xr:uid="{00000000-0004-0000-0200-000093050000}"/>
    <hyperlink ref="J1430" r:id="rId1429" xr:uid="{00000000-0004-0000-0200-000094050000}"/>
    <hyperlink ref="J1431" r:id="rId1430" xr:uid="{00000000-0004-0000-0200-000095050000}"/>
    <hyperlink ref="J1432" r:id="rId1431" xr:uid="{00000000-0004-0000-0200-000096050000}"/>
    <hyperlink ref="J1433" r:id="rId1432" xr:uid="{00000000-0004-0000-0200-000097050000}"/>
    <hyperlink ref="J1434" r:id="rId1433" xr:uid="{00000000-0004-0000-0200-000098050000}"/>
    <hyperlink ref="J1435" r:id="rId1434" xr:uid="{00000000-0004-0000-0200-000099050000}"/>
    <hyperlink ref="J1436" r:id="rId1435" xr:uid="{00000000-0004-0000-0200-00009A050000}"/>
    <hyperlink ref="J1437" r:id="rId1436" xr:uid="{00000000-0004-0000-0200-00009B050000}"/>
    <hyperlink ref="J1438" r:id="rId1437" xr:uid="{00000000-0004-0000-0200-00009C050000}"/>
    <hyperlink ref="J1439" r:id="rId1438" xr:uid="{00000000-0004-0000-0200-00009D050000}"/>
    <hyperlink ref="J1440" r:id="rId1439" xr:uid="{00000000-0004-0000-0200-00009E050000}"/>
    <hyperlink ref="J1441" r:id="rId1440" xr:uid="{00000000-0004-0000-0200-00009F050000}"/>
    <hyperlink ref="J1442" r:id="rId1441" xr:uid="{00000000-0004-0000-0200-0000A0050000}"/>
    <hyperlink ref="J1443" r:id="rId1442" xr:uid="{00000000-0004-0000-0200-0000A1050000}"/>
    <hyperlink ref="J1444" r:id="rId1443" xr:uid="{00000000-0004-0000-0200-0000A2050000}"/>
    <hyperlink ref="J1445" r:id="rId1444" xr:uid="{00000000-0004-0000-0200-0000A3050000}"/>
    <hyperlink ref="J1446" r:id="rId1445" xr:uid="{00000000-0004-0000-0200-0000A4050000}"/>
    <hyperlink ref="J1447" r:id="rId1446" xr:uid="{00000000-0004-0000-0200-0000A5050000}"/>
    <hyperlink ref="J1448" r:id="rId1447" xr:uid="{00000000-0004-0000-0200-0000A6050000}"/>
    <hyperlink ref="J1449" r:id="rId1448" xr:uid="{00000000-0004-0000-0200-0000A7050000}"/>
    <hyperlink ref="J1450" r:id="rId1449" xr:uid="{00000000-0004-0000-0200-0000A8050000}"/>
    <hyperlink ref="J1451" r:id="rId1450" xr:uid="{00000000-0004-0000-0200-0000A9050000}"/>
    <hyperlink ref="J1452" r:id="rId1451" xr:uid="{00000000-0004-0000-0200-0000AA050000}"/>
    <hyperlink ref="J1453" r:id="rId1452" xr:uid="{00000000-0004-0000-0200-0000AB050000}"/>
    <hyperlink ref="J1454" r:id="rId1453" xr:uid="{00000000-0004-0000-0200-0000AC050000}"/>
    <hyperlink ref="J1455" r:id="rId1454" xr:uid="{00000000-0004-0000-0200-0000AD050000}"/>
    <hyperlink ref="J1456" r:id="rId1455" xr:uid="{00000000-0004-0000-0200-0000AE050000}"/>
    <hyperlink ref="J1457" r:id="rId1456" xr:uid="{00000000-0004-0000-0200-0000AF050000}"/>
    <hyperlink ref="J1458" r:id="rId1457" xr:uid="{00000000-0004-0000-0200-0000B0050000}"/>
    <hyperlink ref="J1459" r:id="rId1458" xr:uid="{00000000-0004-0000-0200-0000B1050000}"/>
    <hyperlink ref="J1460" r:id="rId1459" xr:uid="{00000000-0004-0000-0200-0000B2050000}"/>
    <hyperlink ref="J1461" r:id="rId1460" xr:uid="{00000000-0004-0000-0200-0000B3050000}"/>
    <hyperlink ref="J1462" r:id="rId1461" xr:uid="{00000000-0004-0000-0200-0000B4050000}"/>
    <hyperlink ref="J1463" r:id="rId1462" xr:uid="{00000000-0004-0000-0200-0000B5050000}"/>
    <hyperlink ref="J1464" r:id="rId1463" xr:uid="{00000000-0004-0000-0200-0000B6050000}"/>
    <hyperlink ref="J1465" r:id="rId1464" xr:uid="{00000000-0004-0000-0200-0000B7050000}"/>
    <hyperlink ref="J1466" r:id="rId1465" xr:uid="{00000000-0004-0000-0200-0000B8050000}"/>
    <hyperlink ref="J1467" r:id="rId1466" xr:uid="{00000000-0004-0000-0200-0000B9050000}"/>
    <hyperlink ref="J1468" r:id="rId1467" xr:uid="{00000000-0004-0000-0200-0000BA050000}"/>
    <hyperlink ref="J1469" r:id="rId1468" xr:uid="{00000000-0004-0000-0200-0000BB050000}"/>
    <hyperlink ref="J1470" r:id="rId1469" xr:uid="{00000000-0004-0000-0200-0000BC050000}"/>
    <hyperlink ref="J1471" r:id="rId1470" xr:uid="{00000000-0004-0000-0200-0000BD050000}"/>
    <hyperlink ref="J1472" r:id="rId1471" xr:uid="{00000000-0004-0000-0200-0000BE050000}"/>
    <hyperlink ref="J1473" r:id="rId1472" xr:uid="{00000000-0004-0000-0200-0000BF050000}"/>
    <hyperlink ref="J1474" r:id="rId1473" xr:uid="{00000000-0004-0000-0200-0000C0050000}"/>
    <hyperlink ref="J1475" r:id="rId1474" xr:uid="{00000000-0004-0000-0200-0000C1050000}"/>
    <hyperlink ref="J1476" r:id="rId1475" xr:uid="{00000000-0004-0000-0200-0000C205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0"/>
  <sheetViews>
    <sheetView topLeftCell="A13" workbookViewId="0">
      <selection activeCell="C34" sqref="C34"/>
    </sheetView>
  </sheetViews>
  <sheetFormatPr baseColWidth="10" defaultRowHeight="16" x14ac:dyDescent="0.2"/>
  <cols>
    <col min="1" max="1" width="16.33203125" bestFit="1" customWidth="1"/>
    <col min="2" max="2" width="11.6640625" bestFit="1" customWidth="1"/>
    <col min="3" max="3" width="35.83203125" bestFit="1" customWidth="1"/>
  </cols>
  <sheetData>
    <row r="1" spans="1:7" x14ac:dyDescent="0.2">
      <c r="A1" s="2" t="s">
        <v>2611</v>
      </c>
      <c r="B1" s="2" t="s">
        <v>2612</v>
      </c>
      <c r="C1" s="2" t="s">
        <v>2613</v>
      </c>
      <c r="D1" s="2" t="s">
        <v>2614</v>
      </c>
      <c r="E1" s="2" t="s">
        <v>2615</v>
      </c>
      <c r="F1" s="2" t="s">
        <v>2616</v>
      </c>
      <c r="G1" s="2" t="s">
        <v>2617</v>
      </c>
    </row>
    <row r="2" spans="1:7" x14ac:dyDescent="0.2">
      <c r="A2" s="1" t="s">
        <v>95</v>
      </c>
      <c r="B2" s="6" t="str">
        <f t="shared" ref="B2:B33" si="0">HYPERLINK(_xlfn.CONCAT("https://www.ncbi.nlm.nih.gov/nuccore/",A2),A2)</f>
        <v>MH816996</v>
      </c>
      <c r="C2" t="s">
        <v>2618</v>
      </c>
      <c r="D2">
        <f>MATCH(C2,AllProtiens!$F:$F,0)</f>
        <v>25</v>
      </c>
      <c r="E2" t="s">
        <v>2619</v>
      </c>
      <c r="F2" t="s">
        <v>2619</v>
      </c>
    </row>
    <row r="3" spans="1:7" x14ac:dyDescent="0.2">
      <c r="A3" s="1" t="s">
        <v>191</v>
      </c>
      <c r="B3" s="6" t="str">
        <f t="shared" si="0"/>
        <v>AP013055</v>
      </c>
      <c r="C3" t="s">
        <v>190</v>
      </c>
      <c r="D3">
        <f>MATCH(C3,AllProtiens!$F:$F,0)</f>
        <v>52</v>
      </c>
      <c r="E3" t="s">
        <v>2619</v>
      </c>
      <c r="F3" t="s">
        <v>2619</v>
      </c>
    </row>
    <row r="4" spans="1:7" x14ac:dyDescent="0.2">
      <c r="A4" s="1" t="s">
        <v>194</v>
      </c>
      <c r="B4" s="6" t="str">
        <f t="shared" si="0"/>
        <v>HF679131</v>
      </c>
      <c r="C4" t="s">
        <v>193</v>
      </c>
      <c r="D4">
        <f>MATCH(C4,AllProtiens!$F:$F,0)</f>
        <v>53</v>
      </c>
      <c r="E4" t="s">
        <v>2619</v>
      </c>
      <c r="F4" t="s">
        <v>2619</v>
      </c>
    </row>
    <row r="5" spans="1:7" x14ac:dyDescent="0.2">
      <c r="A5" s="1" t="s">
        <v>98</v>
      </c>
      <c r="B5" s="6" t="str">
        <f t="shared" si="0"/>
        <v>MH607141</v>
      </c>
      <c r="C5" t="s">
        <v>97</v>
      </c>
      <c r="D5">
        <f>MATCH(C5,AllProtiens!$F:$F,0)</f>
        <v>26</v>
      </c>
      <c r="E5" t="s">
        <v>2619</v>
      </c>
      <c r="F5" t="s">
        <v>2619</v>
      </c>
    </row>
    <row r="6" spans="1:7" x14ac:dyDescent="0.2">
      <c r="A6" s="1" t="s">
        <v>198</v>
      </c>
      <c r="B6" s="6" t="str">
        <f t="shared" si="0"/>
        <v>AF250284</v>
      </c>
      <c r="C6" t="s">
        <v>197</v>
      </c>
      <c r="D6">
        <f>MATCH(C6,AllProtiens!$F:$F,0)</f>
        <v>54</v>
      </c>
      <c r="E6" t="s">
        <v>2619</v>
      </c>
      <c r="F6" t="s">
        <v>2619</v>
      </c>
    </row>
    <row r="7" spans="1:7" x14ac:dyDescent="0.2">
      <c r="A7" s="1" t="s">
        <v>160</v>
      </c>
      <c r="B7" s="6" t="str">
        <f t="shared" si="0"/>
        <v>AY386265</v>
      </c>
      <c r="C7" t="s">
        <v>2620</v>
      </c>
      <c r="D7">
        <f>MATCH(C7,AllProtiens!$F:$F,0)</f>
        <v>43</v>
      </c>
      <c r="E7" t="s">
        <v>2619</v>
      </c>
      <c r="F7" t="s">
        <v>2619</v>
      </c>
    </row>
    <row r="8" spans="1:7" x14ac:dyDescent="0.2">
      <c r="A8" s="1" t="s">
        <v>22</v>
      </c>
      <c r="B8" s="6" t="str">
        <f t="shared" si="0"/>
        <v>KY094066</v>
      </c>
      <c r="C8" t="s">
        <v>21</v>
      </c>
      <c r="D8">
        <f>MATCH(C8,AllProtiens!$F:$F,0)</f>
        <v>4</v>
      </c>
      <c r="E8" t="s">
        <v>2621</v>
      </c>
      <c r="F8" t="s">
        <v>2619</v>
      </c>
    </row>
    <row r="9" spans="1:7" x14ac:dyDescent="0.2">
      <c r="A9" s="1" t="s">
        <v>110</v>
      </c>
      <c r="B9" s="6" t="str">
        <f t="shared" si="0"/>
        <v>AF438165</v>
      </c>
      <c r="C9" t="s">
        <v>109</v>
      </c>
      <c r="D9">
        <f>MATCH(C9,AllProtiens!$F:$F,0)</f>
        <v>29</v>
      </c>
      <c r="E9" t="s">
        <v>2619</v>
      </c>
      <c r="F9" t="s">
        <v>2619</v>
      </c>
    </row>
    <row r="10" spans="1:7" x14ac:dyDescent="0.2">
      <c r="A10" s="1" t="s">
        <v>106</v>
      </c>
      <c r="B10" s="6" t="str">
        <f t="shared" si="0"/>
        <v>AY009089</v>
      </c>
      <c r="C10" t="s">
        <v>105</v>
      </c>
      <c r="D10">
        <f>MATCH(C10,AllProtiens!$F:$F,0)</f>
        <v>28</v>
      </c>
      <c r="E10" t="s">
        <v>2621</v>
      </c>
      <c r="F10" t="s">
        <v>2619</v>
      </c>
    </row>
    <row r="11" spans="1:7" x14ac:dyDescent="0.2">
      <c r="A11" s="1" t="s">
        <v>201</v>
      </c>
      <c r="B11" s="6" t="str">
        <f t="shared" si="0"/>
        <v>HF679132</v>
      </c>
      <c r="C11" t="s">
        <v>200</v>
      </c>
      <c r="D11">
        <f>MATCH(C11,AllProtiens!$F:$F,0)</f>
        <v>55</v>
      </c>
      <c r="E11" t="s">
        <v>2619</v>
      </c>
      <c r="F11" t="s">
        <v>2619</v>
      </c>
    </row>
    <row r="12" spans="1:7" x14ac:dyDescent="0.2">
      <c r="A12" s="1" t="s">
        <v>58</v>
      </c>
      <c r="B12" s="6" t="str">
        <f t="shared" si="0"/>
        <v>AY318871</v>
      </c>
      <c r="C12" t="s">
        <v>2622</v>
      </c>
      <c r="D12">
        <f>MATCH(C12,AllProtiens!$F:$F,0)</f>
        <v>14</v>
      </c>
      <c r="E12" t="s">
        <v>2619</v>
      </c>
      <c r="F12" t="s">
        <v>2619</v>
      </c>
    </row>
    <row r="13" spans="1:7" x14ac:dyDescent="0.2">
      <c r="A13" s="1" t="s">
        <v>26</v>
      </c>
      <c r="B13" s="6" t="str">
        <f t="shared" si="0"/>
        <v>HQ647181</v>
      </c>
      <c r="C13" t="s">
        <v>25</v>
      </c>
      <c r="D13">
        <f>MATCH(C13,AllProtiens!$F:$F,0)</f>
        <v>5</v>
      </c>
      <c r="E13" t="s">
        <v>2619</v>
      </c>
      <c r="F13" t="s">
        <v>2619</v>
      </c>
    </row>
    <row r="14" spans="1:7" x14ac:dyDescent="0.2">
      <c r="A14" s="1" t="s">
        <v>114</v>
      </c>
      <c r="B14" s="6" t="str">
        <f t="shared" si="0"/>
        <v>AF482758</v>
      </c>
      <c r="C14" t="s">
        <v>2623</v>
      </c>
      <c r="D14">
        <f>MATCH(C14,AllProtiens!$F:$F,0)</f>
        <v>30</v>
      </c>
      <c r="E14" t="s">
        <v>2619</v>
      </c>
      <c r="F14" t="s">
        <v>2619</v>
      </c>
    </row>
    <row r="15" spans="1:7" x14ac:dyDescent="0.2">
      <c r="A15" s="1" t="s">
        <v>204</v>
      </c>
      <c r="B15" s="6" t="str">
        <f t="shared" si="0"/>
        <v>HF679133</v>
      </c>
      <c r="C15" t="s">
        <v>203</v>
      </c>
      <c r="D15">
        <f>MATCH(C15,AllProtiens!$F:$F,0)</f>
        <v>56</v>
      </c>
      <c r="E15" t="s">
        <v>2619</v>
      </c>
      <c r="F15" t="s">
        <v>2619</v>
      </c>
    </row>
    <row r="16" spans="1:7" x14ac:dyDescent="0.2">
      <c r="A16" s="1" t="s">
        <v>75</v>
      </c>
      <c r="B16" s="6" t="str">
        <f t="shared" si="0"/>
        <v>AY689436</v>
      </c>
      <c r="C16" s="5" t="s">
        <v>74</v>
      </c>
      <c r="D16">
        <f>MATCH(C16,AllProtiens!$F:$F,0)</f>
        <v>19</v>
      </c>
      <c r="E16" t="s">
        <v>2619</v>
      </c>
      <c r="F16" t="s">
        <v>2619</v>
      </c>
    </row>
    <row r="17" spans="1:7" x14ac:dyDescent="0.2">
      <c r="A17" s="1" t="s">
        <v>118</v>
      </c>
      <c r="B17" s="6" t="str">
        <f t="shared" si="0"/>
        <v>AF012825</v>
      </c>
      <c r="C17" t="s">
        <v>2624</v>
      </c>
      <c r="D17">
        <f>MATCH(C17,AllProtiens!$F:$F,0)</f>
        <v>31</v>
      </c>
      <c r="E17" t="s">
        <v>2619</v>
      </c>
      <c r="F17" t="s">
        <v>2619</v>
      </c>
    </row>
    <row r="18" spans="1:7" x14ac:dyDescent="0.2">
      <c r="A18" s="1" t="s">
        <v>121</v>
      </c>
      <c r="B18" s="6" t="str">
        <f t="shared" si="0"/>
        <v>AFH54685</v>
      </c>
      <c r="C18" t="s">
        <v>120</v>
      </c>
      <c r="D18">
        <f>MATCH(C18,AllProtiens!$F:$F,0)</f>
        <v>32</v>
      </c>
      <c r="E18" t="s">
        <v>2619</v>
      </c>
      <c r="F18" t="s">
        <v>2619</v>
      </c>
      <c r="G18" t="s">
        <v>2625</v>
      </c>
    </row>
    <row r="19" spans="1:7" x14ac:dyDescent="0.2">
      <c r="A19" s="1" t="s">
        <v>15</v>
      </c>
      <c r="B19" s="6" t="str">
        <f t="shared" si="0"/>
        <v>MF467281</v>
      </c>
      <c r="C19" t="s">
        <v>14</v>
      </c>
      <c r="D19">
        <f>MATCH(C19,AllProtiens!$F:$F,0)</f>
        <v>2</v>
      </c>
      <c r="E19" t="s">
        <v>2619</v>
      </c>
      <c r="F19" t="s">
        <v>2619</v>
      </c>
    </row>
    <row r="20" spans="1:7" x14ac:dyDescent="0.2">
      <c r="A20" s="1" t="s">
        <v>41</v>
      </c>
      <c r="B20" s="6" t="str">
        <f t="shared" si="0"/>
        <v>KY747497</v>
      </c>
      <c r="C20" t="s">
        <v>2626</v>
      </c>
      <c r="D20">
        <f>MATCH(C20,AllProtiens!$F:$F,0)</f>
        <v>9</v>
      </c>
      <c r="E20" t="s">
        <v>2619</v>
      </c>
      <c r="F20" t="s">
        <v>2619</v>
      </c>
    </row>
    <row r="21" spans="1:7" x14ac:dyDescent="0.2">
      <c r="A21" s="1" t="s">
        <v>44</v>
      </c>
      <c r="B21" s="6" t="str">
        <f t="shared" si="0"/>
        <v>MF678796</v>
      </c>
      <c r="C21" t="s">
        <v>43</v>
      </c>
      <c r="D21">
        <f>MATCH(C21,AllProtiens!$F:$F,0)</f>
        <v>10</v>
      </c>
      <c r="E21" t="s">
        <v>2619</v>
      </c>
      <c r="F21" t="s">
        <v>2619</v>
      </c>
    </row>
    <row r="22" spans="1:7" x14ac:dyDescent="0.2">
      <c r="A22" s="1" t="s">
        <v>62</v>
      </c>
      <c r="B22" s="6" t="str">
        <f t="shared" si="0"/>
        <v>AF198100</v>
      </c>
      <c r="C22" t="s">
        <v>2627</v>
      </c>
      <c r="D22">
        <f>MATCH(C22,AllProtiens!$F:$F,0)</f>
        <v>15</v>
      </c>
      <c r="E22" t="s">
        <v>2619</v>
      </c>
      <c r="F22" t="s">
        <v>2619</v>
      </c>
    </row>
    <row r="23" spans="1:7" x14ac:dyDescent="0.2">
      <c r="A23" s="1" t="s">
        <v>156</v>
      </c>
      <c r="B23" s="6" t="str">
        <f t="shared" si="0"/>
        <v>KY382358</v>
      </c>
      <c r="C23" t="s">
        <v>2628</v>
      </c>
      <c r="D23">
        <f>MATCH(C23,AllProtiens!$F:$F,0)</f>
        <v>42</v>
      </c>
      <c r="E23" t="s">
        <v>2619</v>
      </c>
      <c r="F23" t="s">
        <v>2619</v>
      </c>
    </row>
    <row r="24" spans="1:7" x14ac:dyDescent="0.2">
      <c r="A24" s="1" t="s">
        <v>215</v>
      </c>
      <c r="B24" s="6" t="str">
        <f t="shared" si="0"/>
        <v>AY077835</v>
      </c>
      <c r="C24" t="s">
        <v>214</v>
      </c>
      <c r="D24">
        <f>MATCH(C24,AllProtiens!$F:$F,0)</f>
        <v>59</v>
      </c>
      <c r="E24" t="s">
        <v>2619</v>
      </c>
      <c r="F24" t="s">
        <v>2619</v>
      </c>
    </row>
    <row r="25" spans="1:7" x14ac:dyDescent="0.2">
      <c r="A25" s="1" t="s">
        <v>102</v>
      </c>
      <c r="B25" s="6" t="str">
        <f t="shared" si="0"/>
        <v>DQ792504</v>
      </c>
      <c r="C25" t="s">
        <v>2629</v>
      </c>
      <c r="D25">
        <f>MATCH(C25,AllProtiens!$F:$F,0)</f>
        <v>27</v>
      </c>
      <c r="E25" t="s">
        <v>2619</v>
      </c>
      <c r="F25" t="s">
        <v>2619</v>
      </c>
    </row>
    <row r="26" spans="1:7" x14ac:dyDescent="0.2">
      <c r="A26" s="1" t="s">
        <v>66</v>
      </c>
      <c r="B26" s="6" t="str">
        <f t="shared" si="0"/>
        <v>AF325528</v>
      </c>
      <c r="C26" t="s">
        <v>65</v>
      </c>
      <c r="D26">
        <f>MATCH(C26,AllProtiens!$F:$F,0)</f>
        <v>16</v>
      </c>
      <c r="E26" t="s">
        <v>2619</v>
      </c>
      <c r="F26" t="s">
        <v>2619</v>
      </c>
    </row>
    <row r="27" spans="1:7" x14ac:dyDescent="0.2">
      <c r="A27" s="1" t="s">
        <v>91</v>
      </c>
      <c r="B27" s="6" t="str">
        <f t="shared" si="0"/>
        <v>U60315</v>
      </c>
      <c r="C27" t="s">
        <v>90</v>
      </c>
      <c r="D27">
        <f>MATCH(C27,AllProtiens!$F:$F,0)</f>
        <v>24</v>
      </c>
      <c r="E27" t="s">
        <v>2619</v>
      </c>
      <c r="F27" t="s">
        <v>2619</v>
      </c>
    </row>
    <row r="28" spans="1:7" x14ac:dyDescent="0.2">
      <c r="A28" s="1" t="s">
        <v>69</v>
      </c>
      <c r="B28" s="6" t="str">
        <f t="shared" si="0"/>
        <v>MF001304</v>
      </c>
      <c r="C28" t="s">
        <v>68</v>
      </c>
      <c r="D28">
        <f>MATCH(C28,AllProtiens!$F:$F,0)</f>
        <v>17</v>
      </c>
      <c r="E28" t="s">
        <v>2619</v>
      </c>
      <c r="F28" t="s">
        <v>2619</v>
      </c>
    </row>
    <row r="29" spans="1:7" x14ac:dyDescent="0.2">
      <c r="A29" s="1" t="s">
        <v>129</v>
      </c>
      <c r="B29" s="6" t="str">
        <f t="shared" si="0"/>
        <v>AY753185</v>
      </c>
      <c r="C29" t="s">
        <v>128</v>
      </c>
      <c r="D29">
        <f>MATCH(C29,AllProtiens!$F:$F,0)</f>
        <v>34</v>
      </c>
      <c r="E29" t="s">
        <v>2619</v>
      </c>
      <c r="F29" t="s">
        <v>2619</v>
      </c>
    </row>
    <row r="30" spans="1:7" x14ac:dyDescent="0.2">
      <c r="A30" s="1" t="s">
        <v>125</v>
      </c>
      <c r="B30" s="6" t="str">
        <f t="shared" si="0"/>
        <v>AF380138</v>
      </c>
      <c r="C30" t="s">
        <v>124</v>
      </c>
      <c r="D30">
        <f>MATCH(C30,AllProtiens!$F:$F,0)</f>
        <v>33</v>
      </c>
      <c r="E30" t="s">
        <v>2619</v>
      </c>
      <c r="F30" t="s">
        <v>2619</v>
      </c>
    </row>
    <row r="31" spans="1:7" x14ac:dyDescent="0.2">
      <c r="A31" s="1" t="s">
        <v>187</v>
      </c>
      <c r="B31" s="6" t="str">
        <f t="shared" si="0"/>
        <v>AF063866</v>
      </c>
      <c r="C31" t="s">
        <v>186</v>
      </c>
      <c r="D31">
        <f>MATCH(C31,AllProtiens!$F:$F,0)</f>
        <v>51</v>
      </c>
      <c r="E31" t="s">
        <v>2619</v>
      </c>
      <c r="F31" t="s">
        <v>2619</v>
      </c>
    </row>
    <row r="32" spans="1:7" x14ac:dyDescent="0.2">
      <c r="A32" s="1" t="s">
        <v>207</v>
      </c>
      <c r="B32" s="6" t="str">
        <f t="shared" si="0"/>
        <v>HF679134</v>
      </c>
      <c r="C32" t="s">
        <v>206</v>
      </c>
      <c r="D32">
        <f>MATCH(C32,AllProtiens!$F:$F,0)</f>
        <v>57</v>
      </c>
      <c r="E32" t="s">
        <v>2619</v>
      </c>
      <c r="F32" t="s">
        <v>2619</v>
      </c>
    </row>
    <row r="33" spans="1:7" x14ac:dyDescent="0.2">
      <c r="A33" s="1" t="s">
        <v>82</v>
      </c>
      <c r="B33" s="6" t="str">
        <f t="shared" si="0"/>
        <v>AF170726</v>
      </c>
      <c r="C33" t="s">
        <v>2630</v>
      </c>
      <c r="D33" t="e">
        <f>MATCH(C33,AllProtiens!$F:$F,0)</f>
        <v>#N/A</v>
      </c>
      <c r="E33" t="s">
        <v>2619</v>
      </c>
      <c r="F33" t="s">
        <v>2619</v>
      </c>
      <c r="G33" t="s">
        <v>2631</v>
      </c>
    </row>
    <row r="34" spans="1:7" x14ac:dyDescent="0.2">
      <c r="A34" s="1" t="s">
        <v>2631</v>
      </c>
      <c r="B34" s="6" t="s">
        <v>2631</v>
      </c>
      <c r="C34" t="s">
        <v>2632</v>
      </c>
      <c r="D34" t="e">
        <f>MATCH(C34,AllProtiens!$F:$F,0)</f>
        <v>#N/A</v>
      </c>
      <c r="E34" t="s">
        <v>2619</v>
      </c>
      <c r="F34" t="s">
        <v>2619</v>
      </c>
    </row>
    <row r="35" spans="1:7" x14ac:dyDescent="0.2">
      <c r="A35" s="1" t="s">
        <v>78</v>
      </c>
      <c r="B35" s="6" t="str">
        <f t="shared" ref="B35:B60" si="1">HYPERLINK(_xlfn.CONCAT("https://www.ncbi.nlm.nih.gov/nuccore/",A35),A35)</f>
        <v>DQ356948</v>
      </c>
      <c r="C35" t="s">
        <v>77</v>
      </c>
      <c r="D35">
        <f>MATCH(C35,AllProtiens!$F:$F,0)</f>
        <v>20</v>
      </c>
      <c r="E35" t="s">
        <v>2619</v>
      </c>
      <c r="F35" t="s">
        <v>2619</v>
      </c>
    </row>
    <row r="36" spans="1:7" x14ac:dyDescent="0.2">
      <c r="A36" s="1" t="s">
        <v>163</v>
      </c>
      <c r="B36" s="6" t="str">
        <f t="shared" si="1"/>
        <v>AY386264</v>
      </c>
      <c r="C36" t="s">
        <v>2633</v>
      </c>
      <c r="D36">
        <f>MATCH(C36,AllProtiens!$F:$F,0)</f>
        <v>44</v>
      </c>
      <c r="E36" t="s">
        <v>2621</v>
      </c>
      <c r="F36" t="s">
        <v>2619</v>
      </c>
    </row>
    <row r="37" spans="1:7" x14ac:dyDescent="0.2">
      <c r="A37" t="s">
        <v>2634</v>
      </c>
      <c r="B37" s="6" t="str">
        <f t="shared" si="1"/>
        <v>DQ184476</v>
      </c>
      <c r="C37" t="s">
        <v>2635</v>
      </c>
      <c r="D37" t="e">
        <f>MATCH(C37,AllProtiens!$F:$F,0)</f>
        <v>#N/A</v>
      </c>
      <c r="E37" t="s">
        <v>2621</v>
      </c>
      <c r="F37" t="s">
        <v>2619</v>
      </c>
    </row>
    <row r="38" spans="1:7" x14ac:dyDescent="0.2">
      <c r="A38" s="1" t="s">
        <v>171</v>
      </c>
      <c r="B38" s="6" t="str">
        <f t="shared" si="1"/>
        <v>GQ329670</v>
      </c>
      <c r="C38" t="s">
        <v>2636</v>
      </c>
      <c r="D38">
        <f>MATCH(C38,AllProtiens!$F:$F,0)</f>
        <v>47</v>
      </c>
      <c r="E38" t="s">
        <v>2619</v>
      </c>
      <c r="F38" t="s">
        <v>2619</v>
      </c>
    </row>
    <row r="39" spans="1:7" x14ac:dyDescent="0.2">
      <c r="A39" s="1" t="s">
        <v>50</v>
      </c>
      <c r="B39" s="6" t="str">
        <f t="shared" si="1"/>
        <v>KJ801920</v>
      </c>
      <c r="C39" t="s">
        <v>2637</v>
      </c>
      <c r="D39">
        <f>MATCH(C39,AllProtiens!$F:$F,0)</f>
        <v>12</v>
      </c>
      <c r="E39" t="s">
        <v>2619</v>
      </c>
      <c r="F39" t="s">
        <v>2619</v>
      </c>
    </row>
    <row r="40" spans="1:7" x14ac:dyDescent="0.2">
      <c r="A40" s="1" t="s">
        <v>47</v>
      </c>
      <c r="B40" s="6" t="str">
        <f t="shared" si="1"/>
        <v>KJ859677</v>
      </c>
      <c r="C40" t="s">
        <v>2638</v>
      </c>
      <c r="D40">
        <f>MATCH(C40,AllProtiens!$F:$F,0)</f>
        <v>11</v>
      </c>
      <c r="E40" t="s">
        <v>2619</v>
      </c>
      <c r="F40" t="s">
        <v>2619</v>
      </c>
    </row>
    <row r="41" spans="1:7" x14ac:dyDescent="0.2">
      <c r="A41" s="1" t="s">
        <v>29</v>
      </c>
      <c r="B41" s="6" t="str">
        <f t="shared" si="1"/>
        <v>KU980965</v>
      </c>
      <c r="C41" t="s">
        <v>2639</v>
      </c>
      <c r="D41">
        <f>MATCH(C41,AllProtiens!$F:$F,0)</f>
        <v>6</v>
      </c>
      <c r="E41" t="s">
        <v>2619</v>
      </c>
      <c r="F41" t="s">
        <v>2619</v>
      </c>
    </row>
    <row r="42" spans="1:7" x14ac:dyDescent="0.2">
      <c r="A42" s="1" t="s">
        <v>132</v>
      </c>
      <c r="B42" s="6" t="str">
        <f t="shared" si="1"/>
        <v>KP143769</v>
      </c>
      <c r="C42" t="s">
        <v>2640</v>
      </c>
      <c r="D42">
        <f>MATCH(C42,AllProtiens!$F:$F,0)</f>
        <v>35</v>
      </c>
      <c r="E42" t="s">
        <v>2619</v>
      </c>
      <c r="F42" t="s">
        <v>2619</v>
      </c>
    </row>
    <row r="43" spans="1:7" x14ac:dyDescent="0.2">
      <c r="A43" s="1" t="s">
        <v>168</v>
      </c>
      <c r="B43" s="6" t="str">
        <f t="shared" si="1"/>
        <v>KM502564</v>
      </c>
      <c r="C43" t="s">
        <v>167</v>
      </c>
      <c r="D43">
        <f>MATCH(C43,AllProtiens!$F:$F,0)</f>
        <v>46</v>
      </c>
      <c r="E43" t="s">
        <v>2619</v>
      </c>
      <c r="F43" t="s">
        <v>2619</v>
      </c>
    </row>
    <row r="44" spans="1:7" x14ac:dyDescent="0.2">
      <c r="A44" s="1" t="s">
        <v>87</v>
      </c>
      <c r="B44" s="6" t="str">
        <f t="shared" si="1"/>
        <v>AF170722</v>
      </c>
      <c r="C44" t="s">
        <v>2641</v>
      </c>
      <c r="D44">
        <f>MATCH(C44,AllProtiens!$F:$F,0)</f>
        <v>23</v>
      </c>
      <c r="E44" t="s">
        <v>2619</v>
      </c>
      <c r="F44" t="s">
        <v>2619</v>
      </c>
    </row>
    <row r="45" spans="1:7" x14ac:dyDescent="0.2">
      <c r="A45" s="1" t="s">
        <v>211</v>
      </c>
      <c r="B45" s="6" t="str">
        <f t="shared" si="1"/>
        <v>AY077832</v>
      </c>
      <c r="C45" t="s">
        <v>2642</v>
      </c>
      <c r="D45">
        <f>MATCH(C45,AllProtiens!$F:$F,0)</f>
        <v>58</v>
      </c>
      <c r="E45" t="s">
        <v>2619</v>
      </c>
      <c r="F45" t="s">
        <v>2619</v>
      </c>
    </row>
    <row r="46" spans="1:7" x14ac:dyDescent="0.2">
      <c r="A46" s="1" t="s">
        <v>135</v>
      </c>
      <c r="B46" s="6" t="str">
        <f t="shared" si="1"/>
        <v>KU749310</v>
      </c>
      <c r="C46" t="s">
        <v>2643</v>
      </c>
      <c r="D46">
        <f>MATCH(C46,AllProtiens!$F:$F,0)</f>
        <v>36</v>
      </c>
      <c r="E46" t="s">
        <v>2619</v>
      </c>
      <c r="F46" t="s">
        <v>2619</v>
      </c>
    </row>
    <row r="47" spans="1:7" x14ac:dyDescent="0.2">
      <c r="A47" s="1" t="s">
        <v>33</v>
      </c>
      <c r="B47" s="6" t="str">
        <f t="shared" si="1"/>
        <v>KT159937</v>
      </c>
      <c r="C47" t="s">
        <v>2644</v>
      </c>
      <c r="D47">
        <f>MATCH(C47,AllProtiens!$F:$F,0)</f>
        <v>7</v>
      </c>
      <c r="E47" t="s">
        <v>2619</v>
      </c>
      <c r="F47" t="s">
        <v>2619</v>
      </c>
    </row>
    <row r="48" spans="1:7" x14ac:dyDescent="0.2">
      <c r="A48" s="1" t="s">
        <v>18</v>
      </c>
      <c r="B48" s="6" t="str">
        <f t="shared" si="1"/>
        <v>MH427217</v>
      </c>
      <c r="C48" t="s">
        <v>2645</v>
      </c>
      <c r="D48">
        <f>MATCH(C48,AllProtiens!$F:$F,0)</f>
        <v>3</v>
      </c>
      <c r="E48" t="s">
        <v>2619</v>
      </c>
      <c r="F48" t="s">
        <v>2619</v>
      </c>
    </row>
    <row r="49" spans="1:7" x14ac:dyDescent="0.2">
      <c r="A49" s="1" t="s">
        <v>37</v>
      </c>
      <c r="B49" s="6" t="str">
        <f t="shared" si="1"/>
        <v>HE601899</v>
      </c>
      <c r="C49" t="s">
        <v>36</v>
      </c>
      <c r="D49">
        <f>MATCH(C49,AllProtiens!$F:$F,0)</f>
        <v>8</v>
      </c>
      <c r="E49" t="s">
        <v>2619</v>
      </c>
      <c r="F49" t="s">
        <v>2619</v>
      </c>
    </row>
    <row r="50" spans="1:7" x14ac:dyDescent="0.2">
      <c r="A50" s="1" t="s">
        <v>175</v>
      </c>
      <c r="B50" s="6" t="str">
        <f t="shared" si="1"/>
        <v>AF410153</v>
      </c>
      <c r="C50" t="s">
        <v>2646</v>
      </c>
      <c r="D50">
        <f>MATCH(C50,AllProtiens!$F:$F,0)</f>
        <v>48</v>
      </c>
      <c r="E50" t="s">
        <v>2619</v>
      </c>
      <c r="F50" t="s">
        <v>2619</v>
      </c>
    </row>
    <row r="51" spans="1:7" x14ac:dyDescent="0.2">
      <c r="A51" s="1" t="s">
        <v>138</v>
      </c>
      <c r="B51" s="6" t="str">
        <f t="shared" si="1"/>
        <v>DQ437594</v>
      </c>
      <c r="C51" t="s">
        <v>2647</v>
      </c>
      <c r="D51">
        <f>MATCH(C51,AllProtiens!$F:$F,0)</f>
        <v>37</v>
      </c>
      <c r="E51" t="s">
        <v>2619</v>
      </c>
      <c r="F51" t="s">
        <v>2619</v>
      </c>
    </row>
    <row r="52" spans="1:7" x14ac:dyDescent="0.2">
      <c r="A52" s="1" t="s">
        <v>54</v>
      </c>
      <c r="B52" s="6" t="str">
        <f t="shared" si="1"/>
        <v>KP728110</v>
      </c>
      <c r="C52" t="s">
        <v>2648</v>
      </c>
      <c r="D52">
        <f>MATCH(C52,AllProtiens!$F:$F,0)</f>
        <v>13</v>
      </c>
      <c r="E52" t="s">
        <v>2619</v>
      </c>
      <c r="F52" t="s">
        <v>2619</v>
      </c>
    </row>
    <row r="53" spans="1:7" x14ac:dyDescent="0.2">
      <c r="A53" s="1" t="s">
        <v>141</v>
      </c>
      <c r="B53" s="6" t="str">
        <f t="shared" si="1"/>
        <v>AY243312</v>
      </c>
      <c r="C53" t="s">
        <v>140</v>
      </c>
      <c r="D53">
        <f>MATCH(C53,AllProtiens!$F:$F,0)</f>
        <v>38</v>
      </c>
      <c r="E53" t="s">
        <v>2619</v>
      </c>
      <c r="F53" t="s">
        <v>2619</v>
      </c>
    </row>
    <row r="54" spans="1:7" x14ac:dyDescent="0.2">
      <c r="A54" s="1" t="s">
        <v>145</v>
      </c>
      <c r="B54" s="6" t="str">
        <f t="shared" si="1"/>
        <v>X69198</v>
      </c>
      <c r="C54" t="s">
        <v>144</v>
      </c>
      <c r="D54">
        <f>MATCH(C54,AllProtiens!$F:$F,0)</f>
        <v>39</v>
      </c>
      <c r="E54" t="s">
        <v>2619</v>
      </c>
      <c r="F54" t="s">
        <v>2619</v>
      </c>
    </row>
    <row r="55" spans="1:7" x14ac:dyDescent="0.2">
      <c r="A55" s="1" t="s">
        <v>149</v>
      </c>
      <c r="B55" s="6" t="str">
        <f t="shared" si="1"/>
        <v>Y16780</v>
      </c>
      <c r="C55" t="s">
        <v>2649</v>
      </c>
      <c r="D55">
        <f>MATCH(C55,AllProtiens!$F:$F,0)</f>
        <v>40</v>
      </c>
      <c r="E55" t="s">
        <v>2619</v>
      </c>
      <c r="F55" t="s">
        <v>2619</v>
      </c>
    </row>
    <row r="56" spans="1:7" x14ac:dyDescent="0.2">
      <c r="A56" s="1" t="s">
        <v>152</v>
      </c>
      <c r="B56" s="6" t="str">
        <f t="shared" si="1"/>
        <v>KU749311</v>
      </c>
      <c r="C56" t="s">
        <v>2650</v>
      </c>
      <c r="D56">
        <f>MATCH(C56,AllProtiens!$F:$F,0)</f>
        <v>41</v>
      </c>
      <c r="E56" t="s">
        <v>2619</v>
      </c>
      <c r="F56" t="s">
        <v>2619</v>
      </c>
    </row>
    <row r="57" spans="1:7" x14ac:dyDescent="0.2">
      <c r="A57" s="1" t="s">
        <v>2578</v>
      </c>
      <c r="B57" s="6" t="str">
        <f t="shared" si="1"/>
        <v>MF467280</v>
      </c>
      <c r="C57" t="s">
        <v>2577</v>
      </c>
      <c r="D57">
        <f>MATCH(C57,AllProtiens!$F:$F,0)</f>
        <v>1452</v>
      </c>
      <c r="E57" t="s">
        <v>2619</v>
      </c>
      <c r="F57" t="s">
        <v>2621</v>
      </c>
    </row>
    <row r="58" spans="1:7" x14ac:dyDescent="0.2">
      <c r="A58" s="1" t="s">
        <v>72</v>
      </c>
      <c r="B58" s="6" t="str">
        <f t="shared" si="1"/>
        <v>HQ849551</v>
      </c>
      <c r="C58" t="s">
        <v>2651</v>
      </c>
      <c r="D58">
        <f>MATCH(C58,AllProtiens!$F:$F,0)</f>
        <v>18</v>
      </c>
      <c r="E58" t="s">
        <v>2619</v>
      </c>
      <c r="F58" t="s">
        <v>2619</v>
      </c>
    </row>
    <row r="59" spans="1:7" x14ac:dyDescent="0.2">
      <c r="A59" s="1" t="s">
        <v>179</v>
      </c>
      <c r="B59" s="6" t="str">
        <f t="shared" si="1"/>
        <v>AJ293568</v>
      </c>
      <c r="C59" s="5" t="s">
        <v>178</v>
      </c>
      <c r="D59">
        <f>MATCH(C59,AllProtiens!$F:$F,0)</f>
        <v>49</v>
      </c>
      <c r="E59" t="s">
        <v>2619</v>
      </c>
      <c r="F59" t="s">
        <v>2619</v>
      </c>
      <c r="G59" t="s">
        <v>2652</v>
      </c>
    </row>
    <row r="60" spans="1:7" x14ac:dyDescent="0.2">
      <c r="A60" s="1" t="s">
        <v>183</v>
      </c>
      <c r="B60" s="6" t="str">
        <f t="shared" si="1"/>
        <v>AY386371</v>
      </c>
      <c r="C60" t="s">
        <v>2653</v>
      </c>
      <c r="D60">
        <f>MATCH(C60,AllProtiens!$F:$F,0)</f>
        <v>50</v>
      </c>
      <c r="E60" t="s">
        <v>2619</v>
      </c>
      <c r="F60" t="s">
        <v>2619</v>
      </c>
    </row>
  </sheetData>
  <conditionalFormatting sqref="E1:F1048576 G18 G33:G34 A37 G37">
    <cfRule type="cellIs" dxfId="1" priority="1" operator="equal">
      <formula>"N"</formula>
    </cfRule>
    <cfRule type="cellIs" dxfId="0" priority="2" operator="equal">
      <formula>"Y"</formula>
    </cfRule>
  </conditionalFormatting>
  <hyperlinks>
    <hyperlink ref="B34" r:id="rId1" display="https://www.ncbi.nlm.nih.gov/nuccore/JX565564.1" xr:uid="{00000000-0004-0000-03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9"/>
  <sheetViews>
    <sheetView workbookViewId="0">
      <selection activeCell="A27" sqref="A27:C28"/>
    </sheetView>
  </sheetViews>
  <sheetFormatPr baseColWidth="10" defaultRowHeight="16" x14ac:dyDescent="0.2"/>
  <cols>
    <col min="3" max="3" width="25.6640625" bestFit="1" customWidth="1"/>
  </cols>
  <sheetData>
    <row r="1" spans="1:3" x14ac:dyDescent="0.2">
      <c r="A1" t="s">
        <v>2654</v>
      </c>
      <c r="B1" t="s">
        <v>0</v>
      </c>
      <c r="C1" t="s">
        <v>2655</v>
      </c>
    </row>
    <row r="2" spans="1:3" x14ac:dyDescent="0.2">
      <c r="A2">
        <v>1</v>
      </c>
      <c r="B2" s="1" t="s">
        <v>10</v>
      </c>
      <c r="C2" t="s">
        <v>11</v>
      </c>
    </row>
    <row r="3" spans="1:3" x14ac:dyDescent="0.2">
      <c r="A3">
        <v>2</v>
      </c>
      <c r="B3" s="1" t="s">
        <v>313</v>
      </c>
      <c r="C3" t="s">
        <v>314</v>
      </c>
    </row>
    <row r="4" spans="1:3" x14ac:dyDescent="0.2">
      <c r="A4">
        <v>3</v>
      </c>
      <c r="B4" s="1" t="s">
        <v>411</v>
      </c>
      <c r="C4" t="s">
        <v>412</v>
      </c>
    </row>
    <row r="5" spans="1:3" x14ac:dyDescent="0.2">
      <c r="A5">
        <v>4</v>
      </c>
      <c r="B5" s="1" t="s">
        <v>513</v>
      </c>
      <c r="C5" t="s">
        <v>514</v>
      </c>
    </row>
    <row r="6" spans="1:3" x14ac:dyDescent="0.2">
      <c r="A6">
        <v>5</v>
      </c>
      <c r="B6" s="1" t="s">
        <v>610</v>
      </c>
      <c r="C6" t="s">
        <v>611</v>
      </c>
    </row>
    <row r="7" spans="1:3" x14ac:dyDescent="0.2">
      <c r="A7">
        <v>6</v>
      </c>
      <c r="B7" s="1" t="s">
        <v>216</v>
      </c>
      <c r="C7" t="s">
        <v>217</v>
      </c>
    </row>
    <row r="8" spans="1:3" x14ac:dyDescent="0.2">
      <c r="A8">
        <v>7</v>
      </c>
      <c r="B8" s="1" t="s">
        <v>813</v>
      </c>
      <c r="C8" t="s">
        <v>814</v>
      </c>
    </row>
    <row r="9" spans="1:3" x14ac:dyDescent="0.2">
      <c r="A9">
        <v>8</v>
      </c>
      <c r="B9" s="1" t="s">
        <v>714</v>
      </c>
      <c r="C9" t="s">
        <v>715</v>
      </c>
    </row>
    <row r="10" spans="1:3" x14ac:dyDescent="0.2">
      <c r="A10">
        <v>9</v>
      </c>
      <c r="B10" s="1" t="s">
        <v>911</v>
      </c>
      <c r="C10" t="s">
        <v>912</v>
      </c>
    </row>
    <row r="11" spans="1:3" x14ac:dyDescent="0.2">
      <c r="A11">
        <v>10</v>
      </c>
      <c r="B11" s="1" t="s">
        <v>1108</v>
      </c>
      <c r="C11" t="s">
        <v>1109</v>
      </c>
    </row>
    <row r="12" spans="1:3" x14ac:dyDescent="0.2">
      <c r="A12">
        <v>11</v>
      </c>
      <c r="B12" s="1" t="s">
        <v>1208</v>
      </c>
      <c r="C12" t="s">
        <v>1209</v>
      </c>
    </row>
    <row r="13" spans="1:3" x14ac:dyDescent="0.2">
      <c r="A13">
        <v>12</v>
      </c>
      <c r="B13" s="1" t="s">
        <v>1012</v>
      </c>
      <c r="C13" t="s">
        <v>1013</v>
      </c>
    </row>
    <row r="14" spans="1:3" x14ac:dyDescent="0.2">
      <c r="A14">
        <v>13</v>
      </c>
      <c r="B14" s="1" t="s">
        <v>1301</v>
      </c>
      <c r="C14" t="s">
        <v>1302</v>
      </c>
    </row>
    <row r="15" spans="1:3" x14ac:dyDescent="0.2">
      <c r="A15">
        <v>14</v>
      </c>
      <c r="B15" s="1" t="s">
        <v>1395</v>
      </c>
      <c r="C15" t="s">
        <v>1396</v>
      </c>
    </row>
    <row r="16" spans="1:3" x14ac:dyDescent="0.2">
      <c r="A16">
        <v>15</v>
      </c>
      <c r="B16" s="1" t="s">
        <v>1602</v>
      </c>
      <c r="C16" t="s">
        <v>1603</v>
      </c>
    </row>
    <row r="17" spans="1:3" x14ac:dyDescent="0.2">
      <c r="A17">
        <v>16</v>
      </c>
      <c r="B17" s="1" t="s">
        <v>1498</v>
      </c>
      <c r="C17" t="s">
        <v>1499</v>
      </c>
    </row>
    <row r="18" spans="1:3" x14ac:dyDescent="0.2">
      <c r="A18">
        <v>17</v>
      </c>
      <c r="B18" s="1" t="s">
        <v>1699</v>
      </c>
      <c r="C18" t="s">
        <v>1700</v>
      </c>
    </row>
    <row r="19" spans="1:3" ht="17" customHeight="1" x14ac:dyDescent="0.2">
      <c r="A19">
        <v>18</v>
      </c>
      <c r="B19" s="1" t="s">
        <v>1786</v>
      </c>
      <c r="C19" s="7" t="s">
        <v>1787</v>
      </c>
    </row>
    <row r="20" spans="1:3" x14ac:dyDescent="0.2">
      <c r="A20">
        <v>19</v>
      </c>
      <c r="B20" s="1" t="s">
        <v>1884</v>
      </c>
      <c r="C20" t="s">
        <v>1885</v>
      </c>
    </row>
    <row r="21" spans="1:3" x14ac:dyDescent="0.2">
      <c r="A21">
        <v>20</v>
      </c>
      <c r="B21" s="1" t="s">
        <v>1986</v>
      </c>
      <c r="C21" t="s">
        <v>1987</v>
      </c>
    </row>
    <row r="22" spans="1:3" x14ac:dyDescent="0.2">
      <c r="A22">
        <v>21</v>
      </c>
      <c r="B22" s="1" t="s">
        <v>2090</v>
      </c>
      <c r="C22" t="s">
        <v>2091</v>
      </c>
    </row>
    <row r="23" spans="1:3" x14ac:dyDescent="0.2">
      <c r="A23">
        <v>22</v>
      </c>
      <c r="B23" s="1" t="s">
        <v>2184</v>
      </c>
      <c r="C23" t="s">
        <v>2185</v>
      </c>
    </row>
    <row r="24" spans="1:3" x14ac:dyDescent="0.2">
      <c r="A24">
        <v>23</v>
      </c>
      <c r="B24" s="1" t="s">
        <v>2283</v>
      </c>
      <c r="C24" t="s">
        <v>2284</v>
      </c>
    </row>
    <row r="25" spans="1:3" x14ac:dyDescent="0.2">
      <c r="A25">
        <v>24</v>
      </c>
      <c r="B25" s="1" t="s">
        <v>2385</v>
      </c>
      <c r="C25" t="s">
        <v>2386</v>
      </c>
    </row>
    <row r="26" spans="1:3" x14ac:dyDescent="0.2">
      <c r="A26">
        <v>25</v>
      </c>
      <c r="B26" s="1" t="s">
        <v>2480</v>
      </c>
      <c r="C26" t="s">
        <v>646</v>
      </c>
    </row>
    <row r="27" spans="1:3" x14ac:dyDescent="0.2">
      <c r="B27" s="1"/>
    </row>
    <row r="28" spans="1:3" x14ac:dyDescent="0.2">
      <c r="B28" s="1"/>
    </row>
    <row r="29" spans="1:3" x14ac:dyDescent="0.2">
      <c r="B2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61"/>
  <sheetViews>
    <sheetView workbookViewId="0">
      <selection activeCell="A20" sqref="A20"/>
    </sheetView>
  </sheetViews>
  <sheetFormatPr baseColWidth="10" defaultRowHeight="16" x14ac:dyDescent="0.2"/>
  <cols>
    <col min="1" max="1" width="37.5" bestFit="1" customWidth="1"/>
    <col min="2" max="3" width="21.83203125" bestFit="1" customWidth="1"/>
  </cols>
  <sheetData>
    <row r="3" spans="1:3" x14ac:dyDescent="0.2">
      <c r="A3" s="3" t="s">
        <v>2603</v>
      </c>
      <c r="B3" t="s">
        <v>2604</v>
      </c>
      <c r="C3" t="s">
        <v>2605</v>
      </c>
    </row>
    <row r="4" spans="1:3" x14ac:dyDescent="0.2">
      <c r="A4" s="4" t="s">
        <v>193</v>
      </c>
      <c r="B4">
        <v>0</v>
      </c>
      <c r="C4">
        <v>25</v>
      </c>
    </row>
    <row r="5" spans="1:3" x14ac:dyDescent="0.2">
      <c r="A5" s="4" t="s">
        <v>97</v>
      </c>
      <c r="B5">
        <v>25</v>
      </c>
      <c r="C5">
        <v>25</v>
      </c>
    </row>
    <row r="6" spans="1:3" x14ac:dyDescent="0.2">
      <c r="A6" s="4" t="s">
        <v>197</v>
      </c>
      <c r="B6">
        <v>25</v>
      </c>
      <c r="C6">
        <v>25</v>
      </c>
    </row>
    <row r="7" spans="1:3" x14ac:dyDescent="0.2">
      <c r="A7" s="4" t="s">
        <v>190</v>
      </c>
      <c r="B7">
        <v>25</v>
      </c>
      <c r="C7">
        <v>25</v>
      </c>
    </row>
    <row r="8" spans="1:3" x14ac:dyDescent="0.2">
      <c r="A8" s="4" t="s">
        <v>21</v>
      </c>
      <c r="B8">
        <v>0</v>
      </c>
      <c r="C8">
        <v>25</v>
      </c>
    </row>
    <row r="9" spans="1:3" x14ac:dyDescent="0.2">
      <c r="A9" s="4" t="s">
        <v>159</v>
      </c>
      <c r="B9">
        <v>25</v>
      </c>
      <c r="C9">
        <v>25</v>
      </c>
    </row>
    <row r="10" spans="1:3" x14ac:dyDescent="0.2">
      <c r="A10" s="4" t="s">
        <v>105</v>
      </c>
      <c r="B10">
        <v>0</v>
      </c>
      <c r="C10">
        <v>25</v>
      </c>
    </row>
    <row r="11" spans="1:3" x14ac:dyDescent="0.2">
      <c r="A11" s="4" t="s">
        <v>109</v>
      </c>
      <c r="B11">
        <v>0</v>
      </c>
      <c r="C11">
        <v>25</v>
      </c>
    </row>
    <row r="12" spans="1:3" x14ac:dyDescent="0.2">
      <c r="A12" s="4" t="s">
        <v>57</v>
      </c>
      <c r="B12">
        <v>25</v>
      </c>
      <c r="C12">
        <v>25</v>
      </c>
    </row>
    <row r="13" spans="1:3" x14ac:dyDescent="0.2">
      <c r="A13" s="4" t="s">
        <v>200</v>
      </c>
      <c r="B13">
        <v>25</v>
      </c>
      <c r="C13">
        <v>25</v>
      </c>
    </row>
    <row r="14" spans="1:3" x14ac:dyDescent="0.2">
      <c r="A14" s="4" t="s">
        <v>203</v>
      </c>
      <c r="B14">
        <v>0</v>
      </c>
      <c r="C14">
        <v>25</v>
      </c>
    </row>
    <row r="15" spans="1:3" x14ac:dyDescent="0.2">
      <c r="A15" s="4" t="s">
        <v>25</v>
      </c>
      <c r="B15">
        <v>0</v>
      </c>
      <c r="C15">
        <v>25</v>
      </c>
    </row>
    <row r="16" spans="1:3" x14ac:dyDescent="0.2">
      <c r="A16" s="4" t="s">
        <v>113</v>
      </c>
      <c r="B16">
        <v>25</v>
      </c>
      <c r="C16">
        <v>25</v>
      </c>
    </row>
    <row r="17" spans="1:3" x14ac:dyDescent="0.2">
      <c r="A17" s="4" t="s">
        <v>74</v>
      </c>
      <c r="B17">
        <v>0</v>
      </c>
      <c r="C17">
        <v>25</v>
      </c>
    </row>
    <row r="18" spans="1:3" x14ac:dyDescent="0.2">
      <c r="A18" s="4" t="s">
        <v>14</v>
      </c>
      <c r="B18">
        <v>25</v>
      </c>
      <c r="C18">
        <v>25</v>
      </c>
    </row>
    <row r="19" spans="1:3" x14ac:dyDescent="0.2">
      <c r="A19" s="4" t="s">
        <v>117</v>
      </c>
      <c r="B19">
        <v>25</v>
      </c>
      <c r="C19">
        <v>25</v>
      </c>
    </row>
    <row r="20" spans="1:3" x14ac:dyDescent="0.2">
      <c r="A20" s="4" t="s">
        <v>120</v>
      </c>
      <c r="B20">
        <v>0</v>
      </c>
      <c r="C20">
        <v>25</v>
      </c>
    </row>
    <row r="21" spans="1:3" x14ac:dyDescent="0.2">
      <c r="A21" s="4" t="s">
        <v>40</v>
      </c>
      <c r="B21">
        <v>25</v>
      </c>
      <c r="C21">
        <v>25</v>
      </c>
    </row>
    <row r="22" spans="1:3" x14ac:dyDescent="0.2">
      <c r="A22" s="4" t="s">
        <v>43</v>
      </c>
      <c r="B22">
        <v>0</v>
      </c>
      <c r="C22">
        <v>25</v>
      </c>
    </row>
    <row r="23" spans="1:3" x14ac:dyDescent="0.2">
      <c r="A23" s="4" t="s">
        <v>61</v>
      </c>
      <c r="B23">
        <v>25</v>
      </c>
      <c r="C23">
        <v>25</v>
      </c>
    </row>
    <row r="24" spans="1:3" x14ac:dyDescent="0.2">
      <c r="A24" s="4" t="s">
        <v>214</v>
      </c>
      <c r="B24">
        <v>0</v>
      </c>
      <c r="C24">
        <v>25</v>
      </c>
    </row>
    <row r="25" spans="1:3" x14ac:dyDescent="0.2">
      <c r="A25" s="4" t="s">
        <v>101</v>
      </c>
      <c r="B25">
        <v>25</v>
      </c>
      <c r="C25">
        <v>25</v>
      </c>
    </row>
    <row r="26" spans="1:3" x14ac:dyDescent="0.2">
      <c r="A26" s="4" t="s">
        <v>65</v>
      </c>
      <c r="B26">
        <v>0</v>
      </c>
      <c r="C26">
        <v>25</v>
      </c>
    </row>
    <row r="27" spans="1:3" x14ac:dyDescent="0.2">
      <c r="A27" s="4" t="s">
        <v>186</v>
      </c>
      <c r="B27">
        <v>0</v>
      </c>
      <c r="C27">
        <v>25</v>
      </c>
    </row>
    <row r="28" spans="1:3" x14ac:dyDescent="0.2">
      <c r="A28" s="4" t="s">
        <v>90</v>
      </c>
      <c r="B28">
        <v>0</v>
      </c>
      <c r="C28">
        <v>25</v>
      </c>
    </row>
    <row r="29" spans="1:3" x14ac:dyDescent="0.2">
      <c r="A29" s="4" t="s">
        <v>2606</v>
      </c>
      <c r="B29">
        <v>0</v>
      </c>
      <c r="C29">
        <v>25</v>
      </c>
    </row>
    <row r="30" spans="1:3" x14ac:dyDescent="0.2">
      <c r="A30" s="4" t="s">
        <v>2607</v>
      </c>
      <c r="B30">
        <v>0</v>
      </c>
      <c r="C30">
        <v>25</v>
      </c>
    </row>
    <row r="31" spans="1:3" x14ac:dyDescent="0.2">
      <c r="A31" s="4" t="s">
        <v>68</v>
      </c>
      <c r="B31">
        <v>25</v>
      </c>
      <c r="C31">
        <v>25</v>
      </c>
    </row>
    <row r="32" spans="1:3" x14ac:dyDescent="0.2">
      <c r="A32" s="4" t="s">
        <v>206</v>
      </c>
      <c r="B32">
        <v>0</v>
      </c>
      <c r="C32">
        <v>25</v>
      </c>
    </row>
    <row r="33" spans="1:3" x14ac:dyDescent="0.2">
      <c r="A33" s="4" t="s">
        <v>81</v>
      </c>
      <c r="B33">
        <v>50</v>
      </c>
      <c r="C33">
        <v>50</v>
      </c>
    </row>
    <row r="34" spans="1:3" x14ac:dyDescent="0.2">
      <c r="A34" s="4" t="s">
        <v>77</v>
      </c>
      <c r="B34">
        <v>25</v>
      </c>
      <c r="C34">
        <v>25</v>
      </c>
    </row>
    <row r="35" spans="1:3" x14ac:dyDescent="0.2">
      <c r="A35" s="4" t="s">
        <v>162</v>
      </c>
      <c r="B35">
        <v>50</v>
      </c>
      <c r="C35">
        <v>50</v>
      </c>
    </row>
    <row r="36" spans="1:3" x14ac:dyDescent="0.2">
      <c r="A36" s="4" t="s">
        <v>94</v>
      </c>
      <c r="B36">
        <v>25</v>
      </c>
      <c r="C36">
        <v>25</v>
      </c>
    </row>
    <row r="37" spans="1:3" x14ac:dyDescent="0.2">
      <c r="A37" s="4" t="s">
        <v>167</v>
      </c>
      <c r="B37">
        <v>0</v>
      </c>
      <c r="C37">
        <v>25</v>
      </c>
    </row>
    <row r="38" spans="1:3" x14ac:dyDescent="0.2">
      <c r="A38" s="4" t="s">
        <v>46</v>
      </c>
      <c r="B38">
        <v>25</v>
      </c>
      <c r="C38">
        <v>25</v>
      </c>
    </row>
    <row r="39" spans="1:3" x14ac:dyDescent="0.2">
      <c r="A39" s="4" t="s">
        <v>49</v>
      </c>
      <c r="B39">
        <v>25</v>
      </c>
      <c r="C39">
        <v>25</v>
      </c>
    </row>
    <row r="40" spans="1:3" x14ac:dyDescent="0.2">
      <c r="A40" s="4" t="s">
        <v>170</v>
      </c>
      <c r="B40">
        <v>25</v>
      </c>
      <c r="C40">
        <v>25</v>
      </c>
    </row>
    <row r="41" spans="1:3" x14ac:dyDescent="0.2">
      <c r="A41" s="4" t="s">
        <v>28</v>
      </c>
      <c r="B41">
        <v>25</v>
      </c>
      <c r="C41">
        <v>25</v>
      </c>
    </row>
    <row r="42" spans="1:3" x14ac:dyDescent="0.2">
      <c r="A42" s="4" t="s">
        <v>86</v>
      </c>
      <c r="B42">
        <v>25</v>
      </c>
      <c r="C42">
        <v>25</v>
      </c>
    </row>
    <row r="43" spans="1:3" x14ac:dyDescent="0.2">
      <c r="A43" s="4" t="s">
        <v>131</v>
      </c>
      <c r="B43">
        <v>25</v>
      </c>
      <c r="C43">
        <v>25</v>
      </c>
    </row>
    <row r="44" spans="1:3" x14ac:dyDescent="0.2">
      <c r="A44" s="4" t="s">
        <v>32</v>
      </c>
      <c r="B44">
        <v>25</v>
      </c>
      <c r="C44">
        <v>25</v>
      </c>
    </row>
    <row r="45" spans="1:3" x14ac:dyDescent="0.2">
      <c r="A45" s="4" t="s">
        <v>17</v>
      </c>
      <c r="B45">
        <v>25</v>
      </c>
      <c r="C45">
        <v>25</v>
      </c>
    </row>
    <row r="46" spans="1:3" x14ac:dyDescent="0.2">
      <c r="A46" s="4" t="s">
        <v>155</v>
      </c>
      <c r="B46">
        <v>25</v>
      </c>
      <c r="C46">
        <v>25</v>
      </c>
    </row>
    <row r="47" spans="1:3" x14ac:dyDescent="0.2">
      <c r="A47" s="4" t="s">
        <v>210</v>
      </c>
      <c r="B47">
        <v>25</v>
      </c>
      <c r="C47">
        <v>25</v>
      </c>
    </row>
    <row r="48" spans="1:3" x14ac:dyDescent="0.2">
      <c r="A48" s="4" t="s">
        <v>134</v>
      </c>
      <c r="B48">
        <v>25</v>
      </c>
      <c r="C48">
        <v>25</v>
      </c>
    </row>
    <row r="49" spans="1:3" x14ac:dyDescent="0.2">
      <c r="A49" s="4" t="s">
        <v>36</v>
      </c>
      <c r="B49">
        <v>0</v>
      </c>
      <c r="C49">
        <v>25</v>
      </c>
    </row>
    <row r="50" spans="1:3" x14ac:dyDescent="0.2">
      <c r="A50" s="4" t="s">
        <v>174</v>
      </c>
      <c r="B50">
        <v>25</v>
      </c>
      <c r="C50">
        <v>25</v>
      </c>
    </row>
    <row r="51" spans="1:3" x14ac:dyDescent="0.2">
      <c r="A51" s="4" t="s">
        <v>137</v>
      </c>
      <c r="B51">
        <v>25</v>
      </c>
      <c r="C51">
        <v>25</v>
      </c>
    </row>
    <row r="52" spans="1:3" x14ac:dyDescent="0.2">
      <c r="A52" s="4" t="s">
        <v>53</v>
      </c>
      <c r="B52">
        <v>25</v>
      </c>
      <c r="C52">
        <v>25</v>
      </c>
    </row>
    <row r="53" spans="1:3" x14ac:dyDescent="0.2">
      <c r="A53" s="4" t="s">
        <v>140</v>
      </c>
      <c r="B53">
        <v>0</v>
      </c>
      <c r="C53">
        <v>25</v>
      </c>
    </row>
    <row r="54" spans="1:3" x14ac:dyDescent="0.2">
      <c r="A54" s="4" t="s">
        <v>148</v>
      </c>
      <c r="B54">
        <v>25</v>
      </c>
      <c r="C54">
        <v>25</v>
      </c>
    </row>
    <row r="55" spans="1:3" x14ac:dyDescent="0.2">
      <c r="A55" s="4" t="s">
        <v>2608</v>
      </c>
      <c r="B55">
        <v>0</v>
      </c>
      <c r="C55">
        <v>25</v>
      </c>
    </row>
    <row r="56" spans="1:3" x14ac:dyDescent="0.2">
      <c r="A56" s="4" t="s">
        <v>151</v>
      </c>
      <c r="B56">
        <v>25</v>
      </c>
      <c r="C56">
        <v>25</v>
      </c>
    </row>
    <row r="57" spans="1:3" x14ac:dyDescent="0.2">
      <c r="A57" s="4" t="s">
        <v>182</v>
      </c>
      <c r="B57">
        <v>25</v>
      </c>
      <c r="C57">
        <v>25</v>
      </c>
    </row>
    <row r="58" spans="1:3" x14ac:dyDescent="0.2">
      <c r="A58" s="4" t="s">
        <v>178</v>
      </c>
      <c r="B58">
        <v>0</v>
      </c>
      <c r="C58">
        <v>25</v>
      </c>
    </row>
    <row r="59" spans="1:3" x14ac:dyDescent="0.2">
      <c r="A59" s="4" t="s">
        <v>71</v>
      </c>
      <c r="B59">
        <v>25</v>
      </c>
      <c r="C59">
        <v>25</v>
      </c>
    </row>
    <row r="60" spans="1:3" x14ac:dyDescent="0.2">
      <c r="A60" s="4" t="s">
        <v>2609</v>
      </c>
    </row>
    <row r="61" spans="1:3" x14ac:dyDescent="0.2">
      <c r="A61" s="4" t="s">
        <v>2610</v>
      </c>
      <c r="B61">
        <v>925</v>
      </c>
      <c r="C61">
        <v>1450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AllProtiens</vt:lpstr>
      <vt:lpstr>Genomes</vt:lpstr>
      <vt:lpstr>CoreProteinGroups</vt:lpstr>
      <vt:lpstr>QC Privot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Hendrickson, Curtis (Campus)</dc:creator>
  <cp:lastModifiedBy>Curtis Hendrickson</cp:lastModifiedBy>
  <dcterms:created xsi:type="dcterms:W3CDTF">2025-12-15T21:58:53Z</dcterms:created>
  <dcterms:modified xsi:type="dcterms:W3CDTF">2026-02-18T04:07:00Z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7542bc-63e5-412b-b0a0-d9586028a7d0_Enabled">
    <vt:lpwstr>true</vt:lpwstr>
  </property>
  <property fmtid="{D5CDD505-2E9C-101B-9397-08002B2CF9AE}" pid="3" name="MSIP_Label_ae7542bc-63e5-412b-b0a0-d9586028a7d0_SetDate">
    <vt:lpwstr>2025-12-15T22:22:47Z</vt:lpwstr>
  </property>
  <property fmtid="{D5CDD505-2E9C-101B-9397-08002B2CF9AE}" pid="4" name="MSIP_Label_ae7542bc-63e5-412b-b0a0-d9586028a7d0_Method">
    <vt:lpwstr>Standard</vt:lpwstr>
  </property>
  <property fmtid="{D5CDD505-2E9C-101B-9397-08002B2CF9AE}" pid="5" name="MSIP_Label_ae7542bc-63e5-412b-b0a0-d9586028a7d0_Name">
    <vt:lpwstr>Sensitive</vt:lpwstr>
  </property>
  <property fmtid="{D5CDD505-2E9C-101B-9397-08002B2CF9AE}" pid="6" name="MSIP_Label_ae7542bc-63e5-412b-b0a0-d9586028a7d0_SiteId">
    <vt:lpwstr>d8999fe4-76af-40b3-b435-1d8977abc08c</vt:lpwstr>
  </property>
  <property fmtid="{D5CDD505-2E9C-101B-9397-08002B2CF9AE}" pid="7" name="MSIP_Label_ae7542bc-63e5-412b-b0a0-d9586028a7d0_ActionId">
    <vt:lpwstr>81c67764-6afb-46fe-88bc-a826bcc54e9f</vt:lpwstr>
  </property>
  <property fmtid="{D5CDD505-2E9C-101B-9397-08002B2CF9AE}" pid="8" name="MSIP_Label_ae7542bc-63e5-412b-b0a0-d9586028a7d0_ContentBits">
    <vt:lpwstr>0</vt:lpwstr>
  </property>
  <property fmtid="{D5CDD505-2E9C-101B-9397-08002B2CF9AE}" pid="9" name="MSIP_Label_ae7542bc-63e5-412b-b0a0-d9586028a7d0_Tag">
    <vt:lpwstr>50, 3, 0, 1</vt:lpwstr>
  </property>
</Properties>
</file>