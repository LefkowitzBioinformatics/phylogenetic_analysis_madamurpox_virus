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tish/Documents/varsani/phylogenetic_analysis_madamurpox_virus/protein_lists/"/>
    </mc:Choice>
  </mc:AlternateContent>
  <xr:revisionPtr revIDLastSave="0" documentId="13_ncr:1_{C2FD9B17-8D8D-6E49-B4D7-37FA157E9BF5}" xr6:coauthVersionLast="47" xr6:coauthVersionMax="47" xr10:uidLastSave="{00000000-0000-0000-0000-000000000000}"/>
  <bookViews>
    <workbookView xWindow="8100" yWindow="-23180" windowWidth="28040" windowHeight="17180" xr2:uid="{00000000-000D-0000-FFFF-FFFF00000000}"/>
  </bookViews>
  <sheets>
    <sheet name="AllProteins" sheetId="3" r:id="rId1"/>
    <sheet name="Genomes" sheetId="4" r:id="rId2"/>
    <sheet name="CoreProteinGroups" sheetId="5" r:id="rId3"/>
    <sheet name="QC All Proteins Pivot" sheetId="6" r:id="rId4"/>
  </sheets>
  <definedNames>
    <definedName name="_xlnm._FilterDatabase" localSheetId="0" hidden="1">AllProteins!$A$1:$K$1551</definedName>
    <definedName name="_xlnm._FilterDatabase" localSheetId="1" hidden="1">Genomes!$A$1:$J$62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4" l="1"/>
  <c r="E61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2" i="4"/>
  <c r="E63" i="4"/>
  <c r="E2" i="4"/>
  <c r="I1527" i="3"/>
  <c r="J1527" i="3"/>
  <c r="K1527" i="3"/>
  <c r="I1528" i="3"/>
  <c r="J1528" i="3"/>
  <c r="K1528" i="3"/>
  <c r="I1529" i="3"/>
  <c r="J1529" i="3"/>
  <c r="K1529" i="3"/>
  <c r="I1530" i="3"/>
  <c r="J1530" i="3"/>
  <c r="K1530" i="3"/>
  <c r="I1531" i="3"/>
  <c r="J1531" i="3"/>
  <c r="K1531" i="3"/>
  <c r="I1532" i="3"/>
  <c r="J1532" i="3"/>
  <c r="K1532" i="3"/>
  <c r="I1533" i="3"/>
  <c r="J1533" i="3"/>
  <c r="K1533" i="3"/>
  <c r="I1534" i="3"/>
  <c r="J1534" i="3"/>
  <c r="K1534" i="3"/>
  <c r="I1535" i="3"/>
  <c r="J1535" i="3"/>
  <c r="K1535" i="3"/>
  <c r="I1536" i="3"/>
  <c r="J1536" i="3"/>
  <c r="K1536" i="3"/>
  <c r="I1537" i="3"/>
  <c r="J1537" i="3"/>
  <c r="K1537" i="3"/>
  <c r="I1538" i="3"/>
  <c r="J1538" i="3"/>
  <c r="K1538" i="3"/>
  <c r="I1539" i="3"/>
  <c r="J1539" i="3"/>
  <c r="K1539" i="3"/>
  <c r="I1540" i="3"/>
  <c r="J1540" i="3"/>
  <c r="K1540" i="3"/>
  <c r="I1541" i="3"/>
  <c r="J1541" i="3"/>
  <c r="K1541" i="3"/>
  <c r="I1542" i="3"/>
  <c r="J1542" i="3"/>
  <c r="K1542" i="3"/>
  <c r="I1543" i="3"/>
  <c r="J1543" i="3"/>
  <c r="K1543" i="3"/>
  <c r="I1544" i="3"/>
  <c r="J1544" i="3"/>
  <c r="K1544" i="3"/>
  <c r="I1545" i="3"/>
  <c r="J1545" i="3"/>
  <c r="K1545" i="3"/>
  <c r="I1546" i="3"/>
  <c r="J1546" i="3"/>
  <c r="K1546" i="3"/>
  <c r="I1547" i="3"/>
  <c r="J1547" i="3"/>
  <c r="K1547" i="3"/>
  <c r="I1548" i="3"/>
  <c r="J1548" i="3"/>
  <c r="K1548" i="3"/>
  <c r="I1549" i="3"/>
  <c r="J1549" i="3"/>
  <c r="K1549" i="3"/>
  <c r="I1550" i="3"/>
  <c r="J1550" i="3"/>
  <c r="K1550" i="3"/>
  <c r="I1551" i="3"/>
  <c r="J1551" i="3"/>
  <c r="K1551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C63" i="4"/>
  <c r="C34" i="4"/>
  <c r="C27" i="4"/>
  <c r="C24" i="4"/>
  <c r="C23" i="4"/>
  <c r="C21" i="4"/>
  <c r="C20" i="4"/>
  <c r="C19" i="4"/>
  <c r="C45" i="4"/>
  <c r="J1477" i="3"/>
  <c r="K1477" i="3"/>
  <c r="J1478" i="3"/>
  <c r="K1478" i="3"/>
  <c r="J1479" i="3"/>
  <c r="K1479" i="3"/>
  <c r="J1480" i="3"/>
  <c r="K1480" i="3"/>
  <c r="J1481" i="3"/>
  <c r="K1481" i="3"/>
  <c r="J1482" i="3"/>
  <c r="K1482" i="3"/>
  <c r="J1483" i="3"/>
  <c r="K1483" i="3"/>
  <c r="J1484" i="3"/>
  <c r="K1484" i="3"/>
  <c r="J1485" i="3"/>
  <c r="K1485" i="3"/>
  <c r="J1486" i="3"/>
  <c r="K1486" i="3"/>
  <c r="J1487" i="3"/>
  <c r="K1487" i="3"/>
  <c r="J1488" i="3"/>
  <c r="K1488" i="3"/>
  <c r="J1489" i="3"/>
  <c r="K1489" i="3"/>
  <c r="J1490" i="3"/>
  <c r="K1490" i="3"/>
  <c r="J1491" i="3"/>
  <c r="K1491" i="3"/>
  <c r="J1492" i="3"/>
  <c r="K1492" i="3"/>
  <c r="J1493" i="3"/>
  <c r="K1493" i="3"/>
  <c r="J1494" i="3"/>
  <c r="K1494" i="3"/>
  <c r="J1495" i="3"/>
  <c r="K1495" i="3"/>
  <c r="J1496" i="3"/>
  <c r="K1496" i="3"/>
  <c r="J1497" i="3"/>
  <c r="K1497" i="3"/>
  <c r="J1498" i="3"/>
  <c r="K1498" i="3"/>
  <c r="J1499" i="3"/>
  <c r="K1499" i="3"/>
  <c r="J1500" i="3"/>
  <c r="K1500" i="3"/>
  <c r="J1501" i="3"/>
  <c r="K1501" i="3"/>
  <c r="J1502" i="3"/>
  <c r="K1502" i="3"/>
  <c r="J1503" i="3"/>
  <c r="K1503" i="3"/>
  <c r="J1504" i="3"/>
  <c r="K1504" i="3"/>
  <c r="J1505" i="3"/>
  <c r="K1505" i="3"/>
  <c r="J1506" i="3"/>
  <c r="K1506" i="3"/>
  <c r="J1507" i="3"/>
  <c r="K1507" i="3"/>
  <c r="J1508" i="3"/>
  <c r="K1508" i="3"/>
  <c r="J1509" i="3"/>
  <c r="K1509" i="3"/>
  <c r="J1510" i="3"/>
  <c r="K1510" i="3"/>
  <c r="J1511" i="3"/>
  <c r="K1511" i="3"/>
  <c r="J1512" i="3"/>
  <c r="K1512" i="3"/>
  <c r="J1513" i="3"/>
  <c r="K1513" i="3"/>
  <c r="J1514" i="3"/>
  <c r="K1514" i="3"/>
  <c r="J1515" i="3"/>
  <c r="K1515" i="3"/>
  <c r="J1516" i="3"/>
  <c r="K1516" i="3"/>
  <c r="J1517" i="3"/>
  <c r="K1517" i="3"/>
  <c r="J1518" i="3"/>
  <c r="K1518" i="3"/>
  <c r="J1519" i="3"/>
  <c r="K1519" i="3"/>
  <c r="J1520" i="3"/>
  <c r="K1520" i="3"/>
  <c r="J1521" i="3"/>
  <c r="K1521" i="3"/>
  <c r="J1522" i="3"/>
  <c r="K1522" i="3"/>
  <c r="J1523" i="3"/>
  <c r="K1523" i="3"/>
  <c r="J1524" i="3"/>
  <c r="K1524" i="3"/>
  <c r="J1525" i="3"/>
  <c r="K1525" i="3"/>
  <c r="J1526" i="3"/>
  <c r="K152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J2" i="3"/>
  <c r="K2" i="3"/>
  <c r="J3" i="3"/>
  <c r="K3" i="3"/>
  <c r="J4" i="3"/>
  <c r="K4" i="3"/>
  <c r="J5" i="3"/>
  <c r="K5" i="3"/>
  <c r="J6" i="3"/>
  <c r="K6" i="3"/>
  <c r="J7" i="3"/>
  <c r="K7" i="3"/>
  <c r="J8" i="3"/>
  <c r="K8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J38" i="3"/>
  <c r="K38" i="3"/>
  <c r="J39" i="3"/>
  <c r="K39" i="3"/>
  <c r="J40" i="3"/>
  <c r="K40" i="3"/>
  <c r="J41" i="3"/>
  <c r="K41" i="3"/>
  <c r="J42" i="3"/>
  <c r="K42" i="3"/>
  <c r="J43" i="3"/>
  <c r="K43" i="3"/>
  <c r="J44" i="3"/>
  <c r="K44" i="3"/>
  <c r="J45" i="3"/>
  <c r="K45" i="3"/>
  <c r="J46" i="3"/>
  <c r="K46" i="3"/>
  <c r="J47" i="3"/>
  <c r="K47" i="3"/>
  <c r="J48" i="3"/>
  <c r="K48" i="3"/>
  <c r="J49" i="3"/>
  <c r="K49" i="3"/>
  <c r="J50" i="3"/>
  <c r="K50" i="3"/>
  <c r="J51" i="3"/>
  <c r="K51" i="3"/>
  <c r="J52" i="3"/>
  <c r="K52" i="3"/>
  <c r="J53" i="3"/>
  <c r="K53" i="3"/>
  <c r="J54" i="3"/>
  <c r="K54" i="3"/>
  <c r="J55" i="3"/>
  <c r="K55" i="3"/>
  <c r="J56" i="3"/>
  <c r="K56" i="3"/>
  <c r="J57" i="3"/>
  <c r="K57" i="3"/>
  <c r="J58" i="3"/>
  <c r="K58" i="3"/>
  <c r="J59" i="3"/>
  <c r="K59" i="3"/>
  <c r="J60" i="3"/>
  <c r="K60" i="3"/>
  <c r="J61" i="3"/>
  <c r="K61" i="3"/>
  <c r="J62" i="3"/>
  <c r="K62" i="3"/>
  <c r="J63" i="3"/>
  <c r="K63" i="3"/>
  <c r="J64" i="3"/>
  <c r="K64" i="3"/>
  <c r="J65" i="3"/>
  <c r="K65" i="3"/>
  <c r="J66" i="3"/>
  <c r="K66" i="3"/>
  <c r="J67" i="3"/>
  <c r="K67" i="3"/>
  <c r="J68" i="3"/>
  <c r="K68" i="3"/>
  <c r="J69" i="3"/>
  <c r="K69" i="3"/>
  <c r="J70" i="3"/>
  <c r="K70" i="3"/>
  <c r="J71" i="3"/>
  <c r="K71" i="3"/>
  <c r="J72" i="3"/>
  <c r="K72" i="3"/>
  <c r="J73" i="3"/>
  <c r="K73" i="3"/>
  <c r="J74" i="3"/>
  <c r="K74" i="3"/>
  <c r="J75" i="3"/>
  <c r="K75" i="3"/>
  <c r="J76" i="3"/>
  <c r="K76" i="3"/>
  <c r="J77" i="3"/>
  <c r="K77" i="3"/>
  <c r="J78" i="3"/>
  <c r="K78" i="3"/>
  <c r="J79" i="3"/>
  <c r="K79" i="3"/>
  <c r="J80" i="3"/>
  <c r="K80" i="3"/>
  <c r="J81" i="3"/>
  <c r="K81" i="3"/>
  <c r="J82" i="3"/>
  <c r="K82" i="3"/>
  <c r="J83" i="3"/>
  <c r="K83" i="3"/>
  <c r="J84" i="3"/>
  <c r="K84" i="3"/>
  <c r="J85" i="3"/>
  <c r="K85" i="3"/>
  <c r="J86" i="3"/>
  <c r="K86" i="3"/>
  <c r="J87" i="3"/>
  <c r="K87" i="3"/>
  <c r="J88" i="3"/>
  <c r="K88" i="3"/>
  <c r="J89" i="3"/>
  <c r="K89" i="3"/>
  <c r="J90" i="3"/>
  <c r="K90" i="3"/>
  <c r="J91" i="3"/>
  <c r="K91" i="3"/>
  <c r="J92" i="3"/>
  <c r="K92" i="3"/>
  <c r="J93" i="3"/>
  <c r="K93" i="3"/>
  <c r="J94" i="3"/>
  <c r="K94" i="3"/>
  <c r="J95" i="3"/>
  <c r="K95" i="3"/>
  <c r="J96" i="3"/>
  <c r="K96" i="3"/>
  <c r="J97" i="3"/>
  <c r="K97" i="3"/>
  <c r="J98" i="3"/>
  <c r="K98" i="3"/>
  <c r="J99" i="3"/>
  <c r="K99" i="3"/>
  <c r="J100" i="3"/>
  <c r="K100" i="3"/>
  <c r="J101" i="3"/>
  <c r="K101" i="3"/>
  <c r="J102" i="3"/>
  <c r="K102" i="3"/>
  <c r="J103" i="3"/>
  <c r="K103" i="3"/>
  <c r="J104" i="3"/>
  <c r="K104" i="3"/>
  <c r="J105" i="3"/>
  <c r="K105" i="3"/>
  <c r="J106" i="3"/>
  <c r="K106" i="3"/>
  <c r="J107" i="3"/>
  <c r="K107" i="3"/>
  <c r="J108" i="3"/>
  <c r="K108" i="3"/>
  <c r="J109" i="3"/>
  <c r="K109" i="3"/>
  <c r="J110" i="3"/>
  <c r="K110" i="3"/>
  <c r="J111" i="3"/>
  <c r="K111" i="3"/>
  <c r="J112" i="3"/>
  <c r="K112" i="3"/>
  <c r="J113" i="3"/>
  <c r="K113" i="3"/>
  <c r="J114" i="3"/>
  <c r="K114" i="3"/>
  <c r="J115" i="3"/>
  <c r="K115" i="3"/>
  <c r="J116" i="3"/>
  <c r="K116" i="3"/>
  <c r="J117" i="3"/>
  <c r="K117" i="3"/>
  <c r="J118" i="3"/>
  <c r="K118" i="3"/>
  <c r="J119" i="3"/>
  <c r="K119" i="3"/>
  <c r="J120" i="3"/>
  <c r="K120" i="3"/>
  <c r="J121" i="3"/>
  <c r="K121" i="3"/>
  <c r="J122" i="3"/>
  <c r="K122" i="3"/>
  <c r="J123" i="3"/>
  <c r="K123" i="3"/>
  <c r="J124" i="3"/>
  <c r="K124" i="3"/>
  <c r="J125" i="3"/>
  <c r="K125" i="3"/>
  <c r="J126" i="3"/>
  <c r="K126" i="3"/>
  <c r="J127" i="3"/>
  <c r="K127" i="3"/>
  <c r="J128" i="3"/>
  <c r="K128" i="3"/>
  <c r="J129" i="3"/>
  <c r="K129" i="3"/>
  <c r="J130" i="3"/>
  <c r="K130" i="3"/>
  <c r="J131" i="3"/>
  <c r="K131" i="3"/>
  <c r="J132" i="3"/>
  <c r="K132" i="3"/>
  <c r="J133" i="3"/>
  <c r="K133" i="3"/>
  <c r="J134" i="3"/>
  <c r="K134" i="3"/>
  <c r="J135" i="3"/>
  <c r="K135" i="3"/>
  <c r="J136" i="3"/>
  <c r="K136" i="3"/>
  <c r="J137" i="3"/>
  <c r="K137" i="3"/>
  <c r="J138" i="3"/>
  <c r="K138" i="3"/>
  <c r="J139" i="3"/>
  <c r="K139" i="3"/>
  <c r="J140" i="3"/>
  <c r="K140" i="3"/>
  <c r="J141" i="3"/>
  <c r="K141" i="3"/>
  <c r="J142" i="3"/>
  <c r="K142" i="3"/>
  <c r="J143" i="3"/>
  <c r="K143" i="3"/>
  <c r="J144" i="3"/>
  <c r="K144" i="3"/>
  <c r="J145" i="3"/>
  <c r="K145" i="3"/>
  <c r="J146" i="3"/>
  <c r="K146" i="3"/>
  <c r="J147" i="3"/>
  <c r="K147" i="3"/>
  <c r="J148" i="3"/>
  <c r="K148" i="3"/>
  <c r="J149" i="3"/>
  <c r="K149" i="3"/>
  <c r="J150" i="3"/>
  <c r="K150" i="3"/>
  <c r="J151" i="3"/>
  <c r="K151" i="3"/>
  <c r="J152" i="3"/>
  <c r="K152" i="3"/>
  <c r="J153" i="3"/>
  <c r="K153" i="3"/>
  <c r="J154" i="3"/>
  <c r="K154" i="3"/>
  <c r="J155" i="3"/>
  <c r="K155" i="3"/>
  <c r="J156" i="3"/>
  <c r="K156" i="3"/>
  <c r="J157" i="3"/>
  <c r="K157" i="3"/>
  <c r="J158" i="3"/>
  <c r="K158" i="3"/>
  <c r="J159" i="3"/>
  <c r="K159" i="3"/>
  <c r="J160" i="3"/>
  <c r="K160" i="3"/>
  <c r="J161" i="3"/>
  <c r="K161" i="3"/>
  <c r="J162" i="3"/>
  <c r="K162" i="3"/>
  <c r="J163" i="3"/>
  <c r="K163" i="3"/>
  <c r="J164" i="3"/>
  <c r="K164" i="3"/>
  <c r="J165" i="3"/>
  <c r="K165" i="3"/>
  <c r="J166" i="3"/>
  <c r="K166" i="3"/>
  <c r="J167" i="3"/>
  <c r="K167" i="3"/>
  <c r="J168" i="3"/>
  <c r="K168" i="3"/>
  <c r="J169" i="3"/>
  <c r="K169" i="3"/>
  <c r="J170" i="3"/>
  <c r="K170" i="3"/>
  <c r="J171" i="3"/>
  <c r="K171" i="3"/>
  <c r="J172" i="3"/>
  <c r="K172" i="3"/>
  <c r="J173" i="3"/>
  <c r="K173" i="3"/>
  <c r="J174" i="3"/>
  <c r="K174" i="3"/>
  <c r="J175" i="3"/>
  <c r="K175" i="3"/>
  <c r="J176" i="3"/>
  <c r="K176" i="3"/>
  <c r="J177" i="3"/>
  <c r="K177" i="3"/>
  <c r="J178" i="3"/>
  <c r="K178" i="3"/>
  <c r="J179" i="3"/>
  <c r="K179" i="3"/>
  <c r="J180" i="3"/>
  <c r="K180" i="3"/>
  <c r="J181" i="3"/>
  <c r="K181" i="3"/>
  <c r="J182" i="3"/>
  <c r="K182" i="3"/>
  <c r="J183" i="3"/>
  <c r="K183" i="3"/>
  <c r="J184" i="3"/>
  <c r="K184" i="3"/>
  <c r="J185" i="3"/>
  <c r="K185" i="3"/>
  <c r="J186" i="3"/>
  <c r="K186" i="3"/>
  <c r="J187" i="3"/>
  <c r="K187" i="3"/>
  <c r="J188" i="3"/>
  <c r="K188" i="3"/>
  <c r="J189" i="3"/>
  <c r="K189" i="3"/>
  <c r="J190" i="3"/>
  <c r="K190" i="3"/>
  <c r="J191" i="3"/>
  <c r="K191" i="3"/>
  <c r="J192" i="3"/>
  <c r="K192" i="3"/>
  <c r="J193" i="3"/>
  <c r="K193" i="3"/>
  <c r="J194" i="3"/>
  <c r="K194" i="3"/>
  <c r="J195" i="3"/>
  <c r="K195" i="3"/>
  <c r="J196" i="3"/>
  <c r="K196" i="3"/>
  <c r="J197" i="3"/>
  <c r="K197" i="3"/>
  <c r="J198" i="3"/>
  <c r="K198" i="3"/>
  <c r="J199" i="3"/>
  <c r="K199" i="3"/>
  <c r="J200" i="3"/>
  <c r="K200" i="3"/>
  <c r="J201" i="3"/>
  <c r="K201" i="3"/>
  <c r="J202" i="3"/>
  <c r="K202" i="3"/>
  <c r="J203" i="3"/>
  <c r="K203" i="3"/>
  <c r="J204" i="3"/>
  <c r="K204" i="3"/>
  <c r="J205" i="3"/>
  <c r="K205" i="3"/>
  <c r="J206" i="3"/>
  <c r="K206" i="3"/>
  <c r="J207" i="3"/>
  <c r="K207" i="3"/>
  <c r="J208" i="3"/>
  <c r="K208" i="3"/>
  <c r="J209" i="3"/>
  <c r="K209" i="3"/>
  <c r="J210" i="3"/>
  <c r="K210" i="3"/>
  <c r="J211" i="3"/>
  <c r="K211" i="3"/>
  <c r="J212" i="3"/>
  <c r="K212" i="3"/>
  <c r="J213" i="3"/>
  <c r="K213" i="3"/>
  <c r="J214" i="3"/>
  <c r="K214" i="3"/>
  <c r="J215" i="3"/>
  <c r="K215" i="3"/>
  <c r="J216" i="3"/>
  <c r="K216" i="3"/>
  <c r="J217" i="3"/>
  <c r="K217" i="3"/>
  <c r="J218" i="3"/>
  <c r="K218" i="3"/>
  <c r="J219" i="3"/>
  <c r="K219" i="3"/>
  <c r="J220" i="3"/>
  <c r="K220" i="3"/>
  <c r="J221" i="3"/>
  <c r="K221" i="3"/>
  <c r="J222" i="3"/>
  <c r="K222" i="3"/>
  <c r="J223" i="3"/>
  <c r="K223" i="3"/>
  <c r="J224" i="3"/>
  <c r="K224" i="3"/>
  <c r="J225" i="3"/>
  <c r="K225" i="3"/>
  <c r="J226" i="3"/>
  <c r="K226" i="3"/>
  <c r="J227" i="3"/>
  <c r="K227" i="3"/>
  <c r="J228" i="3"/>
  <c r="K228" i="3"/>
  <c r="J229" i="3"/>
  <c r="K229" i="3"/>
  <c r="J230" i="3"/>
  <c r="K230" i="3"/>
  <c r="J231" i="3"/>
  <c r="K231" i="3"/>
  <c r="J232" i="3"/>
  <c r="K232" i="3"/>
  <c r="J233" i="3"/>
  <c r="K233" i="3"/>
  <c r="J234" i="3"/>
  <c r="K234" i="3"/>
  <c r="J235" i="3"/>
  <c r="K235" i="3"/>
  <c r="J236" i="3"/>
  <c r="K236" i="3"/>
  <c r="J237" i="3"/>
  <c r="K237" i="3"/>
  <c r="J238" i="3"/>
  <c r="K238" i="3"/>
  <c r="J239" i="3"/>
  <c r="K239" i="3"/>
  <c r="J240" i="3"/>
  <c r="K240" i="3"/>
  <c r="J241" i="3"/>
  <c r="K241" i="3"/>
  <c r="J242" i="3"/>
  <c r="K242" i="3"/>
  <c r="J243" i="3"/>
  <c r="K243" i="3"/>
  <c r="J244" i="3"/>
  <c r="K244" i="3"/>
  <c r="J245" i="3"/>
  <c r="K245" i="3"/>
  <c r="J246" i="3"/>
  <c r="K246" i="3"/>
  <c r="J247" i="3"/>
  <c r="K247" i="3"/>
  <c r="J248" i="3"/>
  <c r="K248" i="3"/>
  <c r="J249" i="3"/>
  <c r="K249" i="3"/>
  <c r="J250" i="3"/>
  <c r="K250" i="3"/>
  <c r="J251" i="3"/>
  <c r="K251" i="3"/>
  <c r="J252" i="3"/>
  <c r="K252" i="3"/>
  <c r="J253" i="3"/>
  <c r="K253" i="3"/>
  <c r="J254" i="3"/>
  <c r="K254" i="3"/>
  <c r="J255" i="3"/>
  <c r="K255" i="3"/>
  <c r="J256" i="3"/>
  <c r="K256" i="3"/>
  <c r="J257" i="3"/>
  <c r="K257" i="3"/>
  <c r="J258" i="3"/>
  <c r="K258" i="3"/>
  <c r="J259" i="3"/>
  <c r="K259" i="3"/>
  <c r="J260" i="3"/>
  <c r="K260" i="3"/>
  <c r="J261" i="3"/>
  <c r="K261" i="3"/>
  <c r="J262" i="3"/>
  <c r="K262" i="3"/>
  <c r="J263" i="3"/>
  <c r="K263" i="3"/>
  <c r="J264" i="3"/>
  <c r="K264" i="3"/>
  <c r="J265" i="3"/>
  <c r="K265" i="3"/>
  <c r="J266" i="3"/>
  <c r="K266" i="3"/>
  <c r="J267" i="3"/>
  <c r="K267" i="3"/>
  <c r="J268" i="3"/>
  <c r="K268" i="3"/>
  <c r="J269" i="3"/>
  <c r="K269" i="3"/>
  <c r="J270" i="3"/>
  <c r="K270" i="3"/>
  <c r="J271" i="3"/>
  <c r="K271" i="3"/>
  <c r="J272" i="3"/>
  <c r="K272" i="3"/>
  <c r="J273" i="3"/>
  <c r="K273" i="3"/>
  <c r="J274" i="3"/>
  <c r="K274" i="3"/>
  <c r="J275" i="3"/>
  <c r="K275" i="3"/>
  <c r="J276" i="3"/>
  <c r="K276" i="3"/>
  <c r="J277" i="3"/>
  <c r="K277" i="3"/>
  <c r="J278" i="3"/>
  <c r="K278" i="3"/>
  <c r="J279" i="3"/>
  <c r="K279" i="3"/>
  <c r="J280" i="3"/>
  <c r="K280" i="3"/>
  <c r="J281" i="3"/>
  <c r="K281" i="3"/>
  <c r="J282" i="3"/>
  <c r="K282" i="3"/>
  <c r="J283" i="3"/>
  <c r="K283" i="3"/>
  <c r="J284" i="3"/>
  <c r="K284" i="3"/>
  <c r="J285" i="3"/>
  <c r="K285" i="3"/>
  <c r="J286" i="3"/>
  <c r="K286" i="3"/>
  <c r="J287" i="3"/>
  <c r="K287" i="3"/>
  <c r="J288" i="3"/>
  <c r="K288" i="3"/>
  <c r="J289" i="3"/>
  <c r="K289" i="3"/>
  <c r="J290" i="3"/>
  <c r="K290" i="3"/>
  <c r="J291" i="3"/>
  <c r="K291" i="3"/>
  <c r="J292" i="3"/>
  <c r="K292" i="3"/>
  <c r="J293" i="3"/>
  <c r="K293" i="3"/>
  <c r="J294" i="3"/>
  <c r="K294" i="3"/>
  <c r="J295" i="3"/>
  <c r="K295" i="3"/>
  <c r="J296" i="3"/>
  <c r="K296" i="3"/>
  <c r="J297" i="3"/>
  <c r="K297" i="3"/>
  <c r="J298" i="3"/>
  <c r="K298" i="3"/>
  <c r="J299" i="3"/>
  <c r="K299" i="3"/>
  <c r="J300" i="3"/>
  <c r="K300" i="3"/>
  <c r="J301" i="3"/>
  <c r="K301" i="3"/>
  <c r="J302" i="3"/>
  <c r="K302" i="3"/>
  <c r="J303" i="3"/>
  <c r="K303" i="3"/>
  <c r="J304" i="3"/>
  <c r="K304" i="3"/>
  <c r="J305" i="3"/>
  <c r="K305" i="3"/>
  <c r="J306" i="3"/>
  <c r="K306" i="3"/>
  <c r="J307" i="3"/>
  <c r="K307" i="3"/>
  <c r="J308" i="3"/>
  <c r="K308" i="3"/>
  <c r="J309" i="3"/>
  <c r="K309" i="3"/>
  <c r="J310" i="3"/>
  <c r="K310" i="3"/>
  <c r="J311" i="3"/>
  <c r="K311" i="3"/>
  <c r="J312" i="3"/>
  <c r="K312" i="3"/>
  <c r="J313" i="3"/>
  <c r="K313" i="3"/>
  <c r="J314" i="3"/>
  <c r="K314" i="3"/>
  <c r="J315" i="3"/>
  <c r="K315" i="3"/>
  <c r="J316" i="3"/>
  <c r="K316" i="3"/>
  <c r="J317" i="3"/>
  <c r="K317" i="3"/>
  <c r="J318" i="3"/>
  <c r="K318" i="3"/>
  <c r="J319" i="3"/>
  <c r="K319" i="3"/>
  <c r="J320" i="3"/>
  <c r="K320" i="3"/>
  <c r="J321" i="3"/>
  <c r="K321" i="3"/>
  <c r="J322" i="3"/>
  <c r="K322" i="3"/>
  <c r="J323" i="3"/>
  <c r="K323" i="3"/>
  <c r="J324" i="3"/>
  <c r="K324" i="3"/>
  <c r="J325" i="3"/>
  <c r="K325" i="3"/>
  <c r="J326" i="3"/>
  <c r="K326" i="3"/>
  <c r="J327" i="3"/>
  <c r="K327" i="3"/>
  <c r="J328" i="3"/>
  <c r="K328" i="3"/>
  <c r="J329" i="3"/>
  <c r="K329" i="3"/>
  <c r="J330" i="3"/>
  <c r="K330" i="3"/>
  <c r="J331" i="3"/>
  <c r="K331" i="3"/>
  <c r="J332" i="3"/>
  <c r="K332" i="3"/>
  <c r="J333" i="3"/>
  <c r="K333" i="3"/>
  <c r="J334" i="3"/>
  <c r="K334" i="3"/>
  <c r="J335" i="3"/>
  <c r="K335" i="3"/>
  <c r="J336" i="3"/>
  <c r="K336" i="3"/>
  <c r="J337" i="3"/>
  <c r="K337" i="3"/>
  <c r="J338" i="3"/>
  <c r="K338" i="3"/>
  <c r="J339" i="3"/>
  <c r="K339" i="3"/>
  <c r="J340" i="3"/>
  <c r="K340" i="3"/>
  <c r="J341" i="3"/>
  <c r="K341" i="3"/>
  <c r="J342" i="3"/>
  <c r="K342" i="3"/>
  <c r="J343" i="3"/>
  <c r="K343" i="3"/>
  <c r="J344" i="3"/>
  <c r="K344" i="3"/>
  <c r="J345" i="3"/>
  <c r="K345" i="3"/>
  <c r="J346" i="3"/>
  <c r="K346" i="3"/>
  <c r="J347" i="3"/>
  <c r="K347" i="3"/>
  <c r="J348" i="3"/>
  <c r="K348" i="3"/>
  <c r="J349" i="3"/>
  <c r="K349" i="3"/>
  <c r="J350" i="3"/>
  <c r="K350" i="3"/>
  <c r="J351" i="3"/>
  <c r="K351" i="3"/>
  <c r="J352" i="3"/>
  <c r="K352" i="3"/>
  <c r="J353" i="3"/>
  <c r="K353" i="3"/>
  <c r="J354" i="3"/>
  <c r="K354" i="3"/>
  <c r="J355" i="3"/>
  <c r="K355" i="3"/>
  <c r="J356" i="3"/>
  <c r="K356" i="3"/>
  <c r="J357" i="3"/>
  <c r="K357" i="3"/>
  <c r="J358" i="3"/>
  <c r="K358" i="3"/>
  <c r="J359" i="3"/>
  <c r="K359" i="3"/>
  <c r="J360" i="3"/>
  <c r="K360" i="3"/>
  <c r="J361" i="3"/>
  <c r="K361" i="3"/>
  <c r="J362" i="3"/>
  <c r="K362" i="3"/>
  <c r="J363" i="3"/>
  <c r="K363" i="3"/>
  <c r="J364" i="3"/>
  <c r="K364" i="3"/>
  <c r="J365" i="3"/>
  <c r="K365" i="3"/>
  <c r="J366" i="3"/>
  <c r="K366" i="3"/>
  <c r="J367" i="3"/>
  <c r="K367" i="3"/>
  <c r="J368" i="3"/>
  <c r="K368" i="3"/>
  <c r="J369" i="3"/>
  <c r="K369" i="3"/>
  <c r="J370" i="3"/>
  <c r="K370" i="3"/>
  <c r="J371" i="3"/>
  <c r="K371" i="3"/>
  <c r="J372" i="3"/>
  <c r="K372" i="3"/>
  <c r="J373" i="3"/>
  <c r="K373" i="3"/>
  <c r="J374" i="3"/>
  <c r="K374" i="3"/>
  <c r="J375" i="3"/>
  <c r="K375" i="3"/>
  <c r="J376" i="3"/>
  <c r="K376" i="3"/>
  <c r="J377" i="3"/>
  <c r="K377" i="3"/>
  <c r="J378" i="3"/>
  <c r="K378" i="3"/>
  <c r="J379" i="3"/>
  <c r="K379" i="3"/>
  <c r="J380" i="3"/>
  <c r="K380" i="3"/>
  <c r="J381" i="3"/>
  <c r="K381" i="3"/>
  <c r="J382" i="3"/>
  <c r="K382" i="3"/>
  <c r="J383" i="3"/>
  <c r="K383" i="3"/>
  <c r="J384" i="3"/>
  <c r="K384" i="3"/>
  <c r="J385" i="3"/>
  <c r="K385" i="3"/>
  <c r="J386" i="3"/>
  <c r="K386" i="3"/>
  <c r="J387" i="3"/>
  <c r="K387" i="3"/>
  <c r="J388" i="3"/>
  <c r="K388" i="3"/>
  <c r="J389" i="3"/>
  <c r="K389" i="3"/>
  <c r="J390" i="3"/>
  <c r="K390" i="3"/>
  <c r="J391" i="3"/>
  <c r="K391" i="3"/>
  <c r="J392" i="3"/>
  <c r="K392" i="3"/>
  <c r="J393" i="3"/>
  <c r="K393" i="3"/>
  <c r="J394" i="3"/>
  <c r="K394" i="3"/>
  <c r="J395" i="3"/>
  <c r="K395" i="3"/>
  <c r="J396" i="3"/>
  <c r="K396" i="3"/>
  <c r="J397" i="3"/>
  <c r="K397" i="3"/>
  <c r="J398" i="3"/>
  <c r="K398" i="3"/>
  <c r="J399" i="3"/>
  <c r="K399" i="3"/>
  <c r="J400" i="3"/>
  <c r="K400" i="3"/>
  <c r="J401" i="3"/>
  <c r="K401" i="3"/>
  <c r="J402" i="3"/>
  <c r="K402" i="3"/>
  <c r="J403" i="3"/>
  <c r="K403" i="3"/>
  <c r="J404" i="3"/>
  <c r="K404" i="3"/>
  <c r="J405" i="3"/>
  <c r="K405" i="3"/>
  <c r="J406" i="3"/>
  <c r="K406" i="3"/>
  <c r="J407" i="3"/>
  <c r="K407" i="3"/>
  <c r="J408" i="3"/>
  <c r="K408" i="3"/>
  <c r="J409" i="3"/>
  <c r="K409" i="3"/>
  <c r="J410" i="3"/>
  <c r="K410" i="3"/>
  <c r="J411" i="3"/>
  <c r="K411" i="3"/>
  <c r="J412" i="3"/>
  <c r="K412" i="3"/>
  <c r="J413" i="3"/>
  <c r="K413" i="3"/>
  <c r="J414" i="3"/>
  <c r="K414" i="3"/>
  <c r="J415" i="3"/>
  <c r="K415" i="3"/>
  <c r="J416" i="3"/>
  <c r="K416" i="3"/>
  <c r="J417" i="3"/>
  <c r="K417" i="3"/>
  <c r="J418" i="3"/>
  <c r="K418" i="3"/>
  <c r="J419" i="3"/>
  <c r="K419" i="3"/>
  <c r="J420" i="3"/>
  <c r="K420" i="3"/>
  <c r="J421" i="3"/>
  <c r="K421" i="3"/>
  <c r="J422" i="3"/>
  <c r="K422" i="3"/>
  <c r="J423" i="3"/>
  <c r="K423" i="3"/>
  <c r="J424" i="3"/>
  <c r="K424" i="3"/>
  <c r="J425" i="3"/>
  <c r="K425" i="3"/>
  <c r="J426" i="3"/>
  <c r="K426" i="3"/>
  <c r="J427" i="3"/>
  <c r="K427" i="3"/>
  <c r="J428" i="3"/>
  <c r="K428" i="3"/>
  <c r="J429" i="3"/>
  <c r="K429" i="3"/>
  <c r="J430" i="3"/>
  <c r="K430" i="3"/>
  <c r="J431" i="3"/>
  <c r="K431" i="3"/>
  <c r="J432" i="3"/>
  <c r="K432" i="3"/>
  <c r="J433" i="3"/>
  <c r="K433" i="3"/>
  <c r="J434" i="3"/>
  <c r="K434" i="3"/>
  <c r="J435" i="3"/>
  <c r="K435" i="3"/>
  <c r="J436" i="3"/>
  <c r="K436" i="3"/>
  <c r="J437" i="3"/>
  <c r="K437" i="3"/>
  <c r="J438" i="3"/>
  <c r="K438" i="3"/>
  <c r="J439" i="3"/>
  <c r="K439" i="3"/>
  <c r="J440" i="3"/>
  <c r="K440" i="3"/>
  <c r="J441" i="3"/>
  <c r="K441" i="3"/>
  <c r="J442" i="3"/>
  <c r="K442" i="3"/>
  <c r="J443" i="3"/>
  <c r="K443" i="3"/>
  <c r="J444" i="3"/>
  <c r="K444" i="3"/>
  <c r="J445" i="3"/>
  <c r="K445" i="3"/>
  <c r="J446" i="3"/>
  <c r="K446" i="3"/>
  <c r="J447" i="3"/>
  <c r="K447" i="3"/>
  <c r="J448" i="3"/>
  <c r="K448" i="3"/>
  <c r="J449" i="3"/>
  <c r="K449" i="3"/>
  <c r="J450" i="3"/>
  <c r="K450" i="3"/>
  <c r="J451" i="3"/>
  <c r="K451" i="3"/>
  <c r="J452" i="3"/>
  <c r="K452" i="3"/>
  <c r="J453" i="3"/>
  <c r="K453" i="3"/>
  <c r="J454" i="3"/>
  <c r="K454" i="3"/>
  <c r="J455" i="3"/>
  <c r="K455" i="3"/>
  <c r="J456" i="3"/>
  <c r="K456" i="3"/>
  <c r="J457" i="3"/>
  <c r="K457" i="3"/>
  <c r="J458" i="3"/>
  <c r="K458" i="3"/>
  <c r="J459" i="3"/>
  <c r="K459" i="3"/>
  <c r="J460" i="3"/>
  <c r="K460" i="3"/>
  <c r="J461" i="3"/>
  <c r="K461" i="3"/>
  <c r="J462" i="3"/>
  <c r="K462" i="3"/>
  <c r="J463" i="3"/>
  <c r="K463" i="3"/>
  <c r="J464" i="3"/>
  <c r="K464" i="3"/>
  <c r="J465" i="3"/>
  <c r="K465" i="3"/>
  <c r="J466" i="3"/>
  <c r="K466" i="3"/>
  <c r="J467" i="3"/>
  <c r="K467" i="3"/>
  <c r="J468" i="3"/>
  <c r="K468" i="3"/>
  <c r="J469" i="3"/>
  <c r="K469" i="3"/>
  <c r="J470" i="3"/>
  <c r="K470" i="3"/>
  <c r="J471" i="3"/>
  <c r="K471" i="3"/>
  <c r="J472" i="3"/>
  <c r="K472" i="3"/>
  <c r="J473" i="3"/>
  <c r="K473" i="3"/>
  <c r="J474" i="3"/>
  <c r="K474" i="3"/>
  <c r="J475" i="3"/>
  <c r="K475" i="3"/>
  <c r="J476" i="3"/>
  <c r="K476" i="3"/>
  <c r="J477" i="3"/>
  <c r="K477" i="3"/>
  <c r="J478" i="3"/>
  <c r="K478" i="3"/>
  <c r="J479" i="3"/>
  <c r="K479" i="3"/>
  <c r="J480" i="3"/>
  <c r="K480" i="3"/>
  <c r="J481" i="3"/>
  <c r="K481" i="3"/>
  <c r="J482" i="3"/>
  <c r="K482" i="3"/>
  <c r="J483" i="3"/>
  <c r="K483" i="3"/>
  <c r="J484" i="3"/>
  <c r="K484" i="3"/>
  <c r="J485" i="3"/>
  <c r="K485" i="3"/>
  <c r="J486" i="3"/>
  <c r="K486" i="3"/>
  <c r="J487" i="3"/>
  <c r="K487" i="3"/>
  <c r="J488" i="3"/>
  <c r="K488" i="3"/>
  <c r="J489" i="3"/>
  <c r="K489" i="3"/>
  <c r="J490" i="3"/>
  <c r="K490" i="3"/>
  <c r="J491" i="3"/>
  <c r="K491" i="3"/>
  <c r="J492" i="3"/>
  <c r="K492" i="3"/>
  <c r="J493" i="3"/>
  <c r="K493" i="3"/>
  <c r="J494" i="3"/>
  <c r="K494" i="3"/>
  <c r="J495" i="3"/>
  <c r="K495" i="3"/>
  <c r="J496" i="3"/>
  <c r="K496" i="3"/>
  <c r="J497" i="3"/>
  <c r="K497" i="3"/>
  <c r="J498" i="3"/>
  <c r="K498" i="3"/>
  <c r="J499" i="3"/>
  <c r="K499" i="3"/>
  <c r="J500" i="3"/>
  <c r="K500" i="3"/>
  <c r="J501" i="3"/>
  <c r="K501" i="3"/>
  <c r="J502" i="3"/>
  <c r="K502" i="3"/>
  <c r="J503" i="3"/>
  <c r="K503" i="3"/>
  <c r="J504" i="3"/>
  <c r="K504" i="3"/>
  <c r="J505" i="3"/>
  <c r="K505" i="3"/>
  <c r="J506" i="3"/>
  <c r="K506" i="3"/>
  <c r="J507" i="3"/>
  <c r="K507" i="3"/>
  <c r="J508" i="3"/>
  <c r="K508" i="3"/>
  <c r="J509" i="3"/>
  <c r="K509" i="3"/>
  <c r="J510" i="3"/>
  <c r="K510" i="3"/>
  <c r="J511" i="3"/>
  <c r="K511" i="3"/>
  <c r="J512" i="3"/>
  <c r="K512" i="3"/>
  <c r="J513" i="3"/>
  <c r="K513" i="3"/>
  <c r="J514" i="3"/>
  <c r="K514" i="3"/>
  <c r="J515" i="3"/>
  <c r="K515" i="3"/>
  <c r="J516" i="3"/>
  <c r="K516" i="3"/>
  <c r="J517" i="3"/>
  <c r="K517" i="3"/>
  <c r="J518" i="3"/>
  <c r="K518" i="3"/>
  <c r="J519" i="3"/>
  <c r="K519" i="3"/>
  <c r="J520" i="3"/>
  <c r="K520" i="3"/>
  <c r="J521" i="3"/>
  <c r="K521" i="3"/>
  <c r="J522" i="3"/>
  <c r="K522" i="3"/>
  <c r="J523" i="3"/>
  <c r="K523" i="3"/>
  <c r="J524" i="3"/>
  <c r="K524" i="3"/>
  <c r="J525" i="3"/>
  <c r="K525" i="3"/>
  <c r="J526" i="3"/>
  <c r="K526" i="3"/>
  <c r="J527" i="3"/>
  <c r="K527" i="3"/>
  <c r="J528" i="3"/>
  <c r="K528" i="3"/>
  <c r="J529" i="3"/>
  <c r="K529" i="3"/>
  <c r="J530" i="3"/>
  <c r="K530" i="3"/>
  <c r="J531" i="3"/>
  <c r="K531" i="3"/>
  <c r="J532" i="3"/>
  <c r="K532" i="3"/>
  <c r="J533" i="3"/>
  <c r="K533" i="3"/>
  <c r="J534" i="3"/>
  <c r="K534" i="3"/>
  <c r="J535" i="3"/>
  <c r="K535" i="3"/>
  <c r="J536" i="3"/>
  <c r="K536" i="3"/>
  <c r="J537" i="3"/>
  <c r="K537" i="3"/>
  <c r="J538" i="3"/>
  <c r="K538" i="3"/>
  <c r="J539" i="3"/>
  <c r="K539" i="3"/>
  <c r="J540" i="3"/>
  <c r="K540" i="3"/>
  <c r="J541" i="3"/>
  <c r="K541" i="3"/>
  <c r="J542" i="3"/>
  <c r="K542" i="3"/>
  <c r="J543" i="3"/>
  <c r="K543" i="3"/>
  <c r="J544" i="3"/>
  <c r="K544" i="3"/>
  <c r="J545" i="3"/>
  <c r="K545" i="3"/>
  <c r="J546" i="3"/>
  <c r="K546" i="3"/>
  <c r="J547" i="3"/>
  <c r="K547" i="3"/>
  <c r="J548" i="3"/>
  <c r="K548" i="3"/>
  <c r="J549" i="3"/>
  <c r="K549" i="3"/>
  <c r="J550" i="3"/>
  <c r="K550" i="3"/>
  <c r="J551" i="3"/>
  <c r="K551" i="3"/>
  <c r="J552" i="3"/>
  <c r="K552" i="3"/>
  <c r="J553" i="3"/>
  <c r="K553" i="3"/>
  <c r="J554" i="3"/>
  <c r="K554" i="3"/>
  <c r="J555" i="3"/>
  <c r="K555" i="3"/>
  <c r="J556" i="3"/>
  <c r="K556" i="3"/>
  <c r="J557" i="3"/>
  <c r="K557" i="3"/>
  <c r="J558" i="3"/>
  <c r="K558" i="3"/>
  <c r="J559" i="3"/>
  <c r="K559" i="3"/>
  <c r="J560" i="3"/>
  <c r="K560" i="3"/>
  <c r="J561" i="3"/>
  <c r="K561" i="3"/>
  <c r="J562" i="3"/>
  <c r="K562" i="3"/>
  <c r="J563" i="3"/>
  <c r="K563" i="3"/>
  <c r="J564" i="3"/>
  <c r="K564" i="3"/>
  <c r="J565" i="3"/>
  <c r="K565" i="3"/>
  <c r="J566" i="3"/>
  <c r="K566" i="3"/>
  <c r="J567" i="3"/>
  <c r="K567" i="3"/>
  <c r="J568" i="3"/>
  <c r="K568" i="3"/>
  <c r="J569" i="3"/>
  <c r="K569" i="3"/>
  <c r="J570" i="3"/>
  <c r="K570" i="3"/>
  <c r="J571" i="3"/>
  <c r="K571" i="3"/>
  <c r="J572" i="3"/>
  <c r="K572" i="3"/>
  <c r="J573" i="3"/>
  <c r="K573" i="3"/>
  <c r="J574" i="3"/>
  <c r="K574" i="3"/>
  <c r="J575" i="3"/>
  <c r="K575" i="3"/>
  <c r="J576" i="3"/>
  <c r="K576" i="3"/>
  <c r="J577" i="3"/>
  <c r="K577" i="3"/>
  <c r="J578" i="3"/>
  <c r="K578" i="3"/>
  <c r="J579" i="3"/>
  <c r="K579" i="3"/>
  <c r="J580" i="3"/>
  <c r="K580" i="3"/>
  <c r="J581" i="3"/>
  <c r="K581" i="3"/>
  <c r="J582" i="3"/>
  <c r="K582" i="3"/>
  <c r="J583" i="3"/>
  <c r="K583" i="3"/>
  <c r="J584" i="3"/>
  <c r="K584" i="3"/>
  <c r="J585" i="3"/>
  <c r="K585" i="3"/>
  <c r="J586" i="3"/>
  <c r="K586" i="3"/>
  <c r="J587" i="3"/>
  <c r="K587" i="3"/>
  <c r="J588" i="3"/>
  <c r="K588" i="3"/>
  <c r="J589" i="3"/>
  <c r="K589" i="3"/>
  <c r="J590" i="3"/>
  <c r="K590" i="3"/>
  <c r="J591" i="3"/>
  <c r="K591" i="3"/>
  <c r="J592" i="3"/>
  <c r="K592" i="3"/>
  <c r="J593" i="3"/>
  <c r="K593" i="3"/>
  <c r="J594" i="3"/>
  <c r="K594" i="3"/>
  <c r="J595" i="3"/>
  <c r="K595" i="3"/>
  <c r="J596" i="3"/>
  <c r="K596" i="3"/>
  <c r="J597" i="3"/>
  <c r="K597" i="3"/>
  <c r="J598" i="3"/>
  <c r="K598" i="3"/>
  <c r="J599" i="3"/>
  <c r="K599" i="3"/>
  <c r="J600" i="3"/>
  <c r="K600" i="3"/>
  <c r="J601" i="3"/>
  <c r="K601" i="3"/>
  <c r="J602" i="3"/>
  <c r="K602" i="3"/>
  <c r="J603" i="3"/>
  <c r="K603" i="3"/>
  <c r="J604" i="3"/>
  <c r="K604" i="3"/>
  <c r="J605" i="3"/>
  <c r="K605" i="3"/>
  <c r="J606" i="3"/>
  <c r="K606" i="3"/>
  <c r="J607" i="3"/>
  <c r="K607" i="3"/>
  <c r="J608" i="3"/>
  <c r="K608" i="3"/>
  <c r="J609" i="3"/>
  <c r="K609" i="3"/>
  <c r="J610" i="3"/>
  <c r="K610" i="3"/>
  <c r="J611" i="3"/>
  <c r="K611" i="3"/>
  <c r="J612" i="3"/>
  <c r="K612" i="3"/>
  <c r="J613" i="3"/>
  <c r="K613" i="3"/>
  <c r="J614" i="3"/>
  <c r="K614" i="3"/>
  <c r="J615" i="3"/>
  <c r="K615" i="3"/>
  <c r="J616" i="3"/>
  <c r="K616" i="3"/>
  <c r="J617" i="3"/>
  <c r="K617" i="3"/>
  <c r="J618" i="3"/>
  <c r="K618" i="3"/>
  <c r="J619" i="3"/>
  <c r="K619" i="3"/>
  <c r="J620" i="3"/>
  <c r="K620" i="3"/>
  <c r="J621" i="3"/>
  <c r="K621" i="3"/>
  <c r="J622" i="3"/>
  <c r="K622" i="3"/>
  <c r="J623" i="3"/>
  <c r="K623" i="3"/>
  <c r="J624" i="3"/>
  <c r="K624" i="3"/>
  <c r="J625" i="3"/>
  <c r="K625" i="3"/>
  <c r="J626" i="3"/>
  <c r="K626" i="3"/>
  <c r="J627" i="3"/>
  <c r="K627" i="3"/>
  <c r="J628" i="3"/>
  <c r="K628" i="3"/>
  <c r="J629" i="3"/>
  <c r="K629" i="3"/>
  <c r="J630" i="3"/>
  <c r="K630" i="3"/>
  <c r="J631" i="3"/>
  <c r="K631" i="3"/>
  <c r="J632" i="3"/>
  <c r="K632" i="3"/>
  <c r="J633" i="3"/>
  <c r="K633" i="3"/>
  <c r="J634" i="3"/>
  <c r="K634" i="3"/>
  <c r="J635" i="3"/>
  <c r="K635" i="3"/>
  <c r="J636" i="3"/>
  <c r="K636" i="3"/>
  <c r="J637" i="3"/>
  <c r="K637" i="3"/>
  <c r="J638" i="3"/>
  <c r="K638" i="3"/>
  <c r="J639" i="3"/>
  <c r="K639" i="3"/>
  <c r="J640" i="3"/>
  <c r="K640" i="3"/>
  <c r="J641" i="3"/>
  <c r="K641" i="3"/>
  <c r="J642" i="3"/>
  <c r="K642" i="3"/>
  <c r="J643" i="3"/>
  <c r="K643" i="3"/>
  <c r="J644" i="3"/>
  <c r="K644" i="3"/>
  <c r="J645" i="3"/>
  <c r="K645" i="3"/>
  <c r="J646" i="3"/>
  <c r="K646" i="3"/>
  <c r="J647" i="3"/>
  <c r="K647" i="3"/>
  <c r="J648" i="3"/>
  <c r="K648" i="3"/>
  <c r="J649" i="3"/>
  <c r="K649" i="3"/>
  <c r="J650" i="3"/>
  <c r="K650" i="3"/>
  <c r="J651" i="3"/>
  <c r="K651" i="3"/>
  <c r="J652" i="3"/>
  <c r="K652" i="3"/>
  <c r="J653" i="3"/>
  <c r="K653" i="3"/>
  <c r="J654" i="3"/>
  <c r="K654" i="3"/>
  <c r="J655" i="3"/>
  <c r="K655" i="3"/>
  <c r="J656" i="3"/>
  <c r="K656" i="3"/>
  <c r="J657" i="3"/>
  <c r="K657" i="3"/>
  <c r="J658" i="3"/>
  <c r="K658" i="3"/>
  <c r="J659" i="3"/>
  <c r="K659" i="3"/>
  <c r="J660" i="3"/>
  <c r="K660" i="3"/>
  <c r="J661" i="3"/>
  <c r="K661" i="3"/>
  <c r="J662" i="3"/>
  <c r="K662" i="3"/>
  <c r="J663" i="3"/>
  <c r="K663" i="3"/>
  <c r="J664" i="3"/>
  <c r="K664" i="3"/>
  <c r="J665" i="3"/>
  <c r="K665" i="3"/>
  <c r="J666" i="3"/>
  <c r="K666" i="3"/>
  <c r="J667" i="3"/>
  <c r="K667" i="3"/>
  <c r="J668" i="3"/>
  <c r="K668" i="3"/>
  <c r="J669" i="3"/>
  <c r="K669" i="3"/>
  <c r="J670" i="3"/>
  <c r="K670" i="3"/>
  <c r="J671" i="3"/>
  <c r="K671" i="3"/>
  <c r="J672" i="3"/>
  <c r="K672" i="3"/>
  <c r="J673" i="3"/>
  <c r="K673" i="3"/>
  <c r="J674" i="3"/>
  <c r="K674" i="3"/>
  <c r="J675" i="3"/>
  <c r="K675" i="3"/>
  <c r="J676" i="3"/>
  <c r="K676" i="3"/>
  <c r="J677" i="3"/>
  <c r="K677" i="3"/>
  <c r="J678" i="3"/>
  <c r="K678" i="3"/>
  <c r="J679" i="3"/>
  <c r="K679" i="3"/>
  <c r="J680" i="3"/>
  <c r="K680" i="3"/>
  <c r="J681" i="3"/>
  <c r="K681" i="3"/>
  <c r="J682" i="3"/>
  <c r="K682" i="3"/>
  <c r="J683" i="3"/>
  <c r="K683" i="3"/>
  <c r="J684" i="3"/>
  <c r="K684" i="3"/>
  <c r="J685" i="3"/>
  <c r="K685" i="3"/>
  <c r="J686" i="3"/>
  <c r="K686" i="3"/>
  <c r="J687" i="3"/>
  <c r="K687" i="3"/>
  <c r="J688" i="3"/>
  <c r="K688" i="3"/>
  <c r="J689" i="3"/>
  <c r="K689" i="3"/>
  <c r="J690" i="3"/>
  <c r="K690" i="3"/>
  <c r="J691" i="3"/>
  <c r="K691" i="3"/>
  <c r="J692" i="3"/>
  <c r="K692" i="3"/>
  <c r="J693" i="3"/>
  <c r="K693" i="3"/>
  <c r="J694" i="3"/>
  <c r="K694" i="3"/>
  <c r="J695" i="3"/>
  <c r="K695" i="3"/>
  <c r="J696" i="3"/>
  <c r="K696" i="3"/>
  <c r="J697" i="3"/>
  <c r="K697" i="3"/>
  <c r="J698" i="3"/>
  <c r="K698" i="3"/>
  <c r="J699" i="3"/>
  <c r="K699" i="3"/>
  <c r="J700" i="3"/>
  <c r="K700" i="3"/>
  <c r="J701" i="3"/>
  <c r="K701" i="3"/>
  <c r="J702" i="3"/>
  <c r="K702" i="3"/>
  <c r="J703" i="3"/>
  <c r="K703" i="3"/>
  <c r="J704" i="3"/>
  <c r="K704" i="3"/>
  <c r="J705" i="3"/>
  <c r="K705" i="3"/>
  <c r="J706" i="3"/>
  <c r="K706" i="3"/>
  <c r="J707" i="3"/>
  <c r="K707" i="3"/>
  <c r="J708" i="3"/>
  <c r="K708" i="3"/>
  <c r="J709" i="3"/>
  <c r="K709" i="3"/>
  <c r="J710" i="3"/>
  <c r="K710" i="3"/>
  <c r="J711" i="3"/>
  <c r="K711" i="3"/>
  <c r="J712" i="3"/>
  <c r="K712" i="3"/>
  <c r="J713" i="3"/>
  <c r="K713" i="3"/>
  <c r="J714" i="3"/>
  <c r="K714" i="3"/>
  <c r="J715" i="3"/>
  <c r="K715" i="3"/>
  <c r="J716" i="3"/>
  <c r="K716" i="3"/>
  <c r="J717" i="3"/>
  <c r="K717" i="3"/>
  <c r="J718" i="3"/>
  <c r="K718" i="3"/>
  <c r="J719" i="3"/>
  <c r="K719" i="3"/>
  <c r="J720" i="3"/>
  <c r="K720" i="3"/>
  <c r="J721" i="3"/>
  <c r="K721" i="3"/>
  <c r="J722" i="3"/>
  <c r="K722" i="3"/>
  <c r="J723" i="3"/>
  <c r="K723" i="3"/>
  <c r="J724" i="3"/>
  <c r="K724" i="3"/>
  <c r="J725" i="3"/>
  <c r="K725" i="3"/>
  <c r="J726" i="3"/>
  <c r="K726" i="3"/>
  <c r="J727" i="3"/>
  <c r="K727" i="3"/>
  <c r="J728" i="3"/>
  <c r="K728" i="3"/>
  <c r="J729" i="3"/>
  <c r="K729" i="3"/>
  <c r="J730" i="3"/>
  <c r="K730" i="3"/>
  <c r="J731" i="3"/>
  <c r="K731" i="3"/>
  <c r="J732" i="3"/>
  <c r="K732" i="3"/>
  <c r="J733" i="3"/>
  <c r="K733" i="3"/>
  <c r="J734" i="3"/>
  <c r="K734" i="3"/>
  <c r="J735" i="3"/>
  <c r="K735" i="3"/>
  <c r="J736" i="3"/>
  <c r="K736" i="3"/>
  <c r="J737" i="3"/>
  <c r="K737" i="3"/>
  <c r="J738" i="3"/>
  <c r="K738" i="3"/>
  <c r="J739" i="3"/>
  <c r="K739" i="3"/>
  <c r="J740" i="3"/>
  <c r="K740" i="3"/>
  <c r="J741" i="3"/>
  <c r="K741" i="3"/>
  <c r="J742" i="3"/>
  <c r="K742" i="3"/>
  <c r="J743" i="3"/>
  <c r="K743" i="3"/>
  <c r="J744" i="3"/>
  <c r="K744" i="3"/>
  <c r="J745" i="3"/>
  <c r="K745" i="3"/>
  <c r="J746" i="3"/>
  <c r="K746" i="3"/>
  <c r="J747" i="3"/>
  <c r="K747" i="3"/>
  <c r="J748" i="3"/>
  <c r="K748" i="3"/>
  <c r="J749" i="3"/>
  <c r="K749" i="3"/>
  <c r="J750" i="3"/>
  <c r="K750" i="3"/>
  <c r="J751" i="3"/>
  <c r="K751" i="3"/>
  <c r="J752" i="3"/>
  <c r="K752" i="3"/>
  <c r="J753" i="3"/>
  <c r="K753" i="3"/>
  <c r="J754" i="3"/>
  <c r="K754" i="3"/>
  <c r="J755" i="3"/>
  <c r="K755" i="3"/>
  <c r="J756" i="3"/>
  <c r="K756" i="3"/>
  <c r="J757" i="3"/>
  <c r="K757" i="3"/>
  <c r="J758" i="3"/>
  <c r="K758" i="3"/>
  <c r="J759" i="3"/>
  <c r="K759" i="3"/>
  <c r="J760" i="3"/>
  <c r="K760" i="3"/>
  <c r="J761" i="3"/>
  <c r="K761" i="3"/>
  <c r="J762" i="3"/>
  <c r="K762" i="3"/>
  <c r="J763" i="3"/>
  <c r="K763" i="3"/>
  <c r="J764" i="3"/>
  <c r="K764" i="3"/>
  <c r="J765" i="3"/>
  <c r="K765" i="3"/>
  <c r="J766" i="3"/>
  <c r="K766" i="3"/>
  <c r="J767" i="3"/>
  <c r="K767" i="3"/>
  <c r="J768" i="3"/>
  <c r="K768" i="3"/>
  <c r="J769" i="3"/>
  <c r="K769" i="3"/>
  <c r="J770" i="3"/>
  <c r="K770" i="3"/>
  <c r="J771" i="3"/>
  <c r="K771" i="3"/>
  <c r="J772" i="3"/>
  <c r="K772" i="3"/>
  <c r="J773" i="3"/>
  <c r="K773" i="3"/>
  <c r="J774" i="3"/>
  <c r="K774" i="3"/>
  <c r="J775" i="3"/>
  <c r="K775" i="3"/>
  <c r="J776" i="3"/>
  <c r="K776" i="3"/>
  <c r="J777" i="3"/>
  <c r="K777" i="3"/>
  <c r="J778" i="3"/>
  <c r="K778" i="3"/>
  <c r="J779" i="3"/>
  <c r="K779" i="3"/>
  <c r="J780" i="3"/>
  <c r="K780" i="3"/>
  <c r="J781" i="3"/>
  <c r="K781" i="3"/>
  <c r="J782" i="3"/>
  <c r="K782" i="3"/>
  <c r="J783" i="3"/>
  <c r="K783" i="3"/>
  <c r="J784" i="3"/>
  <c r="K784" i="3"/>
  <c r="J785" i="3"/>
  <c r="K785" i="3"/>
  <c r="J786" i="3"/>
  <c r="K786" i="3"/>
  <c r="J787" i="3"/>
  <c r="K787" i="3"/>
  <c r="J788" i="3"/>
  <c r="K788" i="3"/>
  <c r="J789" i="3"/>
  <c r="K789" i="3"/>
  <c r="J790" i="3"/>
  <c r="K790" i="3"/>
  <c r="J791" i="3"/>
  <c r="K791" i="3"/>
  <c r="J792" i="3"/>
  <c r="K792" i="3"/>
  <c r="J793" i="3"/>
  <c r="K793" i="3"/>
  <c r="J794" i="3"/>
  <c r="K794" i="3"/>
  <c r="J795" i="3"/>
  <c r="K795" i="3"/>
  <c r="J796" i="3"/>
  <c r="K796" i="3"/>
  <c r="J797" i="3"/>
  <c r="K797" i="3"/>
  <c r="J798" i="3"/>
  <c r="K798" i="3"/>
  <c r="J799" i="3"/>
  <c r="K799" i="3"/>
  <c r="J800" i="3"/>
  <c r="K800" i="3"/>
  <c r="J801" i="3"/>
  <c r="K801" i="3"/>
  <c r="J802" i="3"/>
  <c r="K802" i="3"/>
  <c r="J803" i="3"/>
  <c r="K803" i="3"/>
  <c r="J804" i="3"/>
  <c r="K804" i="3"/>
  <c r="J805" i="3"/>
  <c r="K805" i="3"/>
  <c r="J806" i="3"/>
  <c r="K806" i="3"/>
  <c r="J807" i="3"/>
  <c r="K807" i="3"/>
  <c r="J808" i="3"/>
  <c r="K808" i="3"/>
  <c r="J809" i="3"/>
  <c r="K809" i="3"/>
  <c r="J810" i="3"/>
  <c r="K810" i="3"/>
  <c r="J811" i="3"/>
  <c r="K811" i="3"/>
  <c r="J812" i="3"/>
  <c r="K812" i="3"/>
  <c r="J813" i="3"/>
  <c r="K813" i="3"/>
  <c r="J814" i="3"/>
  <c r="K814" i="3"/>
  <c r="J815" i="3"/>
  <c r="K815" i="3"/>
  <c r="J816" i="3"/>
  <c r="K816" i="3"/>
  <c r="J817" i="3"/>
  <c r="K817" i="3"/>
  <c r="J818" i="3"/>
  <c r="K818" i="3"/>
  <c r="J819" i="3"/>
  <c r="K819" i="3"/>
  <c r="J820" i="3"/>
  <c r="K820" i="3"/>
  <c r="J821" i="3"/>
  <c r="K821" i="3"/>
  <c r="J822" i="3"/>
  <c r="K822" i="3"/>
  <c r="J823" i="3"/>
  <c r="K823" i="3"/>
  <c r="J824" i="3"/>
  <c r="K824" i="3"/>
  <c r="J825" i="3"/>
  <c r="K825" i="3"/>
  <c r="J826" i="3"/>
  <c r="K826" i="3"/>
  <c r="J827" i="3"/>
  <c r="K827" i="3"/>
  <c r="J828" i="3"/>
  <c r="K828" i="3"/>
  <c r="J829" i="3"/>
  <c r="K829" i="3"/>
  <c r="J830" i="3"/>
  <c r="K830" i="3"/>
  <c r="J831" i="3"/>
  <c r="K831" i="3"/>
  <c r="J832" i="3"/>
  <c r="K832" i="3"/>
  <c r="J833" i="3"/>
  <c r="K833" i="3"/>
  <c r="J834" i="3"/>
  <c r="K834" i="3"/>
  <c r="J835" i="3"/>
  <c r="K835" i="3"/>
  <c r="J836" i="3"/>
  <c r="K836" i="3"/>
  <c r="J837" i="3"/>
  <c r="K837" i="3"/>
  <c r="J838" i="3"/>
  <c r="K838" i="3"/>
  <c r="J839" i="3"/>
  <c r="K839" i="3"/>
  <c r="J840" i="3"/>
  <c r="K840" i="3"/>
  <c r="J841" i="3"/>
  <c r="K841" i="3"/>
  <c r="J842" i="3"/>
  <c r="K842" i="3"/>
  <c r="J843" i="3"/>
  <c r="K843" i="3"/>
  <c r="J844" i="3"/>
  <c r="K844" i="3"/>
  <c r="J845" i="3"/>
  <c r="K845" i="3"/>
  <c r="J846" i="3"/>
  <c r="K846" i="3"/>
  <c r="J847" i="3"/>
  <c r="K847" i="3"/>
  <c r="J848" i="3"/>
  <c r="K848" i="3"/>
  <c r="J849" i="3"/>
  <c r="K849" i="3"/>
  <c r="J850" i="3"/>
  <c r="K850" i="3"/>
  <c r="J851" i="3"/>
  <c r="K851" i="3"/>
  <c r="J852" i="3"/>
  <c r="K852" i="3"/>
  <c r="J853" i="3"/>
  <c r="K853" i="3"/>
  <c r="J854" i="3"/>
  <c r="K854" i="3"/>
  <c r="J855" i="3"/>
  <c r="K855" i="3"/>
  <c r="J856" i="3"/>
  <c r="K856" i="3"/>
  <c r="J857" i="3"/>
  <c r="K857" i="3"/>
  <c r="J858" i="3"/>
  <c r="K858" i="3"/>
  <c r="J859" i="3"/>
  <c r="K859" i="3"/>
  <c r="J860" i="3"/>
  <c r="K860" i="3"/>
  <c r="J861" i="3"/>
  <c r="K861" i="3"/>
  <c r="J862" i="3"/>
  <c r="K862" i="3"/>
  <c r="J863" i="3"/>
  <c r="K863" i="3"/>
  <c r="J864" i="3"/>
  <c r="K864" i="3"/>
  <c r="J865" i="3"/>
  <c r="K865" i="3"/>
  <c r="J866" i="3"/>
  <c r="K866" i="3"/>
  <c r="J867" i="3"/>
  <c r="K867" i="3"/>
  <c r="J868" i="3"/>
  <c r="K868" i="3"/>
  <c r="J869" i="3"/>
  <c r="K869" i="3"/>
  <c r="J870" i="3"/>
  <c r="K870" i="3"/>
  <c r="J871" i="3"/>
  <c r="K871" i="3"/>
  <c r="J872" i="3"/>
  <c r="K872" i="3"/>
  <c r="J873" i="3"/>
  <c r="K873" i="3"/>
  <c r="J874" i="3"/>
  <c r="K874" i="3"/>
  <c r="J875" i="3"/>
  <c r="K875" i="3"/>
  <c r="J876" i="3"/>
  <c r="K876" i="3"/>
  <c r="J877" i="3"/>
  <c r="K877" i="3"/>
  <c r="J878" i="3"/>
  <c r="K878" i="3"/>
  <c r="J879" i="3"/>
  <c r="K879" i="3"/>
  <c r="J880" i="3"/>
  <c r="K880" i="3"/>
  <c r="J881" i="3"/>
  <c r="K881" i="3"/>
  <c r="J882" i="3"/>
  <c r="K882" i="3"/>
  <c r="J883" i="3"/>
  <c r="K883" i="3"/>
  <c r="J884" i="3"/>
  <c r="K884" i="3"/>
  <c r="J885" i="3"/>
  <c r="K885" i="3"/>
  <c r="J886" i="3"/>
  <c r="K886" i="3"/>
  <c r="J887" i="3"/>
  <c r="K887" i="3"/>
  <c r="J888" i="3"/>
  <c r="K888" i="3"/>
  <c r="J889" i="3"/>
  <c r="K889" i="3"/>
  <c r="J890" i="3"/>
  <c r="K890" i="3"/>
  <c r="J891" i="3"/>
  <c r="K891" i="3"/>
  <c r="J892" i="3"/>
  <c r="K892" i="3"/>
  <c r="J893" i="3"/>
  <c r="K893" i="3"/>
  <c r="J894" i="3"/>
  <c r="K894" i="3"/>
  <c r="J895" i="3"/>
  <c r="K895" i="3"/>
  <c r="J896" i="3"/>
  <c r="K896" i="3"/>
  <c r="J897" i="3"/>
  <c r="K897" i="3"/>
  <c r="J898" i="3"/>
  <c r="K898" i="3"/>
  <c r="J899" i="3"/>
  <c r="K899" i="3"/>
  <c r="J900" i="3"/>
  <c r="K900" i="3"/>
  <c r="J901" i="3"/>
  <c r="K901" i="3"/>
  <c r="J902" i="3"/>
  <c r="K902" i="3"/>
  <c r="J903" i="3"/>
  <c r="K903" i="3"/>
  <c r="J904" i="3"/>
  <c r="K904" i="3"/>
  <c r="J905" i="3"/>
  <c r="K905" i="3"/>
  <c r="J906" i="3"/>
  <c r="K906" i="3"/>
  <c r="J907" i="3"/>
  <c r="K907" i="3"/>
  <c r="J908" i="3"/>
  <c r="K908" i="3"/>
  <c r="J909" i="3"/>
  <c r="K909" i="3"/>
  <c r="J910" i="3"/>
  <c r="K910" i="3"/>
  <c r="J911" i="3"/>
  <c r="K911" i="3"/>
  <c r="J912" i="3"/>
  <c r="K912" i="3"/>
  <c r="J913" i="3"/>
  <c r="K913" i="3"/>
  <c r="J914" i="3"/>
  <c r="K914" i="3"/>
  <c r="J915" i="3"/>
  <c r="K915" i="3"/>
  <c r="J916" i="3"/>
  <c r="K916" i="3"/>
  <c r="J917" i="3"/>
  <c r="K917" i="3"/>
  <c r="J918" i="3"/>
  <c r="K918" i="3"/>
  <c r="J919" i="3"/>
  <c r="K919" i="3"/>
  <c r="J920" i="3"/>
  <c r="K920" i="3"/>
  <c r="J921" i="3"/>
  <c r="K921" i="3"/>
  <c r="J922" i="3"/>
  <c r="K922" i="3"/>
  <c r="J923" i="3"/>
  <c r="K923" i="3"/>
  <c r="J924" i="3"/>
  <c r="K924" i="3"/>
  <c r="J925" i="3"/>
  <c r="K925" i="3"/>
  <c r="J926" i="3"/>
  <c r="K926" i="3"/>
  <c r="J927" i="3"/>
  <c r="K927" i="3"/>
  <c r="J928" i="3"/>
  <c r="K928" i="3"/>
  <c r="J929" i="3"/>
  <c r="K929" i="3"/>
  <c r="J930" i="3"/>
  <c r="K930" i="3"/>
  <c r="J931" i="3"/>
  <c r="K931" i="3"/>
  <c r="J932" i="3"/>
  <c r="K932" i="3"/>
  <c r="J933" i="3"/>
  <c r="K933" i="3"/>
  <c r="J934" i="3"/>
  <c r="K934" i="3"/>
  <c r="J935" i="3"/>
  <c r="K935" i="3"/>
  <c r="J936" i="3"/>
  <c r="K936" i="3"/>
  <c r="J937" i="3"/>
  <c r="K937" i="3"/>
  <c r="J938" i="3"/>
  <c r="K938" i="3"/>
  <c r="J939" i="3"/>
  <c r="K939" i="3"/>
  <c r="J940" i="3"/>
  <c r="K940" i="3"/>
  <c r="J941" i="3"/>
  <c r="K941" i="3"/>
  <c r="J942" i="3"/>
  <c r="K942" i="3"/>
  <c r="J943" i="3"/>
  <c r="K943" i="3"/>
  <c r="J944" i="3"/>
  <c r="K944" i="3"/>
  <c r="J945" i="3"/>
  <c r="K945" i="3"/>
  <c r="J946" i="3"/>
  <c r="K946" i="3"/>
  <c r="J947" i="3"/>
  <c r="K947" i="3"/>
  <c r="J948" i="3"/>
  <c r="K948" i="3"/>
  <c r="J949" i="3"/>
  <c r="K949" i="3"/>
  <c r="J950" i="3"/>
  <c r="K950" i="3"/>
  <c r="J951" i="3"/>
  <c r="K951" i="3"/>
  <c r="J952" i="3"/>
  <c r="K952" i="3"/>
  <c r="J953" i="3"/>
  <c r="K953" i="3"/>
  <c r="J954" i="3"/>
  <c r="K954" i="3"/>
  <c r="J955" i="3"/>
  <c r="K955" i="3"/>
  <c r="J956" i="3"/>
  <c r="K956" i="3"/>
  <c r="J957" i="3"/>
  <c r="K957" i="3"/>
  <c r="J958" i="3"/>
  <c r="K958" i="3"/>
  <c r="J959" i="3"/>
  <c r="K959" i="3"/>
  <c r="J960" i="3"/>
  <c r="K960" i="3"/>
  <c r="J961" i="3"/>
  <c r="K961" i="3"/>
  <c r="J962" i="3"/>
  <c r="K962" i="3"/>
  <c r="J963" i="3"/>
  <c r="K963" i="3"/>
  <c r="J964" i="3"/>
  <c r="K964" i="3"/>
  <c r="J965" i="3"/>
  <c r="K965" i="3"/>
  <c r="J966" i="3"/>
  <c r="K966" i="3"/>
  <c r="J967" i="3"/>
  <c r="K967" i="3"/>
  <c r="J968" i="3"/>
  <c r="K968" i="3"/>
  <c r="J969" i="3"/>
  <c r="K969" i="3"/>
  <c r="J970" i="3"/>
  <c r="K970" i="3"/>
  <c r="J971" i="3"/>
  <c r="K971" i="3"/>
  <c r="J972" i="3"/>
  <c r="K972" i="3"/>
  <c r="J973" i="3"/>
  <c r="K973" i="3"/>
  <c r="J974" i="3"/>
  <c r="K974" i="3"/>
  <c r="J975" i="3"/>
  <c r="K975" i="3"/>
  <c r="J976" i="3"/>
  <c r="K976" i="3"/>
  <c r="J977" i="3"/>
  <c r="K977" i="3"/>
  <c r="J978" i="3"/>
  <c r="K978" i="3"/>
  <c r="J979" i="3"/>
  <c r="K979" i="3"/>
  <c r="J980" i="3"/>
  <c r="K980" i="3"/>
  <c r="J981" i="3"/>
  <c r="K981" i="3"/>
  <c r="J982" i="3"/>
  <c r="K982" i="3"/>
  <c r="J983" i="3"/>
  <c r="K983" i="3"/>
  <c r="J984" i="3"/>
  <c r="K984" i="3"/>
  <c r="J985" i="3"/>
  <c r="K985" i="3"/>
  <c r="J986" i="3"/>
  <c r="K986" i="3"/>
  <c r="J987" i="3"/>
  <c r="K987" i="3"/>
  <c r="J988" i="3"/>
  <c r="K988" i="3"/>
  <c r="J989" i="3"/>
  <c r="K989" i="3"/>
  <c r="J990" i="3"/>
  <c r="K990" i="3"/>
  <c r="J991" i="3"/>
  <c r="K991" i="3"/>
  <c r="J992" i="3"/>
  <c r="K992" i="3"/>
  <c r="J993" i="3"/>
  <c r="K993" i="3"/>
  <c r="J994" i="3"/>
  <c r="K994" i="3"/>
  <c r="J995" i="3"/>
  <c r="K995" i="3"/>
  <c r="J996" i="3"/>
  <c r="K996" i="3"/>
  <c r="J997" i="3"/>
  <c r="K997" i="3"/>
  <c r="J998" i="3"/>
  <c r="K998" i="3"/>
  <c r="J999" i="3"/>
  <c r="K999" i="3"/>
  <c r="J1000" i="3"/>
  <c r="K1000" i="3"/>
  <c r="J1001" i="3"/>
  <c r="K1001" i="3"/>
  <c r="J1002" i="3"/>
  <c r="K1002" i="3"/>
  <c r="J1003" i="3"/>
  <c r="K1003" i="3"/>
  <c r="J1004" i="3"/>
  <c r="K1004" i="3"/>
  <c r="J1005" i="3"/>
  <c r="K1005" i="3"/>
  <c r="J1006" i="3"/>
  <c r="K1006" i="3"/>
  <c r="J1007" i="3"/>
  <c r="K1007" i="3"/>
  <c r="J1008" i="3"/>
  <c r="K1008" i="3"/>
  <c r="J1009" i="3"/>
  <c r="K1009" i="3"/>
  <c r="J1010" i="3"/>
  <c r="K1010" i="3"/>
  <c r="J1011" i="3"/>
  <c r="K1011" i="3"/>
  <c r="J1012" i="3"/>
  <c r="K1012" i="3"/>
  <c r="J1013" i="3"/>
  <c r="K1013" i="3"/>
  <c r="J1014" i="3"/>
  <c r="K1014" i="3"/>
  <c r="J1015" i="3"/>
  <c r="K1015" i="3"/>
  <c r="J1016" i="3"/>
  <c r="K1016" i="3"/>
  <c r="J1017" i="3"/>
  <c r="K1017" i="3"/>
  <c r="J1018" i="3"/>
  <c r="K1018" i="3"/>
  <c r="J1019" i="3"/>
  <c r="K1019" i="3"/>
  <c r="J1020" i="3"/>
  <c r="K1020" i="3"/>
  <c r="J1021" i="3"/>
  <c r="K1021" i="3"/>
  <c r="J1022" i="3"/>
  <c r="K1022" i="3"/>
  <c r="J1023" i="3"/>
  <c r="K1023" i="3"/>
  <c r="J1024" i="3"/>
  <c r="K1024" i="3"/>
  <c r="J1025" i="3"/>
  <c r="K1025" i="3"/>
  <c r="J1026" i="3"/>
  <c r="K1026" i="3"/>
  <c r="J1027" i="3"/>
  <c r="K1027" i="3"/>
  <c r="J1028" i="3"/>
  <c r="K1028" i="3"/>
  <c r="J1029" i="3"/>
  <c r="K1029" i="3"/>
  <c r="J1030" i="3"/>
  <c r="K1030" i="3"/>
  <c r="J1031" i="3"/>
  <c r="K1031" i="3"/>
  <c r="J1032" i="3"/>
  <c r="K1032" i="3"/>
  <c r="J1033" i="3"/>
  <c r="K1033" i="3"/>
  <c r="J1034" i="3"/>
  <c r="K1034" i="3"/>
  <c r="J1035" i="3"/>
  <c r="K1035" i="3"/>
  <c r="J1036" i="3"/>
  <c r="K1036" i="3"/>
  <c r="J1037" i="3"/>
  <c r="K1037" i="3"/>
  <c r="J1038" i="3"/>
  <c r="K1038" i="3"/>
  <c r="J1039" i="3"/>
  <c r="K1039" i="3"/>
  <c r="J1040" i="3"/>
  <c r="K1040" i="3"/>
  <c r="J1041" i="3"/>
  <c r="K1041" i="3"/>
  <c r="J1042" i="3"/>
  <c r="K1042" i="3"/>
  <c r="J1043" i="3"/>
  <c r="K1043" i="3"/>
  <c r="J1044" i="3"/>
  <c r="K1044" i="3"/>
  <c r="J1045" i="3"/>
  <c r="K1045" i="3"/>
  <c r="J1046" i="3"/>
  <c r="K1046" i="3"/>
  <c r="J1047" i="3"/>
  <c r="K1047" i="3"/>
  <c r="J1048" i="3"/>
  <c r="K1048" i="3"/>
  <c r="J1049" i="3"/>
  <c r="K1049" i="3"/>
  <c r="J1050" i="3"/>
  <c r="K1050" i="3"/>
  <c r="J1051" i="3"/>
  <c r="K1051" i="3"/>
  <c r="J1052" i="3"/>
  <c r="K1052" i="3"/>
  <c r="J1053" i="3"/>
  <c r="K1053" i="3"/>
  <c r="J1054" i="3"/>
  <c r="K1054" i="3"/>
  <c r="J1055" i="3"/>
  <c r="K1055" i="3"/>
  <c r="J1056" i="3"/>
  <c r="K1056" i="3"/>
  <c r="J1057" i="3"/>
  <c r="K1057" i="3"/>
  <c r="J1058" i="3"/>
  <c r="K1058" i="3"/>
  <c r="J1059" i="3"/>
  <c r="K1059" i="3"/>
  <c r="J1060" i="3"/>
  <c r="K1060" i="3"/>
  <c r="J1061" i="3"/>
  <c r="K1061" i="3"/>
  <c r="J1062" i="3"/>
  <c r="K1062" i="3"/>
  <c r="J1063" i="3"/>
  <c r="K1063" i="3"/>
  <c r="J1064" i="3"/>
  <c r="K1064" i="3"/>
  <c r="J1065" i="3"/>
  <c r="K1065" i="3"/>
  <c r="J1066" i="3"/>
  <c r="K1066" i="3"/>
  <c r="J1067" i="3"/>
  <c r="K1067" i="3"/>
  <c r="J1068" i="3"/>
  <c r="K1068" i="3"/>
  <c r="J1069" i="3"/>
  <c r="K1069" i="3"/>
  <c r="J1070" i="3"/>
  <c r="K1070" i="3"/>
  <c r="J1071" i="3"/>
  <c r="K1071" i="3"/>
  <c r="J1072" i="3"/>
  <c r="K1072" i="3"/>
  <c r="J1073" i="3"/>
  <c r="K1073" i="3"/>
  <c r="J1074" i="3"/>
  <c r="K1074" i="3"/>
  <c r="J1075" i="3"/>
  <c r="K1075" i="3"/>
  <c r="J1076" i="3"/>
  <c r="K1076" i="3"/>
  <c r="J1077" i="3"/>
  <c r="K1077" i="3"/>
  <c r="J1078" i="3"/>
  <c r="K1078" i="3"/>
  <c r="J1079" i="3"/>
  <c r="K1079" i="3"/>
  <c r="J1080" i="3"/>
  <c r="K1080" i="3"/>
  <c r="J1081" i="3"/>
  <c r="K1081" i="3"/>
  <c r="J1082" i="3"/>
  <c r="K1082" i="3"/>
  <c r="J1083" i="3"/>
  <c r="K1083" i="3"/>
  <c r="J1084" i="3"/>
  <c r="K1084" i="3"/>
  <c r="J1085" i="3"/>
  <c r="K1085" i="3"/>
  <c r="J1086" i="3"/>
  <c r="K1086" i="3"/>
  <c r="J1087" i="3"/>
  <c r="K1087" i="3"/>
  <c r="J1088" i="3"/>
  <c r="K1088" i="3"/>
  <c r="J1089" i="3"/>
  <c r="K1089" i="3"/>
  <c r="J1090" i="3"/>
  <c r="K1090" i="3"/>
  <c r="J1091" i="3"/>
  <c r="K1091" i="3"/>
  <c r="J1092" i="3"/>
  <c r="K1092" i="3"/>
  <c r="J1093" i="3"/>
  <c r="K1093" i="3"/>
  <c r="J1094" i="3"/>
  <c r="K1094" i="3"/>
  <c r="J1095" i="3"/>
  <c r="K1095" i="3"/>
  <c r="J1096" i="3"/>
  <c r="K1096" i="3"/>
  <c r="J1097" i="3"/>
  <c r="K1097" i="3"/>
  <c r="J1098" i="3"/>
  <c r="K1098" i="3"/>
  <c r="J1099" i="3"/>
  <c r="K1099" i="3"/>
  <c r="J1100" i="3"/>
  <c r="K1100" i="3"/>
  <c r="J1101" i="3"/>
  <c r="K1101" i="3"/>
  <c r="J1102" i="3"/>
  <c r="K1102" i="3"/>
  <c r="J1103" i="3"/>
  <c r="K1103" i="3"/>
  <c r="J1104" i="3"/>
  <c r="K1104" i="3"/>
  <c r="J1105" i="3"/>
  <c r="K1105" i="3"/>
  <c r="J1106" i="3"/>
  <c r="K1106" i="3"/>
  <c r="J1107" i="3"/>
  <c r="K1107" i="3"/>
  <c r="J1108" i="3"/>
  <c r="K1108" i="3"/>
  <c r="J1109" i="3"/>
  <c r="K1109" i="3"/>
  <c r="J1110" i="3"/>
  <c r="K1110" i="3"/>
  <c r="J1111" i="3"/>
  <c r="K1111" i="3"/>
  <c r="J1112" i="3"/>
  <c r="K1112" i="3"/>
  <c r="J1113" i="3"/>
  <c r="K1113" i="3"/>
  <c r="J1114" i="3"/>
  <c r="K1114" i="3"/>
  <c r="J1115" i="3"/>
  <c r="K1115" i="3"/>
  <c r="J1116" i="3"/>
  <c r="K1116" i="3"/>
  <c r="J1117" i="3"/>
  <c r="K1117" i="3"/>
  <c r="J1118" i="3"/>
  <c r="K1118" i="3"/>
  <c r="J1119" i="3"/>
  <c r="K1119" i="3"/>
  <c r="J1120" i="3"/>
  <c r="K1120" i="3"/>
  <c r="J1121" i="3"/>
  <c r="K1121" i="3"/>
  <c r="J1122" i="3"/>
  <c r="K1122" i="3"/>
  <c r="J1123" i="3"/>
  <c r="K1123" i="3"/>
  <c r="J1124" i="3"/>
  <c r="K1124" i="3"/>
  <c r="J1125" i="3"/>
  <c r="K1125" i="3"/>
  <c r="J1126" i="3"/>
  <c r="K1126" i="3"/>
  <c r="J1127" i="3"/>
  <c r="K1127" i="3"/>
  <c r="J1128" i="3"/>
  <c r="K1128" i="3"/>
  <c r="J1129" i="3"/>
  <c r="K1129" i="3"/>
  <c r="J1130" i="3"/>
  <c r="K1130" i="3"/>
  <c r="J1131" i="3"/>
  <c r="K1131" i="3"/>
  <c r="J1132" i="3"/>
  <c r="K1132" i="3"/>
  <c r="J1133" i="3"/>
  <c r="K1133" i="3"/>
  <c r="J1134" i="3"/>
  <c r="K1134" i="3"/>
  <c r="J1135" i="3"/>
  <c r="K1135" i="3"/>
  <c r="J1136" i="3"/>
  <c r="K1136" i="3"/>
  <c r="J1137" i="3"/>
  <c r="K1137" i="3"/>
  <c r="J1138" i="3"/>
  <c r="K1138" i="3"/>
  <c r="J1139" i="3"/>
  <c r="K1139" i="3"/>
  <c r="J1140" i="3"/>
  <c r="K1140" i="3"/>
  <c r="J1141" i="3"/>
  <c r="K1141" i="3"/>
  <c r="J1142" i="3"/>
  <c r="K1142" i="3"/>
  <c r="J1143" i="3"/>
  <c r="K1143" i="3"/>
  <c r="J1144" i="3"/>
  <c r="K1144" i="3"/>
  <c r="J1145" i="3"/>
  <c r="K1145" i="3"/>
  <c r="J1146" i="3"/>
  <c r="K1146" i="3"/>
  <c r="J1147" i="3"/>
  <c r="K1147" i="3"/>
  <c r="J1148" i="3"/>
  <c r="K1148" i="3"/>
  <c r="J1149" i="3"/>
  <c r="K1149" i="3"/>
  <c r="J1150" i="3"/>
  <c r="K1150" i="3"/>
  <c r="J1151" i="3"/>
  <c r="K1151" i="3"/>
  <c r="J1152" i="3"/>
  <c r="K1152" i="3"/>
  <c r="J1153" i="3"/>
  <c r="K1153" i="3"/>
  <c r="J1154" i="3"/>
  <c r="K1154" i="3"/>
  <c r="J1155" i="3"/>
  <c r="K1155" i="3"/>
  <c r="J1156" i="3"/>
  <c r="K1156" i="3"/>
  <c r="J1157" i="3"/>
  <c r="K1157" i="3"/>
  <c r="J1158" i="3"/>
  <c r="K1158" i="3"/>
  <c r="J1159" i="3"/>
  <c r="K1159" i="3"/>
  <c r="J1160" i="3"/>
  <c r="K1160" i="3"/>
  <c r="J1161" i="3"/>
  <c r="K1161" i="3"/>
  <c r="J1162" i="3"/>
  <c r="K1162" i="3"/>
  <c r="J1163" i="3"/>
  <c r="K1163" i="3"/>
  <c r="J1164" i="3"/>
  <c r="K1164" i="3"/>
  <c r="J1165" i="3"/>
  <c r="K1165" i="3"/>
  <c r="J1166" i="3"/>
  <c r="K1166" i="3"/>
  <c r="J1167" i="3"/>
  <c r="K1167" i="3"/>
  <c r="J1168" i="3"/>
  <c r="K1168" i="3"/>
  <c r="J1169" i="3"/>
  <c r="K1169" i="3"/>
  <c r="J1170" i="3"/>
  <c r="K1170" i="3"/>
  <c r="J1171" i="3"/>
  <c r="K1171" i="3"/>
  <c r="J1172" i="3"/>
  <c r="K1172" i="3"/>
  <c r="J1173" i="3"/>
  <c r="K1173" i="3"/>
  <c r="J1174" i="3"/>
  <c r="K1174" i="3"/>
  <c r="J1175" i="3"/>
  <c r="K1175" i="3"/>
  <c r="J1176" i="3"/>
  <c r="K1176" i="3"/>
  <c r="J1177" i="3"/>
  <c r="K1177" i="3"/>
  <c r="J1178" i="3"/>
  <c r="K1178" i="3"/>
  <c r="J1179" i="3"/>
  <c r="K1179" i="3"/>
  <c r="J1180" i="3"/>
  <c r="K1180" i="3"/>
  <c r="J1181" i="3"/>
  <c r="K1181" i="3"/>
  <c r="J1182" i="3"/>
  <c r="K1182" i="3"/>
  <c r="J1183" i="3"/>
  <c r="K1183" i="3"/>
  <c r="J1184" i="3"/>
  <c r="K1184" i="3"/>
  <c r="J1185" i="3"/>
  <c r="K1185" i="3"/>
  <c r="J1186" i="3"/>
  <c r="K1186" i="3"/>
  <c r="J1187" i="3"/>
  <c r="K1187" i="3"/>
  <c r="J1188" i="3"/>
  <c r="K1188" i="3"/>
  <c r="J1189" i="3"/>
  <c r="K1189" i="3"/>
  <c r="J1190" i="3"/>
  <c r="K1190" i="3"/>
  <c r="J1191" i="3"/>
  <c r="K1191" i="3"/>
  <c r="J1192" i="3"/>
  <c r="K1192" i="3"/>
  <c r="J1193" i="3"/>
  <c r="K1193" i="3"/>
  <c r="J1194" i="3"/>
  <c r="K1194" i="3"/>
  <c r="J1195" i="3"/>
  <c r="K1195" i="3"/>
  <c r="J1196" i="3"/>
  <c r="K1196" i="3"/>
  <c r="J1197" i="3"/>
  <c r="K1197" i="3"/>
  <c r="J1198" i="3"/>
  <c r="K1198" i="3"/>
  <c r="J1199" i="3"/>
  <c r="K1199" i="3"/>
  <c r="J1200" i="3"/>
  <c r="K1200" i="3"/>
  <c r="J1201" i="3"/>
  <c r="K1201" i="3"/>
  <c r="J1202" i="3"/>
  <c r="K1202" i="3"/>
  <c r="J1203" i="3"/>
  <c r="K1203" i="3"/>
  <c r="J1204" i="3"/>
  <c r="K1204" i="3"/>
  <c r="J1205" i="3"/>
  <c r="K1205" i="3"/>
  <c r="J1206" i="3"/>
  <c r="K1206" i="3"/>
  <c r="J1207" i="3"/>
  <c r="K1207" i="3"/>
  <c r="J1208" i="3"/>
  <c r="K1208" i="3"/>
  <c r="J1209" i="3"/>
  <c r="K1209" i="3"/>
  <c r="J1210" i="3"/>
  <c r="K1210" i="3"/>
  <c r="J1211" i="3"/>
  <c r="K1211" i="3"/>
  <c r="J1212" i="3"/>
  <c r="K1212" i="3"/>
  <c r="J1213" i="3"/>
  <c r="K1213" i="3"/>
  <c r="J1214" i="3"/>
  <c r="K1214" i="3"/>
  <c r="J1215" i="3"/>
  <c r="K1215" i="3"/>
  <c r="J1216" i="3"/>
  <c r="K1216" i="3"/>
  <c r="J1217" i="3"/>
  <c r="K1217" i="3"/>
  <c r="J1218" i="3"/>
  <c r="K1218" i="3"/>
  <c r="J1219" i="3"/>
  <c r="K1219" i="3"/>
  <c r="J1220" i="3"/>
  <c r="K1220" i="3"/>
  <c r="J1221" i="3"/>
  <c r="K1221" i="3"/>
  <c r="J1222" i="3"/>
  <c r="K1222" i="3"/>
  <c r="J1223" i="3"/>
  <c r="K1223" i="3"/>
  <c r="J1224" i="3"/>
  <c r="K1224" i="3"/>
  <c r="J1225" i="3"/>
  <c r="K1225" i="3"/>
  <c r="J1226" i="3"/>
  <c r="K1226" i="3"/>
  <c r="J1227" i="3"/>
  <c r="K1227" i="3"/>
  <c r="J1228" i="3"/>
  <c r="K1228" i="3"/>
  <c r="J1229" i="3"/>
  <c r="K1229" i="3"/>
  <c r="J1230" i="3"/>
  <c r="K1230" i="3"/>
  <c r="J1231" i="3"/>
  <c r="K1231" i="3"/>
  <c r="J1232" i="3"/>
  <c r="K1232" i="3"/>
  <c r="J1233" i="3"/>
  <c r="K1233" i="3"/>
  <c r="J1234" i="3"/>
  <c r="K1234" i="3"/>
  <c r="J1235" i="3"/>
  <c r="K1235" i="3"/>
  <c r="J1236" i="3"/>
  <c r="K1236" i="3"/>
  <c r="J1237" i="3"/>
  <c r="K1237" i="3"/>
  <c r="J1238" i="3"/>
  <c r="K1238" i="3"/>
  <c r="J1239" i="3"/>
  <c r="K1239" i="3"/>
  <c r="J1240" i="3"/>
  <c r="K1240" i="3"/>
  <c r="J1241" i="3"/>
  <c r="K1241" i="3"/>
  <c r="J1242" i="3"/>
  <c r="K1242" i="3"/>
  <c r="J1243" i="3"/>
  <c r="K1243" i="3"/>
  <c r="J1244" i="3"/>
  <c r="K1244" i="3"/>
  <c r="J1245" i="3"/>
  <c r="K1245" i="3"/>
  <c r="J1246" i="3"/>
  <c r="K1246" i="3"/>
  <c r="J1247" i="3"/>
  <c r="K1247" i="3"/>
  <c r="J1248" i="3"/>
  <c r="K1248" i="3"/>
  <c r="J1249" i="3"/>
  <c r="K1249" i="3"/>
  <c r="J1250" i="3"/>
  <c r="K1250" i="3"/>
  <c r="J1251" i="3"/>
  <c r="K1251" i="3"/>
  <c r="J1252" i="3"/>
  <c r="K1252" i="3"/>
  <c r="J1253" i="3"/>
  <c r="K1253" i="3"/>
  <c r="J1254" i="3"/>
  <c r="K1254" i="3"/>
  <c r="J1255" i="3"/>
  <c r="K1255" i="3"/>
  <c r="J1256" i="3"/>
  <c r="K1256" i="3"/>
  <c r="J1257" i="3"/>
  <c r="K1257" i="3"/>
  <c r="J1258" i="3"/>
  <c r="K1258" i="3"/>
  <c r="J1259" i="3"/>
  <c r="K1259" i="3"/>
  <c r="J1260" i="3"/>
  <c r="K1260" i="3"/>
  <c r="J1261" i="3"/>
  <c r="K1261" i="3"/>
  <c r="J1262" i="3"/>
  <c r="K1262" i="3"/>
  <c r="J1263" i="3"/>
  <c r="K1263" i="3"/>
  <c r="J1264" i="3"/>
  <c r="K1264" i="3"/>
  <c r="J1265" i="3"/>
  <c r="K1265" i="3"/>
  <c r="J1266" i="3"/>
  <c r="K1266" i="3"/>
  <c r="J1267" i="3"/>
  <c r="K1267" i="3"/>
  <c r="J1268" i="3"/>
  <c r="K1268" i="3"/>
  <c r="J1269" i="3"/>
  <c r="K1269" i="3"/>
  <c r="J1270" i="3"/>
  <c r="K1270" i="3"/>
  <c r="J1271" i="3"/>
  <c r="K1271" i="3"/>
  <c r="J1272" i="3"/>
  <c r="K1272" i="3"/>
  <c r="J1273" i="3"/>
  <c r="K1273" i="3"/>
  <c r="J1274" i="3"/>
  <c r="K1274" i="3"/>
  <c r="J1275" i="3"/>
  <c r="K1275" i="3"/>
  <c r="J1276" i="3"/>
  <c r="K1276" i="3"/>
  <c r="J1277" i="3"/>
  <c r="K1277" i="3"/>
  <c r="J1278" i="3"/>
  <c r="K1278" i="3"/>
  <c r="J1279" i="3"/>
  <c r="K1279" i="3"/>
  <c r="J1280" i="3"/>
  <c r="K1280" i="3"/>
  <c r="J1281" i="3"/>
  <c r="K1281" i="3"/>
  <c r="J1282" i="3"/>
  <c r="K1282" i="3"/>
  <c r="J1283" i="3"/>
  <c r="K1283" i="3"/>
  <c r="J1284" i="3"/>
  <c r="K1284" i="3"/>
  <c r="J1285" i="3"/>
  <c r="K1285" i="3"/>
  <c r="J1286" i="3"/>
  <c r="K1286" i="3"/>
  <c r="J1287" i="3"/>
  <c r="K1287" i="3"/>
  <c r="J1288" i="3"/>
  <c r="K1288" i="3"/>
  <c r="J1289" i="3"/>
  <c r="K1289" i="3"/>
  <c r="J1290" i="3"/>
  <c r="K1290" i="3"/>
  <c r="J1291" i="3"/>
  <c r="K1291" i="3"/>
  <c r="J1292" i="3"/>
  <c r="K1292" i="3"/>
  <c r="J1293" i="3"/>
  <c r="K1293" i="3"/>
  <c r="J1294" i="3"/>
  <c r="K1294" i="3"/>
  <c r="J1295" i="3"/>
  <c r="K1295" i="3"/>
  <c r="J1296" i="3"/>
  <c r="K1296" i="3"/>
  <c r="J1297" i="3"/>
  <c r="K1297" i="3"/>
  <c r="J1298" i="3"/>
  <c r="K1298" i="3"/>
  <c r="J1299" i="3"/>
  <c r="K1299" i="3"/>
  <c r="J1300" i="3"/>
  <c r="K1300" i="3"/>
  <c r="J1301" i="3"/>
  <c r="K1301" i="3"/>
  <c r="J1302" i="3"/>
  <c r="K1302" i="3"/>
  <c r="J1303" i="3"/>
  <c r="K1303" i="3"/>
  <c r="J1304" i="3"/>
  <c r="K1304" i="3"/>
  <c r="J1305" i="3"/>
  <c r="K1305" i="3"/>
  <c r="J1306" i="3"/>
  <c r="K1306" i="3"/>
  <c r="J1307" i="3"/>
  <c r="K1307" i="3"/>
  <c r="J1308" i="3"/>
  <c r="K1308" i="3"/>
  <c r="J1309" i="3"/>
  <c r="K1309" i="3"/>
  <c r="J1310" i="3"/>
  <c r="K1310" i="3"/>
  <c r="J1311" i="3"/>
  <c r="K1311" i="3"/>
  <c r="J1312" i="3"/>
  <c r="K1312" i="3"/>
  <c r="J1313" i="3"/>
  <c r="K1313" i="3"/>
  <c r="J1314" i="3"/>
  <c r="K1314" i="3"/>
  <c r="J1315" i="3"/>
  <c r="K1315" i="3"/>
  <c r="J1316" i="3"/>
  <c r="K1316" i="3"/>
  <c r="J1317" i="3"/>
  <c r="K1317" i="3"/>
  <c r="J1318" i="3"/>
  <c r="K1318" i="3"/>
  <c r="J1319" i="3"/>
  <c r="K1319" i="3"/>
  <c r="J1320" i="3"/>
  <c r="K1320" i="3"/>
  <c r="J1321" i="3"/>
  <c r="K1321" i="3"/>
  <c r="J1322" i="3"/>
  <c r="K1322" i="3"/>
  <c r="J1323" i="3"/>
  <c r="K1323" i="3"/>
  <c r="J1324" i="3"/>
  <c r="K1324" i="3"/>
  <c r="J1325" i="3"/>
  <c r="K1325" i="3"/>
  <c r="J1326" i="3"/>
  <c r="K1326" i="3"/>
  <c r="J1327" i="3"/>
  <c r="K1327" i="3"/>
  <c r="J1328" i="3"/>
  <c r="K1328" i="3"/>
  <c r="J1329" i="3"/>
  <c r="K1329" i="3"/>
  <c r="J1330" i="3"/>
  <c r="K1330" i="3"/>
  <c r="J1331" i="3"/>
  <c r="K1331" i="3"/>
  <c r="J1332" i="3"/>
  <c r="K1332" i="3"/>
  <c r="J1333" i="3"/>
  <c r="K1333" i="3"/>
  <c r="J1334" i="3"/>
  <c r="K1334" i="3"/>
  <c r="J1335" i="3"/>
  <c r="K1335" i="3"/>
  <c r="J1336" i="3"/>
  <c r="K1336" i="3"/>
  <c r="J1337" i="3"/>
  <c r="K1337" i="3"/>
  <c r="J1338" i="3"/>
  <c r="K1338" i="3"/>
  <c r="J1339" i="3"/>
  <c r="K1339" i="3"/>
  <c r="J1340" i="3"/>
  <c r="K1340" i="3"/>
  <c r="J1341" i="3"/>
  <c r="K1341" i="3"/>
  <c r="J1342" i="3"/>
  <c r="K1342" i="3"/>
  <c r="J1343" i="3"/>
  <c r="K1343" i="3"/>
  <c r="J1344" i="3"/>
  <c r="K1344" i="3"/>
  <c r="J1345" i="3"/>
  <c r="K1345" i="3"/>
  <c r="J1346" i="3"/>
  <c r="K1346" i="3"/>
  <c r="J1347" i="3"/>
  <c r="K1347" i="3"/>
  <c r="J1348" i="3"/>
  <c r="K1348" i="3"/>
  <c r="J1349" i="3"/>
  <c r="K1349" i="3"/>
  <c r="J1350" i="3"/>
  <c r="K1350" i="3"/>
  <c r="J1351" i="3"/>
  <c r="K1351" i="3"/>
  <c r="J1352" i="3"/>
  <c r="K1352" i="3"/>
  <c r="J1353" i="3"/>
  <c r="K1353" i="3"/>
  <c r="J1354" i="3"/>
  <c r="K1354" i="3"/>
  <c r="J1355" i="3"/>
  <c r="K1355" i="3"/>
  <c r="J1356" i="3"/>
  <c r="K1356" i="3"/>
  <c r="J1357" i="3"/>
  <c r="K1357" i="3"/>
  <c r="J1358" i="3"/>
  <c r="K1358" i="3"/>
  <c r="J1359" i="3"/>
  <c r="K1359" i="3"/>
  <c r="J1360" i="3"/>
  <c r="K1360" i="3"/>
  <c r="J1361" i="3"/>
  <c r="K1361" i="3"/>
  <c r="J1362" i="3"/>
  <c r="K1362" i="3"/>
  <c r="J1363" i="3"/>
  <c r="K1363" i="3"/>
  <c r="J1364" i="3"/>
  <c r="K1364" i="3"/>
  <c r="J1365" i="3"/>
  <c r="K1365" i="3"/>
  <c r="J1366" i="3"/>
  <c r="K1366" i="3"/>
  <c r="J1367" i="3"/>
  <c r="K1367" i="3"/>
  <c r="J1368" i="3"/>
  <c r="K1368" i="3"/>
  <c r="J1369" i="3"/>
  <c r="K1369" i="3"/>
  <c r="J1370" i="3"/>
  <c r="K1370" i="3"/>
  <c r="J1371" i="3"/>
  <c r="K1371" i="3"/>
  <c r="J1372" i="3"/>
  <c r="K1372" i="3"/>
  <c r="J1373" i="3"/>
  <c r="K1373" i="3"/>
  <c r="J1374" i="3"/>
  <c r="K1374" i="3"/>
  <c r="J1375" i="3"/>
  <c r="K1375" i="3"/>
  <c r="J1376" i="3"/>
  <c r="K1376" i="3"/>
  <c r="J1377" i="3"/>
  <c r="K1377" i="3"/>
  <c r="J1378" i="3"/>
  <c r="K1378" i="3"/>
  <c r="J1379" i="3"/>
  <c r="K1379" i="3"/>
  <c r="J1380" i="3"/>
  <c r="K1380" i="3"/>
  <c r="J1381" i="3"/>
  <c r="K1381" i="3"/>
  <c r="J1382" i="3"/>
  <c r="K1382" i="3"/>
  <c r="J1383" i="3"/>
  <c r="K1383" i="3"/>
  <c r="J1384" i="3"/>
  <c r="K1384" i="3"/>
  <c r="J1385" i="3"/>
  <c r="K1385" i="3"/>
  <c r="J1386" i="3"/>
  <c r="K1386" i="3"/>
  <c r="J1387" i="3"/>
  <c r="K1387" i="3"/>
  <c r="J1388" i="3"/>
  <c r="K1388" i="3"/>
  <c r="J1389" i="3"/>
  <c r="K1389" i="3"/>
  <c r="J1390" i="3"/>
  <c r="K1390" i="3"/>
  <c r="J1391" i="3"/>
  <c r="K1391" i="3"/>
  <c r="J1392" i="3"/>
  <c r="K1392" i="3"/>
  <c r="J1393" i="3"/>
  <c r="K1393" i="3"/>
  <c r="J1394" i="3"/>
  <c r="K1394" i="3"/>
  <c r="J1395" i="3"/>
  <c r="K1395" i="3"/>
  <c r="J1396" i="3"/>
  <c r="K1396" i="3"/>
  <c r="J1397" i="3"/>
  <c r="K1397" i="3"/>
  <c r="J1398" i="3"/>
  <c r="K1398" i="3"/>
  <c r="J1399" i="3"/>
  <c r="K1399" i="3"/>
  <c r="J1400" i="3"/>
  <c r="K1400" i="3"/>
  <c r="J1401" i="3"/>
  <c r="K1401" i="3"/>
  <c r="J1402" i="3"/>
  <c r="K1402" i="3"/>
  <c r="J1403" i="3"/>
  <c r="K1403" i="3"/>
  <c r="J1404" i="3"/>
  <c r="K1404" i="3"/>
  <c r="J1405" i="3"/>
  <c r="K1405" i="3"/>
  <c r="J1406" i="3"/>
  <c r="K1406" i="3"/>
  <c r="J1407" i="3"/>
  <c r="K1407" i="3"/>
  <c r="J1408" i="3"/>
  <c r="K1408" i="3"/>
  <c r="J1409" i="3"/>
  <c r="K1409" i="3"/>
  <c r="J1410" i="3"/>
  <c r="K1410" i="3"/>
  <c r="J1411" i="3"/>
  <c r="K1411" i="3"/>
  <c r="J1412" i="3"/>
  <c r="K1412" i="3"/>
  <c r="J1413" i="3"/>
  <c r="K1413" i="3"/>
  <c r="J1414" i="3"/>
  <c r="K1414" i="3"/>
  <c r="J1415" i="3"/>
  <c r="K1415" i="3"/>
  <c r="J1416" i="3"/>
  <c r="K1416" i="3"/>
  <c r="J1417" i="3"/>
  <c r="K1417" i="3"/>
  <c r="J1418" i="3"/>
  <c r="K1418" i="3"/>
  <c r="J1419" i="3"/>
  <c r="K1419" i="3"/>
  <c r="J1420" i="3"/>
  <c r="K1420" i="3"/>
  <c r="J1421" i="3"/>
  <c r="K1421" i="3"/>
  <c r="J1422" i="3"/>
  <c r="K1422" i="3"/>
  <c r="J1423" i="3"/>
  <c r="K1423" i="3"/>
  <c r="J1424" i="3"/>
  <c r="K1424" i="3"/>
  <c r="J1425" i="3"/>
  <c r="K1425" i="3"/>
  <c r="J1426" i="3"/>
  <c r="K1426" i="3"/>
  <c r="J1427" i="3"/>
  <c r="K1427" i="3"/>
  <c r="J1428" i="3"/>
  <c r="K1428" i="3"/>
  <c r="J1429" i="3"/>
  <c r="K1429" i="3"/>
  <c r="J1430" i="3"/>
  <c r="K1430" i="3"/>
  <c r="J1431" i="3"/>
  <c r="K1431" i="3"/>
  <c r="J1432" i="3"/>
  <c r="K1432" i="3"/>
  <c r="J1433" i="3"/>
  <c r="K1433" i="3"/>
  <c r="J1434" i="3"/>
  <c r="K1434" i="3"/>
  <c r="J1435" i="3"/>
  <c r="K1435" i="3"/>
  <c r="J1436" i="3"/>
  <c r="K1436" i="3"/>
  <c r="J1437" i="3"/>
  <c r="K1437" i="3"/>
  <c r="J1438" i="3"/>
  <c r="K1438" i="3"/>
  <c r="J1439" i="3"/>
  <c r="K1439" i="3"/>
  <c r="J1440" i="3"/>
  <c r="K1440" i="3"/>
  <c r="J1441" i="3"/>
  <c r="K1441" i="3"/>
  <c r="J1442" i="3"/>
  <c r="K1442" i="3"/>
  <c r="J1443" i="3"/>
  <c r="K1443" i="3"/>
  <c r="J1444" i="3"/>
  <c r="K1444" i="3"/>
  <c r="J1445" i="3"/>
  <c r="K1445" i="3"/>
  <c r="J1446" i="3"/>
  <c r="K1446" i="3"/>
  <c r="J1447" i="3"/>
  <c r="K1447" i="3"/>
  <c r="J1448" i="3"/>
  <c r="K1448" i="3"/>
  <c r="J1449" i="3"/>
  <c r="K1449" i="3"/>
  <c r="J1450" i="3"/>
  <c r="K1450" i="3"/>
  <c r="J1451" i="3"/>
  <c r="K1451" i="3"/>
  <c r="J1452" i="3"/>
  <c r="K1452" i="3"/>
  <c r="J1453" i="3"/>
  <c r="K1453" i="3"/>
  <c r="J1454" i="3"/>
  <c r="K1454" i="3"/>
  <c r="J1455" i="3"/>
  <c r="K1455" i="3"/>
  <c r="J1456" i="3"/>
  <c r="K1456" i="3"/>
  <c r="J1457" i="3"/>
  <c r="K1457" i="3"/>
  <c r="J1458" i="3"/>
  <c r="K1458" i="3"/>
  <c r="J1459" i="3"/>
  <c r="K1459" i="3"/>
  <c r="J1460" i="3"/>
  <c r="K1460" i="3"/>
  <c r="J1461" i="3"/>
  <c r="K1461" i="3"/>
  <c r="J1462" i="3"/>
  <c r="K1462" i="3"/>
  <c r="J1463" i="3"/>
  <c r="K1463" i="3"/>
  <c r="J1464" i="3"/>
  <c r="K1464" i="3"/>
  <c r="J1465" i="3"/>
  <c r="K1465" i="3"/>
  <c r="J1466" i="3"/>
  <c r="K1466" i="3"/>
  <c r="J1467" i="3"/>
  <c r="K1467" i="3"/>
  <c r="J1468" i="3"/>
  <c r="K1468" i="3"/>
  <c r="J1469" i="3"/>
  <c r="K1469" i="3"/>
  <c r="J1470" i="3"/>
  <c r="K1470" i="3"/>
  <c r="J1471" i="3"/>
  <c r="K1471" i="3"/>
  <c r="J1472" i="3"/>
  <c r="K1472" i="3"/>
  <c r="J1473" i="3"/>
  <c r="K1473" i="3"/>
  <c r="J1474" i="3"/>
  <c r="K1474" i="3"/>
  <c r="J1475" i="3"/>
  <c r="K1475" i="3"/>
  <c r="J1476" i="3"/>
  <c r="K1476" i="3"/>
  <c r="K1" i="3"/>
  <c r="J1" i="3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2" i="3"/>
  <c r="C6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2" i="3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4" i="4"/>
  <c r="C43" i="4"/>
  <c r="C42" i="4"/>
  <c r="C41" i="4"/>
  <c r="C40" i="4"/>
  <c r="C39" i="4"/>
  <c r="C38" i="4"/>
  <c r="C37" i="4"/>
  <c r="C36" i="4"/>
  <c r="C35" i="4"/>
  <c r="C33" i="4"/>
  <c r="C32" i="4"/>
  <c r="C31" i="4"/>
  <c r="C30" i="4"/>
  <c r="C29" i="4"/>
  <c r="C28" i="4"/>
  <c r="C26" i="4"/>
  <c r="C25" i="4"/>
  <c r="C22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<sst xmlns="http://schemas.openxmlformats.org/spreadsheetml/2006/main" count="8239" uniqueCount="2826">
  <si>
    <t>GroupName</t>
  </si>
  <si>
    <t>GroupProteinFunction</t>
  </si>
  <si>
    <t>GeneAccession</t>
  </si>
  <si>
    <t>GeneLink</t>
  </si>
  <si>
    <t>GeneProteinFunction</t>
  </si>
  <si>
    <t>IsolateName</t>
  </si>
  <si>
    <t>IsolateAccession</t>
  </si>
  <si>
    <t>A18</t>
  </si>
  <si>
    <t>DNA helicase</t>
  </si>
  <si>
    <t>ATI21220.1</t>
  </si>
  <si>
    <t>DNA helicase transcript release factor</t>
  </si>
  <si>
    <t>Eastern grey kangaroopox virus</t>
  </si>
  <si>
    <t>AWU47153.1</t>
  </si>
  <si>
    <t>Sea otter poxvirus</t>
  </si>
  <si>
    <t>APG58328.1</t>
  </si>
  <si>
    <t>transcript termination protein A18</t>
  </si>
  <si>
    <t>BeAn 58058 virus</t>
  </si>
  <si>
    <t>ADT91137.1</t>
  </si>
  <si>
    <t>DNA helicase-transcription elongation factor</t>
  </si>
  <si>
    <t>Cotia virus SPAn232</t>
  </si>
  <si>
    <t>ANS71197.1</t>
  </si>
  <si>
    <t>Pteropox virus</t>
  </si>
  <si>
    <t>AKR04244.1</t>
  </si>
  <si>
    <t>DNA or RNA helicases of superfamily II</t>
  </si>
  <si>
    <t>Salmon gill poxvirus</t>
  </si>
  <si>
    <t>CCD83290.1</t>
  </si>
  <si>
    <t>transcript release/DNA helicase</t>
  </si>
  <si>
    <t>Squirrelpox virus</t>
  </si>
  <si>
    <t>ASK51316.1</t>
  </si>
  <si>
    <t>DNA helicase, transcript release factor</t>
  </si>
  <si>
    <t>Eptesipox virus</t>
  </si>
  <si>
    <t>AUD40291.1</t>
  </si>
  <si>
    <t>Flamingopox virus FGPVKD09</t>
  </si>
  <si>
    <t>AID46922.1</t>
  </si>
  <si>
    <t>Penguinpox virus</t>
  </si>
  <si>
    <t>AID46690.1</t>
  </si>
  <si>
    <t>Pigeonpox virus</t>
  </si>
  <si>
    <t>ALA62507.1</t>
  </si>
  <si>
    <t>transcriptional elongation DNA helicase</t>
  </si>
  <si>
    <t>Turkeypox virus</t>
  </si>
  <si>
    <t>AAR83603.1</t>
  </si>
  <si>
    <t>CNPV257 DNA helicase, transcriptional elongation</t>
  </si>
  <si>
    <t>Canarypox virus</t>
  </si>
  <si>
    <t>AAF44527.1</t>
  </si>
  <si>
    <t>ORF FPV183 DNA helicase, transcriptional elongation</t>
  </si>
  <si>
    <t>Fowlpox virus</t>
  </si>
  <si>
    <t>AAK85071.1</t>
  </si>
  <si>
    <t>LSDV110 putative DNA helicase transcriptional elongation factor</t>
  </si>
  <si>
    <t>Lumpy skin disease virus NI-2490</t>
  </si>
  <si>
    <t>AST09329.1</t>
  </si>
  <si>
    <t>Murmansk poxvirus</t>
  </si>
  <si>
    <t>AEN03711.1</t>
  </si>
  <si>
    <t>Yokapox virus</t>
  </si>
  <si>
    <t>ABI99274.1</t>
  </si>
  <si>
    <t>Deerpox virus W-848-83</t>
  </si>
  <si>
    <t>ABJ09032.1</t>
  </si>
  <si>
    <t>Nile crocodilepox virus</t>
  </si>
  <si>
    <t>AAF14996.1</t>
  </si>
  <si>
    <t>m108R</t>
  </si>
  <si>
    <t>AFU77372.1</t>
  </si>
  <si>
    <t>AAF17991.1</t>
  </si>
  <si>
    <t>gp108R</t>
  </si>
  <si>
    <t>Rabbit fibroma virus</t>
  </si>
  <si>
    <t>AAC55251.1</t>
  </si>
  <si>
    <t>MC123R</t>
  </si>
  <si>
    <t>Molluscum contagiosum virus subtype 1</t>
  </si>
  <si>
    <t>AYN64703.1</t>
  </si>
  <si>
    <t>putative A18R protein</t>
  </si>
  <si>
    <t>Orthopoxvirus Abatino</t>
  </si>
  <si>
    <t>AXN74933.1</t>
  </si>
  <si>
    <t>Akhmeta virus</t>
  </si>
  <si>
    <t>ABH08245.1</t>
  </si>
  <si>
    <t>HSPV139</t>
  </si>
  <si>
    <t>Horsepox virus</t>
  </si>
  <si>
    <t>AAG37625.1</t>
  </si>
  <si>
    <t>CMP135R</t>
  </si>
  <si>
    <t>Camelpox virus CMS</t>
  </si>
  <si>
    <t>AAL73843.1</t>
  </si>
  <si>
    <t>putative DNA helicase transcriptional elongation factor</t>
  </si>
  <si>
    <t>Camelpox virus M-96</t>
  </si>
  <si>
    <t>AAM13592.1</t>
  </si>
  <si>
    <t>CPXV151 protein</t>
  </si>
  <si>
    <t>Cowpox virus</t>
  </si>
  <si>
    <t>AAM92426.1</t>
  </si>
  <si>
    <t>EVM121</t>
  </si>
  <si>
    <t>Ectromelia virus</t>
  </si>
  <si>
    <t>AFH54685.1</t>
  </si>
  <si>
    <t>Ectromelia virus ERPV</t>
  </si>
  <si>
    <t>AAL40587.1</t>
  </si>
  <si>
    <t>A19R</t>
  </si>
  <si>
    <t>Monkeypox virus Zaire-96-I-16 (clade I)</t>
  </si>
  <si>
    <t>AAX09225.1</t>
  </si>
  <si>
    <t>MPXV-COP-124</t>
  </si>
  <si>
    <t>monkeypox virus strain cOP-58 (clade IIa)</t>
  </si>
  <si>
    <t>AKJ93767.1</t>
  </si>
  <si>
    <t>Raccoonpox virus</t>
  </si>
  <si>
    <t>AOP31616.1</t>
  </si>
  <si>
    <t>Skunkpox virus</t>
  </si>
  <si>
    <t>ABD97706.1</t>
  </si>
  <si>
    <t>Taterapox virus</t>
  </si>
  <si>
    <t>AAO89417.1</t>
  </si>
  <si>
    <t>Vaccinia virus WR</t>
  </si>
  <si>
    <t>CAA49063.1</t>
  </si>
  <si>
    <t>A18R</t>
  </si>
  <si>
    <t>CAB54722.1</t>
  </si>
  <si>
    <t>A19R protein</t>
  </si>
  <si>
    <t>Variola minor virus</t>
  </si>
  <si>
    <t>AOP31827.1</t>
  </si>
  <si>
    <t>Volepox virus</t>
  </si>
  <si>
    <t>ASC55551.1</t>
  </si>
  <si>
    <t>DNA helicase-like protein</t>
  </si>
  <si>
    <t>Seal parapoxvirus</t>
  </si>
  <si>
    <t>AAR98452.1</t>
  </si>
  <si>
    <t>ORF095 DNA helicase</t>
  </si>
  <si>
    <t>Bovine papular stomatitis virus</t>
  </si>
  <si>
    <t>AAR98320.1</t>
  </si>
  <si>
    <t>ABA00612.1</t>
  </si>
  <si>
    <t>AIZ77346.1</t>
  </si>
  <si>
    <t>putative DNA helicase</t>
  </si>
  <si>
    <t>Parapoxvirus red deer/HL953</t>
  </si>
  <si>
    <t>ADC53997.1</t>
  </si>
  <si>
    <t>Pseudocowpox virus</t>
  </si>
  <si>
    <t>AAL69846.1</t>
  </si>
  <si>
    <t>SPV107 putative DNA helicase transcriptional elongation factor</t>
  </si>
  <si>
    <t>Swinepox virus</t>
  </si>
  <si>
    <t>CAC21348.1</t>
  </si>
  <si>
    <t>110R protein</t>
  </si>
  <si>
    <t>Yaba-like disease virus</t>
  </si>
  <si>
    <t>AAR07466.1</t>
  </si>
  <si>
    <t>110R</t>
  </si>
  <si>
    <t>Yaba monkey tumor virus</t>
  </si>
  <si>
    <t>AAC97786.1</t>
  </si>
  <si>
    <t>ORF MSV148 putative DNA helicase (vaccinia A18R), similar to SW:P20534</t>
  </si>
  <si>
    <t>Melanoplus sanguinipes entomopoxvirus 'O'</t>
  </si>
  <si>
    <t>BAO49508.1</t>
  </si>
  <si>
    <t>DNA helicase, transcriptional elongation</t>
  </si>
  <si>
    <t>Anomala cuprea entomopoxvirus</t>
  </si>
  <si>
    <t>CCU55377.1</t>
  </si>
  <si>
    <t>Adoxophyes honmai entomopoxvirus 'L'</t>
  </si>
  <si>
    <t>AAG02765.1</t>
  </si>
  <si>
    <t>AMV059</t>
  </si>
  <si>
    <t>Amsacta moorei entomopoxvirus</t>
  </si>
  <si>
    <t>CCU55672.1</t>
  </si>
  <si>
    <t>Choristoneura biennis entomopoxvirus</t>
  </si>
  <si>
    <t>CCU55983.1</t>
  </si>
  <si>
    <t>Choristoneura rosaceana entomopoxvirus 'L'</t>
  </si>
  <si>
    <t>CCU56280.1</t>
  </si>
  <si>
    <t>Mythimna separata entomopoxvirus 'L'</t>
  </si>
  <si>
    <t>NP_659682.1</t>
  </si>
  <si>
    <t>DNA helicase, transcritional elongation</t>
  </si>
  <si>
    <t>Sheeppox virus</t>
  </si>
  <si>
    <t>YP_001293301.1</t>
  </si>
  <si>
    <t>hypothetical protein GTPV_gp105</t>
  </si>
  <si>
    <t>Goatpox virus Pellor</t>
  </si>
  <si>
    <t>A2</t>
  </si>
  <si>
    <t>VLTF-3</t>
  </si>
  <si>
    <t>ATI21201.1</t>
  </si>
  <si>
    <t>AWU47135.1</t>
  </si>
  <si>
    <t>APG58311.1</t>
  </si>
  <si>
    <t>viral late gene transcription factor 3</t>
  </si>
  <si>
    <t>ADT91121.1</t>
  </si>
  <si>
    <t>viral late transcription factor VLTF-3</t>
  </si>
  <si>
    <t>ANS71179.1</t>
  </si>
  <si>
    <t>viral late transcription factor</t>
  </si>
  <si>
    <t>AKR04224.1</t>
  </si>
  <si>
    <t>late transcription factor VLTF3-like protein</t>
  </si>
  <si>
    <t>CCD83272.1</t>
  </si>
  <si>
    <t>late transcription factor VLTF3</t>
  </si>
  <si>
    <t>ASK51298.1</t>
  </si>
  <si>
    <t>Late transcription factor (VLTF-3)</t>
  </si>
  <si>
    <t>AUD40272.1</t>
  </si>
  <si>
    <t>late transcription factor 3</t>
  </si>
  <si>
    <t>AID46903.1</t>
  </si>
  <si>
    <t>late transcription factor VLTF-3</t>
  </si>
  <si>
    <t>AID46672.1</t>
  </si>
  <si>
    <t>ALA62495.1</t>
  </si>
  <si>
    <t>AAR83584.1</t>
  </si>
  <si>
    <t>CNPV238 late transcription factor VLTF-3</t>
  </si>
  <si>
    <t>AAF44509.1</t>
  </si>
  <si>
    <t>ORF FPV165 Late transcription factor, VLTF-3</t>
  </si>
  <si>
    <t>AAK85053.1</t>
  </si>
  <si>
    <t>LSDV092 putative late transcription factor</t>
  </si>
  <si>
    <t>AST09311.1</t>
  </si>
  <si>
    <t>late gene transcription factor</t>
  </si>
  <si>
    <t>AEN03691.1</t>
  </si>
  <si>
    <t>late gene transcription factor VLTF-3</t>
  </si>
  <si>
    <t>ABI99256.1</t>
  </si>
  <si>
    <t>ABJ09013.1</t>
  </si>
  <si>
    <t>AAF14978.1</t>
  </si>
  <si>
    <t>m90L</t>
  </si>
  <si>
    <t>AFU77354.1</t>
  </si>
  <si>
    <t>AAF17974.1</t>
  </si>
  <si>
    <t>gp090L</t>
  </si>
  <si>
    <t>AAC55232.1</t>
  </si>
  <si>
    <t>MC104L</t>
  </si>
  <si>
    <t>AYN64686.1</t>
  </si>
  <si>
    <t>putative A2L protein</t>
  </si>
  <si>
    <t>AXN74915.1</t>
  </si>
  <si>
    <t>ABH08227.1</t>
  </si>
  <si>
    <t>HSPV121</t>
  </si>
  <si>
    <t>AAG37600.1</t>
  </si>
  <si>
    <t>CMP117L</t>
  </si>
  <si>
    <t>AAL73825.1</t>
  </si>
  <si>
    <t>putative late transcription factor VLTF-3</t>
  </si>
  <si>
    <t>AAM13574.1</t>
  </si>
  <si>
    <t>CPXV133 protein</t>
  </si>
  <si>
    <t>AAM92408.1</t>
  </si>
  <si>
    <t>EVM104</t>
  </si>
  <si>
    <t>AFH54667.1</t>
  </si>
  <si>
    <t>viral late transcription factor 3</t>
  </si>
  <si>
    <t>AAL40570.1</t>
  </si>
  <si>
    <t>A2L</t>
  </si>
  <si>
    <t>AAX09207.1</t>
  </si>
  <si>
    <t>MPXV-COP-106</t>
  </si>
  <si>
    <t>AKJ93749.1</t>
  </si>
  <si>
    <t>AOP31598.1</t>
  </si>
  <si>
    <t>vltf-3</t>
  </si>
  <si>
    <t>ABD97688.1</t>
  </si>
  <si>
    <t>AAO89399.1</t>
  </si>
  <si>
    <t>CAA49046.1</t>
  </si>
  <si>
    <t>CAB54705.1</t>
  </si>
  <si>
    <t>A2L protein</t>
  </si>
  <si>
    <t>AOP31809.1</t>
  </si>
  <si>
    <t>ASC55563.1</t>
  </si>
  <si>
    <t>late transcription factor VLTF-3-like protein</t>
  </si>
  <si>
    <t>AAR98434.1</t>
  </si>
  <si>
    <t>ORF077 late transcription factor VLTF-3</t>
  </si>
  <si>
    <t>AAR98302.1</t>
  </si>
  <si>
    <t>ABA00594.1</t>
  </si>
  <si>
    <t>AIZ77328.1</t>
  </si>
  <si>
    <t>ADC53979.1</t>
  </si>
  <si>
    <t>AAL69828.1</t>
  </si>
  <si>
    <t>SPV089 putative late transcription factor VLTF-3</t>
  </si>
  <si>
    <t>CAC21330.1</t>
  </si>
  <si>
    <t>92L protein</t>
  </si>
  <si>
    <t>AAR07448.1</t>
  </si>
  <si>
    <t>92L</t>
  </si>
  <si>
    <t>AAC97623.1</t>
  </si>
  <si>
    <t>ORF MSV065 putative late transcription factor VLTF-3 homolog (vaccinia A2L), similar to SW:P07609</t>
  </si>
  <si>
    <t>BAO49552.1</t>
  </si>
  <si>
    <t>CCU55463.1</t>
  </si>
  <si>
    <t>VLTF-3 late transcription factor 3</t>
  </si>
  <si>
    <t>AAG02911.1</t>
  </si>
  <si>
    <t>AMV205</t>
  </si>
  <si>
    <t>CCU55803.1</t>
  </si>
  <si>
    <t>CCU56105.1</t>
  </si>
  <si>
    <t>CCU56429.1</t>
  </si>
  <si>
    <t>NP_659664.1</t>
  </si>
  <si>
    <t>Late transcrition factor VLTF-3</t>
  </si>
  <si>
    <t>YP_001293283.1</t>
  </si>
  <si>
    <t>hypothetical protein GTPV_gp088</t>
  </si>
  <si>
    <t>A22</t>
  </si>
  <si>
    <t>holliday junction resolvase</t>
  </si>
  <si>
    <t>ATI21224.1</t>
  </si>
  <si>
    <t>Holliday junction resolvase</t>
  </si>
  <si>
    <t>AWU47157.1</t>
  </si>
  <si>
    <t>APG58332.1</t>
  </si>
  <si>
    <t>resolvase A22</t>
  </si>
  <si>
    <t>ADT91141.1</t>
  </si>
  <si>
    <t>ANS71201.1</t>
  </si>
  <si>
    <t>AKR04248.1</t>
  </si>
  <si>
    <t>RuvC</t>
  </si>
  <si>
    <t>CCD83294.1</t>
  </si>
  <si>
    <t>Holliday protein resolvase</t>
  </si>
  <si>
    <t>ASK51320.1</t>
  </si>
  <si>
    <t>AUD40295.1</t>
  </si>
  <si>
    <t>AID46926.1</t>
  </si>
  <si>
    <t>hypothetical protein pepv_200</t>
  </si>
  <si>
    <t>AID46694.1</t>
  </si>
  <si>
    <t>hypothetical protein fep_192</t>
  </si>
  <si>
    <t>ALA62511.1</t>
  </si>
  <si>
    <t>hypothetical protein</t>
  </si>
  <si>
    <t>AAR83607.1</t>
  </si>
  <si>
    <t>CNPV261 Holliday junction resolvase protein</t>
  </si>
  <si>
    <t>AAF44531.1</t>
  </si>
  <si>
    <t>ORF FPV187</t>
  </si>
  <si>
    <t>AAK85075.1</t>
  </si>
  <si>
    <t>LSDV114 hypothetical protein</t>
  </si>
  <si>
    <t>AST09333.1</t>
  </si>
  <si>
    <t>AEN03715.1</t>
  </si>
  <si>
    <t>ABI99278.1</t>
  </si>
  <si>
    <t>ABJ09036.1</t>
  </si>
  <si>
    <t>AAF15000.1</t>
  </si>
  <si>
    <t>m112R</t>
  </si>
  <si>
    <t>AFU77376.1</t>
  </si>
  <si>
    <t>AAF17995.1</t>
  </si>
  <si>
    <t>gp112R</t>
  </si>
  <si>
    <t>AAC55255.1</t>
  </si>
  <si>
    <t>MC127R</t>
  </si>
  <si>
    <t>AYN64707.1</t>
  </si>
  <si>
    <t>putative A22R protein</t>
  </si>
  <si>
    <t>AXN74938.1</t>
  </si>
  <si>
    <t>holliday junction endonuclease</t>
  </si>
  <si>
    <t>ABH08249.1</t>
  </si>
  <si>
    <t>HSPV143</t>
  </si>
  <si>
    <t>AAG37631.1</t>
  </si>
  <si>
    <t>CMP139R</t>
  </si>
  <si>
    <t>AAL73847.1</t>
  </si>
  <si>
    <t>putative DNA processing protein</t>
  </si>
  <si>
    <t>AAM13597.1</t>
  </si>
  <si>
    <t>CPXV155 protein</t>
  </si>
  <si>
    <t>AAM92430.1</t>
  </si>
  <si>
    <t>EVM125</t>
  </si>
  <si>
    <t>AFH54689.1</t>
  </si>
  <si>
    <t>AAL40591.1</t>
  </si>
  <si>
    <t>A23R</t>
  </si>
  <si>
    <t>AAX09229.1</t>
  </si>
  <si>
    <t>MPXV-COP-128</t>
  </si>
  <si>
    <t>AKJ93771.1</t>
  </si>
  <si>
    <t>Holliday junction endonuclease</t>
  </si>
  <si>
    <t>AOP31620.1</t>
  </si>
  <si>
    <t>ABD97710.1</t>
  </si>
  <si>
    <t>Holiday junction resolvase palmitylprotein</t>
  </si>
  <si>
    <t>AAO89421.1</t>
  </si>
  <si>
    <t>palmitylprotein</t>
  </si>
  <si>
    <t>CAA49067.1</t>
  </si>
  <si>
    <t>A22R</t>
  </si>
  <si>
    <t>CAB54726.1</t>
  </si>
  <si>
    <t>A23R protein</t>
  </si>
  <si>
    <t>AOP31831.1</t>
  </si>
  <si>
    <t>ASC55548.1</t>
  </si>
  <si>
    <t>Holliday junction resolvase-like protein</t>
  </si>
  <si>
    <t>AAR98456.1</t>
  </si>
  <si>
    <t>ORF099 Holliday junction resolvase</t>
  </si>
  <si>
    <t>AAR98324.1</t>
  </si>
  <si>
    <t>ABA00616.1</t>
  </si>
  <si>
    <t>resolvase</t>
  </si>
  <si>
    <t>AIZ77350.1</t>
  </si>
  <si>
    <t>putative Holliday junction resolvase</t>
  </si>
  <si>
    <t>ADC54001.1</t>
  </si>
  <si>
    <t>AAL69850.1</t>
  </si>
  <si>
    <t>SPV111 putative DNA processing protein</t>
  </si>
  <si>
    <t>CAC21352.1</t>
  </si>
  <si>
    <t>114R protein</t>
  </si>
  <si>
    <t>AAR07470.1</t>
  </si>
  <si>
    <t>114R</t>
  </si>
  <si>
    <t>AAC97652.1</t>
  </si>
  <si>
    <t>ORF MSV106 putative vaccinia A22R homolog, similar to SW:P20997</t>
  </si>
  <si>
    <t>BAO49463.1</t>
  </si>
  <si>
    <t>CCU55493.1</t>
  </si>
  <si>
    <t>AAG02868.1</t>
  </si>
  <si>
    <t>AMV162</t>
  </si>
  <si>
    <t>CCU55772.1</t>
  </si>
  <si>
    <t>CCU56074.1</t>
  </si>
  <si>
    <t>CCU56396.1</t>
  </si>
  <si>
    <t>NP_659686.1</t>
  </si>
  <si>
    <t>Holiday junction resolvase</t>
  </si>
  <si>
    <t>YP_001293305.1</t>
  </si>
  <si>
    <t>hypothetical protein GTPV_gp109</t>
  </si>
  <si>
    <t>A23</t>
  </si>
  <si>
    <t>VITF-3</t>
  </si>
  <si>
    <t>ATI21225.1</t>
  </si>
  <si>
    <t>VITF-3 45kda subuni</t>
  </si>
  <si>
    <t>AWU47158.1</t>
  </si>
  <si>
    <t>APG58333.1</t>
  </si>
  <si>
    <t>intermediate transcription factor 3 large subuni</t>
  </si>
  <si>
    <t>ADT91142.1</t>
  </si>
  <si>
    <t>viral intermediate transcription factor VITF-3</t>
  </si>
  <si>
    <t>ANS71202.1</t>
  </si>
  <si>
    <t>large subunit viral intermediate transcription factor</t>
  </si>
  <si>
    <t>AKR04249.1</t>
  </si>
  <si>
    <t>intermediate transcription factor</t>
  </si>
  <si>
    <t>CCD83295.1</t>
  </si>
  <si>
    <t>transcription subunit (intermediate) large subuni</t>
  </si>
  <si>
    <t>ASK51321.1</t>
  </si>
  <si>
    <t>Intermediate transcription factor (VITF-3L)</t>
  </si>
  <si>
    <t>AUD40296.1</t>
  </si>
  <si>
    <t>intermediate transcription factor 3</t>
  </si>
  <si>
    <t>AID46927.1</t>
  </si>
  <si>
    <t>intermediate transcription factor VITF-3</t>
  </si>
  <si>
    <t>AID46695.1</t>
  </si>
  <si>
    <t>ALA62512.1</t>
  </si>
  <si>
    <t>AAR83608.1</t>
  </si>
  <si>
    <t>CNPV262 intermediate transcription factor VITF-3</t>
  </si>
  <si>
    <t>AAF44532.1</t>
  </si>
  <si>
    <t>ORF FPV188 Intermediate transcription factor, VITF-3</t>
  </si>
  <si>
    <t>YP_001293306.1</t>
  </si>
  <si>
    <t>hypothetical protein GTPV_gp110</t>
  </si>
  <si>
    <t>AAK85076.1</t>
  </si>
  <si>
    <t>LSDV115 putative intermediate transcription factor subuni</t>
  </si>
  <si>
    <t>NP_659687.1</t>
  </si>
  <si>
    <t>Intermediate transcription factor VITF-3</t>
  </si>
  <si>
    <t>AST09334.1</t>
  </si>
  <si>
    <t>AEN03716.1</t>
  </si>
  <si>
    <t>45kDa large subunit of intermediate gene transcription factor VITF-3</t>
  </si>
  <si>
    <t>ABI99279.1</t>
  </si>
  <si>
    <t>ABJ09037.1</t>
  </si>
  <si>
    <t>AAF15001.1</t>
  </si>
  <si>
    <t>m113R</t>
  </si>
  <si>
    <t>AFU77377.1</t>
  </si>
  <si>
    <t>AAF17996.1</t>
  </si>
  <si>
    <t>gp113R</t>
  </si>
  <si>
    <t>AAC55256.1</t>
  </si>
  <si>
    <t>MC128R</t>
  </si>
  <si>
    <t>AYN64708.1</t>
  </si>
  <si>
    <t>putative A23R protein</t>
  </si>
  <si>
    <t>AXN74939.1</t>
  </si>
  <si>
    <t>VITF-3 large subuni</t>
  </si>
  <si>
    <t>ABH08250.1</t>
  </si>
  <si>
    <t>HSPV144</t>
  </si>
  <si>
    <t>AAG37632.1</t>
  </si>
  <si>
    <t>CMP140R</t>
  </si>
  <si>
    <t>AAL73848.1</t>
  </si>
  <si>
    <t>putative intermediate transcription factor</t>
  </si>
  <si>
    <t>AAM13598.1</t>
  </si>
  <si>
    <t>CPXV156 protein</t>
  </si>
  <si>
    <t>AAM92431.1</t>
  </si>
  <si>
    <t>EVM126</t>
  </si>
  <si>
    <t>AFH54690.1</t>
  </si>
  <si>
    <t>viral intermediate transcription factor 3</t>
  </si>
  <si>
    <t>AAL40592.1</t>
  </si>
  <si>
    <t>A24R</t>
  </si>
  <si>
    <t>AAX09230.1</t>
  </si>
  <si>
    <t>MPXV-COP-129</t>
  </si>
  <si>
    <t>AKJ93772.1</t>
  </si>
  <si>
    <t>VITF-3 45 kDA large subuni</t>
  </si>
  <si>
    <t>AOP31621.1</t>
  </si>
  <si>
    <t>vitf-3 45kDa subuni</t>
  </si>
  <si>
    <t>ABD97711.1</t>
  </si>
  <si>
    <t>AAO89422.1</t>
  </si>
  <si>
    <t>CAA49068.1</t>
  </si>
  <si>
    <t>CAB54727.1</t>
  </si>
  <si>
    <t>A24R protein</t>
  </si>
  <si>
    <t>AOP31832.1</t>
  </si>
  <si>
    <t>ASC55547.1</t>
  </si>
  <si>
    <t>intermediate transcription factor VITF-3-like protein</t>
  </si>
  <si>
    <t>AAR98457.1</t>
  </si>
  <si>
    <t>ORF100 intermediate transcription factor VITF-3</t>
  </si>
  <si>
    <t>AAR98325.1</t>
  </si>
  <si>
    <t>ABA00617.1</t>
  </si>
  <si>
    <t>intermediate transcription factor VITF3</t>
  </si>
  <si>
    <t>AIZ77351.1</t>
  </si>
  <si>
    <t>putative intermediate transcription factor VITF-3</t>
  </si>
  <si>
    <t>ADC54002.1</t>
  </si>
  <si>
    <t>AAL69851.1</t>
  </si>
  <si>
    <t>SPV112 putative intermediate transcription factor VITF-3</t>
  </si>
  <si>
    <t>CAC21353.1</t>
  </si>
  <si>
    <t>115R protein</t>
  </si>
  <si>
    <t>AAR07471.1</t>
  </si>
  <si>
    <t>115R</t>
  </si>
  <si>
    <t>AAC97825.1</t>
  </si>
  <si>
    <t>ORF MSV052 putative vaccina A23R homolog, similar to SW:P20998</t>
  </si>
  <si>
    <t>BAO49550.1</t>
  </si>
  <si>
    <t>DNA-directed RNA polymerase beta chain</t>
  </si>
  <si>
    <t>CCU55410.1</t>
  </si>
  <si>
    <t>VITF-3 45kda subunit (Cop-A23R)</t>
  </si>
  <si>
    <t>AAG02797.1</t>
  </si>
  <si>
    <t>AMV091</t>
  </si>
  <si>
    <t>CCU55716.1</t>
  </si>
  <si>
    <t>CCU56018.1</t>
  </si>
  <si>
    <t>CCU56312.1</t>
  </si>
  <si>
    <t>A24</t>
  </si>
  <si>
    <t>RPO132</t>
  </si>
  <si>
    <t>ATI21226.1</t>
  </si>
  <si>
    <t>RNA polymerase</t>
  </si>
  <si>
    <t>AWU47159.1</t>
  </si>
  <si>
    <t>APG58334.1</t>
  </si>
  <si>
    <t>DNA-directed RNA polymerase 132 kDa polypeptide</t>
  </si>
  <si>
    <t>ADT91143.1</t>
  </si>
  <si>
    <t>DNA-dependent RNA polymerase subunit RPO132</t>
  </si>
  <si>
    <t>ANS71203.1</t>
  </si>
  <si>
    <t>AKR04250.1</t>
  </si>
  <si>
    <t>DNA-directed RNA polymerase subunit beta</t>
  </si>
  <si>
    <t>CCD83296.1</t>
  </si>
  <si>
    <t>DNA-dependent RNA polymerase subunit rpo132</t>
  </si>
  <si>
    <t>ASK51322.1</t>
  </si>
  <si>
    <t>RNA polymerase subunit (RPO132)</t>
  </si>
  <si>
    <t>AUD40297.1</t>
  </si>
  <si>
    <t>RNA polymerase subunit 132</t>
  </si>
  <si>
    <t>AID46928.1</t>
  </si>
  <si>
    <t>RNA polymerase subunit RPO132</t>
  </si>
  <si>
    <t>AID46696.1</t>
  </si>
  <si>
    <t>ALA62513.1</t>
  </si>
  <si>
    <t>AAR83609.1</t>
  </si>
  <si>
    <t>CNPV263 RNA polymerase subunit RPO132</t>
  </si>
  <si>
    <t>AAF44533.1</t>
  </si>
  <si>
    <t>ORF FPV189 RNA polymerase subunit, RPO132</t>
  </si>
  <si>
    <t>AAK85077.1</t>
  </si>
  <si>
    <t>AST09335.1</t>
  </si>
  <si>
    <t>AEN03717.1</t>
  </si>
  <si>
    <t>ABI99280.1</t>
  </si>
  <si>
    <t>ABJ09038.1</t>
  </si>
  <si>
    <t>AAF15002.1</t>
  </si>
  <si>
    <t>m114R</t>
  </si>
  <si>
    <t>AFU77378.1</t>
  </si>
  <si>
    <t>AAF17997.1</t>
  </si>
  <si>
    <t>gp114R</t>
  </si>
  <si>
    <t>AAC55257.1</t>
  </si>
  <si>
    <t>MC129R</t>
  </si>
  <si>
    <t>AYN64709.1</t>
  </si>
  <si>
    <t>putative A24R protein</t>
  </si>
  <si>
    <t>AXN74940.1</t>
  </si>
  <si>
    <t>DNA-directed RNA polymerase</t>
  </si>
  <si>
    <t>ABH08251.1</t>
  </si>
  <si>
    <t>HSPV145</t>
  </si>
  <si>
    <t>AAG37633.1</t>
  </si>
  <si>
    <t>CMP141R</t>
  </si>
  <si>
    <t>AAL73849.1</t>
  </si>
  <si>
    <t>AAM13599.1</t>
  </si>
  <si>
    <t>Rpo132 or CPXV157 protein</t>
  </si>
  <si>
    <t>AAM92432.1</t>
  </si>
  <si>
    <t>EVM127</t>
  </si>
  <si>
    <t>AFH54691.1</t>
  </si>
  <si>
    <t>RNA polymerase 132 subuni</t>
  </si>
  <si>
    <t>AAL40593.1</t>
  </si>
  <si>
    <t>A25R</t>
  </si>
  <si>
    <t>AAX09231.1</t>
  </si>
  <si>
    <t>MPXV-COP-130</t>
  </si>
  <si>
    <t>AKJ93773.1</t>
  </si>
  <si>
    <t>RNA polymerase subunit RPO132 protein</t>
  </si>
  <si>
    <t>AOP31622.1</t>
  </si>
  <si>
    <t>ABD97712.1</t>
  </si>
  <si>
    <t>AAO89423.1</t>
  </si>
  <si>
    <t>CAA49069.1</t>
  </si>
  <si>
    <t>CAB54728.1</t>
  </si>
  <si>
    <t>A25R protein</t>
  </si>
  <si>
    <t>AOP31833.1</t>
  </si>
  <si>
    <t>ASC55546.1</t>
  </si>
  <si>
    <t>RNA polymerase subunit RPO132-like protein</t>
  </si>
  <si>
    <t>AAR98458.1</t>
  </si>
  <si>
    <t>ORF101 RNA polymerase subunit RPO132</t>
  </si>
  <si>
    <t>AAR98326.1</t>
  </si>
  <si>
    <t>ABA00618.1</t>
  </si>
  <si>
    <t>RNA polymerase RPO132</t>
  </si>
  <si>
    <t>AIZ77352.1</t>
  </si>
  <si>
    <t>putative RNA polymerase subunit RPO132</t>
  </si>
  <si>
    <t>ADC54003.1</t>
  </si>
  <si>
    <t>RNA-polymerase RPO132</t>
  </si>
  <si>
    <t>AAL69852.1</t>
  </si>
  <si>
    <t>SPV113 RNA polymerase subunit RPO132</t>
  </si>
  <si>
    <t>CAC21354.1</t>
  </si>
  <si>
    <t>116R protein</t>
  </si>
  <si>
    <t>AAR07472.1</t>
  </si>
  <si>
    <t>116R</t>
  </si>
  <si>
    <t>AAC97782.1</t>
  </si>
  <si>
    <t>ORF MSV155 putative RNA polymerase second largest subunit cowpox RPO132 homolog (vaccinia A24R), similar to SW:P17474</t>
  </si>
  <si>
    <t>BAO49445.1</t>
  </si>
  <si>
    <t>DNA-directed RNA polymerase subunit RPO132</t>
  </si>
  <si>
    <t>CCU55389.1</t>
  </si>
  <si>
    <t>AAG02772.1</t>
  </si>
  <si>
    <t>AMV066</t>
  </si>
  <si>
    <t>CCU55697.1</t>
  </si>
  <si>
    <t>CCU55999.1</t>
  </si>
  <si>
    <t>CCU56292.1</t>
  </si>
  <si>
    <t>NP_659688.1</t>
  </si>
  <si>
    <t>YP_001293307.1</t>
  </si>
  <si>
    <t>hypothetical protein GTPV_gp111</t>
  </si>
  <si>
    <t>A28</t>
  </si>
  <si>
    <t>IMV-MP</t>
  </si>
  <si>
    <t>ATI21231.1</t>
  </si>
  <si>
    <t>IMV MP/virus entry</t>
  </si>
  <si>
    <t>AWU47163.1</t>
  </si>
  <si>
    <t>APG58336.1</t>
  </si>
  <si>
    <t>envelope protein A28-like protein</t>
  </si>
  <si>
    <t>ADT91145.1</t>
  </si>
  <si>
    <t>MV entry-fusion complex protein</t>
  </si>
  <si>
    <t>ANS71207.1</t>
  </si>
  <si>
    <t>imv mp/virus entry</t>
  </si>
  <si>
    <t>AKR04251.1</t>
  </si>
  <si>
    <t>A28R protein</t>
  </si>
  <si>
    <t>CCD83300.1</t>
  </si>
  <si>
    <t>IMV surface protein</t>
  </si>
  <si>
    <t>ASK51326.1</t>
  </si>
  <si>
    <t>IMV membrane protein, entry</t>
  </si>
  <si>
    <t>AUD40300.1</t>
  </si>
  <si>
    <t>hypothetical protein fgpv_206</t>
  </si>
  <si>
    <t>AID46931.1</t>
  </si>
  <si>
    <t>hypothetical protein pepv_205</t>
  </si>
  <si>
    <t>AID46699.1</t>
  </si>
  <si>
    <t>hypothetical protein fep_197</t>
  </si>
  <si>
    <t>ALA62516.1</t>
  </si>
  <si>
    <t>AAR83612.1</t>
  </si>
  <si>
    <t>CNPV266 conserved hypothetical protein</t>
  </si>
  <si>
    <t>AAF44536.1</t>
  </si>
  <si>
    <t>ORF FPV192</t>
  </si>
  <si>
    <t>AAK85079.1</t>
  </si>
  <si>
    <t>LSDV118 hypothetical protein</t>
  </si>
  <si>
    <t>AST09339.1</t>
  </si>
  <si>
    <t>virion surface protein</t>
  </si>
  <si>
    <t>AEN03721.1</t>
  </si>
  <si>
    <t>ABI99282.1</t>
  </si>
  <si>
    <t>hypothetical protein DpV83gp127</t>
  </si>
  <si>
    <t>ABJ09040.1</t>
  </si>
  <si>
    <t>IMV membrane protein</t>
  </si>
  <si>
    <t>AAF15004.1</t>
  </si>
  <si>
    <t>m116L</t>
  </si>
  <si>
    <t>AFU77380.1</t>
  </si>
  <si>
    <t>AAF17999.1</t>
  </si>
  <si>
    <t>gp116L</t>
  </si>
  <si>
    <t>AAC55262.1</t>
  </si>
  <si>
    <t>MC134L</t>
  </si>
  <si>
    <t>AYN64714.1</t>
  </si>
  <si>
    <t>putative A28L protein</t>
  </si>
  <si>
    <t>AXN74944.1</t>
  </si>
  <si>
    <t>ABH08258.1</t>
  </si>
  <si>
    <t>HSPV149</t>
  </si>
  <si>
    <t>AAG37639.1</t>
  </si>
  <si>
    <t>CMP145L</t>
  </si>
  <si>
    <t>AAL73854.1</t>
  </si>
  <si>
    <t>AAM13605.1</t>
  </si>
  <si>
    <t>CPXV163 Protein</t>
  </si>
  <si>
    <t>AAM92435.1</t>
  </si>
  <si>
    <t>EVM130</t>
  </si>
  <si>
    <t>AFH54696.1</t>
  </si>
  <si>
    <t>IMV virus entry</t>
  </si>
  <si>
    <t>AAL40598.1</t>
  </si>
  <si>
    <t>A30L</t>
  </si>
  <si>
    <t>AAX09234.1</t>
  </si>
  <si>
    <t>MPXV-COP-133</t>
  </si>
  <si>
    <t>AKJ93777.1</t>
  </si>
  <si>
    <t>IMV membrane protein/virus entry</t>
  </si>
  <si>
    <t>AOP31626.1</t>
  </si>
  <si>
    <t>imv mp/virus entry protein</t>
  </si>
  <si>
    <t>ABD97718.1</t>
  </si>
  <si>
    <t>AAO89430.1</t>
  </si>
  <si>
    <t>unknown</t>
  </si>
  <si>
    <t>CAA49076.1</t>
  </si>
  <si>
    <t>A31L</t>
  </si>
  <si>
    <t>CAB54735.1</t>
  </si>
  <si>
    <t>A32L protein</t>
  </si>
  <si>
    <t>AOP31837.1</t>
  </si>
  <si>
    <t>ASC55543.1</t>
  </si>
  <si>
    <t>hypothetical protein SePPVgORF095</t>
  </si>
  <si>
    <t>AAR98462.1</t>
  </si>
  <si>
    <t>ORF105 hypothetical protein</t>
  </si>
  <si>
    <t>AAR98330.1</t>
  </si>
  <si>
    <t>ABA00622.1</t>
  </si>
  <si>
    <t>AIZ77356.1</t>
  </si>
  <si>
    <t>putative IMV surface protein</t>
  </si>
  <si>
    <t>ADC54007.1</t>
  </si>
  <si>
    <t>AAL69854.1</t>
  </si>
  <si>
    <t>SPV115 hypothetical protein</t>
  </si>
  <si>
    <t>CAC21356.1</t>
  </si>
  <si>
    <t>118L protein</t>
  </si>
  <si>
    <t>AAR07474.1</t>
  </si>
  <si>
    <t>118L</t>
  </si>
  <si>
    <t>AAC97666.1</t>
  </si>
  <si>
    <t>ORF MSV132 putative Amsacta moorei entomopoxvirus G4R homolog (vaccinia A28L), similar to SW:P29816</t>
  </si>
  <si>
    <t>BAO49431.1</t>
  </si>
  <si>
    <t>membrane protein</t>
  </si>
  <si>
    <t>CCU55473.1</t>
  </si>
  <si>
    <t>IMV MP/virus entry (Cop-A28L)</t>
  </si>
  <si>
    <t>AAG02892.1</t>
  </si>
  <si>
    <t>AMV186</t>
  </si>
  <si>
    <t>CCU55794.1</t>
  </si>
  <si>
    <t>CCU56096.1</t>
  </si>
  <si>
    <t>CCU56418.1</t>
  </si>
  <si>
    <t>NP_659690.1</t>
  </si>
  <si>
    <t>hypothetical protein SPPV_113</t>
  </si>
  <si>
    <t>YP_001293309.1</t>
  </si>
  <si>
    <t>hypothetical protein GTPV_gp113</t>
  </si>
  <si>
    <t>A3</t>
  </si>
  <si>
    <t>P4b</t>
  </si>
  <si>
    <t>ATI21203.1</t>
  </si>
  <si>
    <t>P4b precursor</t>
  </si>
  <si>
    <t>AWU47137.1</t>
  </si>
  <si>
    <t>APG58313.1</t>
  </si>
  <si>
    <t>major core protein 4b</t>
  </si>
  <si>
    <t>ADT91123.1</t>
  </si>
  <si>
    <t>core wall protein</t>
  </si>
  <si>
    <t>ANS71181.1</t>
  </si>
  <si>
    <t>p4b precursor</t>
  </si>
  <si>
    <t>AKR04225.1</t>
  </si>
  <si>
    <t>P4B major core protein</t>
  </si>
  <si>
    <t>CCD83274.1</t>
  </si>
  <si>
    <t>precursor of core protein 4b</t>
  </si>
  <si>
    <t>ASK51300.1</t>
  </si>
  <si>
    <t>AUD40274.1</t>
  </si>
  <si>
    <t>virion core protein P4b</t>
  </si>
  <si>
    <t>AID46905.1</t>
  </si>
  <si>
    <t>AID46674.1</t>
  </si>
  <si>
    <t>ALA62496.1</t>
  </si>
  <si>
    <t>AAR83586.1</t>
  </si>
  <si>
    <t>CNPV240 virion core protein P4b</t>
  </si>
  <si>
    <t>AAF44511.1</t>
  </si>
  <si>
    <t>ORF FPV167 Virion core protein P4b</t>
  </si>
  <si>
    <t>AAK85055.1</t>
  </si>
  <si>
    <t>LSDV094 putative virion core protein</t>
  </si>
  <si>
    <t>AST09313.1</t>
  </si>
  <si>
    <t>p4b precursor of essential virion protein 4b</t>
  </si>
  <si>
    <t>AEN03693.1</t>
  </si>
  <si>
    <t>ABI99258.1</t>
  </si>
  <si>
    <t>ABJ09015.1</t>
  </si>
  <si>
    <t>AAF14980.1</t>
  </si>
  <si>
    <t>m92L</t>
  </si>
  <si>
    <t>AFU77356.1</t>
  </si>
  <si>
    <t>AAF17976.1</t>
  </si>
  <si>
    <t>gp092L</t>
  </si>
  <si>
    <t>AAC55234.1</t>
  </si>
  <si>
    <t>MC106L</t>
  </si>
  <si>
    <t>AYN64688.1</t>
  </si>
  <si>
    <t>putative A3L protein</t>
  </si>
  <si>
    <t>AXN74917.1</t>
  </si>
  <si>
    <t>ABH08229.1</t>
  </si>
  <si>
    <t>HSPV123</t>
  </si>
  <si>
    <t>AAG37602.1</t>
  </si>
  <si>
    <t>CMP119L</t>
  </si>
  <si>
    <t>AAL73827.1</t>
  </si>
  <si>
    <t>putative virion core protein P4b</t>
  </si>
  <si>
    <t>AAM13576.1</t>
  </si>
  <si>
    <t>CPXV135 protein</t>
  </si>
  <si>
    <t>AAM92410.1</t>
  </si>
  <si>
    <t>EVM106</t>
  </si>
  <si>
    <t>AFH54669.1</t>
  </si>
  <si>
    <t>P4B precursor</t>
  </si>
  <si>
    <t>AAL40572.1</t>
  </si>
  <si>
    <t>A4L</t>
  </si>
  <si>
    <t>AAX09209.1</t>
  </si>
  <si>
    <t>MPXV-COP-108</t>
  </si>
  <si>
    <t>AKJ93751.1</t>
  </si>
  <si>
    <t>AOP31600.1</t>
  </si>
  <si>
    <t>ABD97690.1</t>
  </si>
  <si>
    <t>p4b precursor of core protein 4b</t>
  </si>
  <si>
    <t>AAO89401.1</t>
  </si>
  <si>
    <t>CAA49048.1</t>
  </si>
  <si>
    <t>A3L</t>
  </si>
  <si>
    <t>CAB54707.1</t>
  </si>
  <si>
    <t>A4L protein</t>
  </si>
  <si>
    <t>AOP31811.1</t>
  </si>
  <si>
    <t>ASC55562.1</t>
  </si>
  <si>
    <t>virion core protein P4b precursor-like protein</t>
  </si>
  <si>
    <t>AAR98436.1</t>
  </si>
  <si>
    <t>ORF079 virion core protein P4b precursor</t>
  </si>
  <si>
    <t>AAR98304.1</t>
  </si>
  <si>
    <t>ABA00596.1</t>
  </si>
  <si>
    <t>virion core, P4b precursor</t>
  </si>
  <si>
    <t>AIZ77330.1</t>
  </si>
  <si>
    <t>putative virion core protein P4b precursor</t>
  </si>
  <si>
    <t>ADC53981.1</t>
  </si>
  <si>
    <t>virion core protein P4b precursor</t>
  </si>
  <si>
    <t>AAL69830.1</t>
  </si>
  <si>
    <t>SPV091 putative virion core protein P4b</t>
  </si>
  <si>
    <t>CAC21332.1</t>
  </si>
  <si>
    <t>94L protein</t>
  </si>
  <si>
    <t>AAR07450.1</t>
  </si>
  <si>
    <t>94L</t>
  </si>
  <si>
    <t>AAC97680.1</t>
  </si>
  <si>
    <t>ORF MSV164 putative core protein, fowlpox virus P4b homolog (vaccinia A3L), similar to SW:P17355</t>
  </si>
  <si>
    <t>BAO49491.1</t>
  </si>
  <si>
    <t>putative core protein</t>
  </si>
  <si>
    <t>CCU55503.1</t>
  </si>
  <si>
    <t>AAG02853.1</t>
  </si>
  <si>
    <t>AMV147</t>
  </si>
  <si>
    <t>CCU55762.1</t>
  </si>
  <si>
    <t>CCU56064.1</t>
  </si>
  <si>
    <t>CCU56384.1</t>
  </si>
  <si>
    <t>NP_659666.1</t>
  </si>
  <si>
    <t>Virion core protein P4b</t>
  </si>
  <si>
    <t>YP_001293285.1</t>
  </si>
  <si>
    <t>hypothetical protein GTPV_gp090</t>
  </si>
  <si>
    <t>A32</t>
  </si>
  <si>
    <t>ATPase DNA packaging protein</t>
  </si>
  <si>
    <t>ATI21237.1</t>
  </si>
  <si>
    <t>ATPase/DNA packaging protein</t>
  </si>
  <si>
    <t>AWU47167.1</t>
  </si>
  <si>
    <t>APG58340.1</t>
  </si>
  <si>
    <t>protein A32</t>
  </si>
  <si>
    <t>ADT91147.1</t>
  </si>
  <si>
    <t>DNA packaging protein</t>
  </si>
  <si>
    <t>ANS71211.1</t>
  </si>
  <si>
    <t>AKR04192.1</t>
  </si>
  <si>
    <t>packaging ATPase A32</t>
  </si>
  <si>
    <t>CCD83304.1</t>
  </si>
  <si>
    <t>DNA packaging protein ATPase</t>
  </si>
  <si>
    <t>ASK51330.1</t>
  </si>
  <si>
    <t>AUD40306.1</t>
  </si>
  <si>
    <t>virion assembly protein</t>
  </si>
  <si>
    <t>AID46937.1</t>
  </si>
  <si>
    <t>AID46705.1</t>
  </si>
  <si>
    <t>ALA62519.1</t>
  </si>
  <si>
    <t>AAR83617.1</t>
  </si>
  <si>
    <t>CNPV271 DNA packaging protein</t>
  </si>
  <si>
    <t>AAF44541.1</t>
  </si>
  <si>
    <t>ORF FPV197 Virion assembly protein</t>
  </si>
  <si>
    <t>AAK85082.1</t>
  </si>
  <si>
    <t>LSDV121 putative DNA packaging protein</t>
  </si>
  <si>
    <t>AST09344.1</t>
  </si>
  <si>
    <t>virion protein</t>
  </si>
  <si>
    <t>AEN03726.1</t>
  </si>
  <si>
    <t>ABI99286.1</t>
  </si>
  <si>
    <t>ABJ09045.1</t>
  </si>
  <si>
    <t>ATPase</t>
  </si>
  <si>
    <t>AAF15008.1</t>
  </si>
  <si>
    <t>m120L</t>
  </si>
  <si>
    <t>AFU77384.1</t>
  </si>
  <si>
    <t>AAF18002.1</t>
  </si>
  <si>
    <t>gp120L</t>
  </si>
  <si>
    <t>AAC55268.1</t>
  </si>
  <si>
    <t>MC140L</t>
  </si>
  <si>
    <t>AYN64719.1</t>
  </si>
  <si>
    <t>putative A32L protein</t>
  </si>
  <si>
    <t>AXN74948.1</t>
  </si>
  <si>
    <t>ABH08262.1</t>
  </si>
  <si>
    <t>HSPV153</t>
  </si>
  <si>
    <t>AAG37644.1</t>
  </si>
  <si>
    <t>CMP149L</t>
  </si>
  <si>
    <t>AAL73858.1</t>
  </si>
  <si>
    <t>putative DNA packaging protein</t>
  </si>
  <si>
    <t>AAM13609.1</t>
  </si>
  <si>
    <t>CPXV167 protein</t>
  </si>
  <si>
    <t>AAM92439.1</t>
  </si>
  <si>
    <t>EVM134</t>
  </si>
  <si>
    <t>AFH54701.1</t>
  </si>
  <si>
    <t>DNA packaging and ATPase protein</t>
  </si>
  <si>
    <t>AAL40602.1</t>
  </si>
  <si>
    <t>A34L</t>
  </si>
  <si>
    <t>AAX09239.1</t>
  </si>
  <si>
    <t>MPXV-COP-138</t>
  </si>
  <si>
    <t>AKJ93782.1</t>
  </si>
  <si>
    <t>AOP31631.1</t>
  </si>
  <si>
    <t>ABD97722.1</t>
  </si>
  <si>
    <t>AAO89434.1</t>
  </si>
  <si>
    <t>putative ATPase</t>
  </si>
  <si>
    <t>CAA49080.1</t>
  </si>
  <si>
    <t>A35L</t>
  </si>
  <si>
    <t>CAB54739.1</t>
  </si>
  <si>
    <t>A36L protein</t>
  </si>
  <si>
    <t>AOP31842.1</t>
  </si>
  <si>
    <t>ASC55541.1</t>
  </si>
  <si>
    <t>putative DNA packaging protein-like protein</t>
  </si>
  <si>
    <t>AAR98465.1</t>
  </si>
  <si>
    <t>ORF108 DNA packaging protein/ATPase</t>
  </si>
  <si>
    <t>AAR98333.1</t>
  </si>
  <si>
    <t>ABA00626.1</t>
  </si>
  <si>
    <t>ATPase, DNA packaging</t>
  </si>
  <si>
    <t>AIZ77360.1</t>
  </si>
  <si>
    <t>ADC54011.1</t>
  </si>
  <si>
    <t>DNA packaging protein/ATPase</t>
  </si>
  <si>
    <t>AAL69857.1</t>
  </si>
  <si>
    <t>SPV118 DNA packaging protein</t>
  </si>
  <si>
    <t>CAC21359.1</t>
  </si>
  <si>
    <t>121L protin</t>
  </si>
  <si>
    <t>AAR07478.1</t>
  </si>
  <si>
    <t>121L</t>
  </si>
  <si>
    <t>AAC97775.1</t>
  </si>
  <si>
    <t>ORF MSV171 ATP/GTP binding motif homolog (vaccinia A32L), similar to GB:D11079</t>
  </si>
  <si>
    <t>BAO49495.1</t>
  </si>
  <si>
    <t>putative ATP/GTP-binding protein</t>
  </si>
  <si>
    <t>CCU55501.1</t>
  </si>
  <si>
    <t>AAG02856.1</t>
  </si>
  <si>
    <t>AMV150</t>
  </si>
  <si>
    <t>CCU55764.1</t>
  </si>
  <si>
    <t>CCU56066.1</t>
  </si>
  <si>
    <t>CCU56388.1</t>
  </si>
  <si>
    <t>NP_659693.1</t>
  </si>
  <si>
    <t>DNA packaging, virus assembly</t>
  </si>
  <si>
    <t>YP_001293313.1</t>
  </si>
  <si>
    <t>hypothetical protein GTPV_gp116</t>
  </si>
  <si>
    <t>A7</t>
  </si>
  <si>
    <t>VETF-L</t>
  </si>
  <si>
    <t>ATI21207.1</t>
  </si>
  <si>
    <t>AWU47141.1</t>
  </si>
  <si>
    <t>VETF-large subuni</t>
  </si>
  <si>
    <t>APG58317.1</t>
  </si>
  <si>
    <t>early transcription factor 82 kDa subuni</t>
  </si>
  <si>
    <t>ADT91126.1</t>
  </si>
  <si>
    <t>viral early transcription factor large subuni</t>
  </si>
  <si>
    <t>ANS71185.1</t>
  </si>
  <si>
    <t>large subunit viral early transcription factor</t>
  </si>
  <si>
    <t>AKR04229.1</t>
  </si>
  <si>
    <t>early transcription factor (VETF) large subuni</t>
  </si>
  <si>
    <t>CCD83278.1</t>
  </si>
  <si>
    <t>early transcription factor</t>
  </si>
  <si>
    <t>ASK51304.1</t>
  </si>
  <si>
    <t>Early transcription factor large subunit (VETF-L)</t>
  </si>
  <si>
    <t>AUD40278.1</t>
  </si>
  <si>
    <t>early transcription factor large subuni</t>
  </si>
  <si>
    <t>AID46909.1</t>
  </si>
  <si>
    <t>early transcription factor large subunit VETF-L</t>
  </si>
  <si>
    <t>AID46678.1</t>
  </si>
  <si>
    <t>ALA62500.1</t>
  </si>
  <si>
    <t>AAR83590.1</t>
  </si>
  <si>
    <t>CNPV244 early transcription factor large subunit VETFL</t>
  </si>
  <si>
    <t>AAF44515.1</t>
  </si>
  <si>
    <t>ORF FPV171 Early transcription factor large subunit, VETF-L</t>
  </si>
  <si>
    <t>AAK85059.1</t>
  </si>
  <si>
    <t>LSDV098 putative early transcription factor large subuni</t>
  </si>
  <si>
    <t>AST09317.1</t>
  </si>
  <si>
    <t>early gene transcription factor</t>
  </si>
  <si>
    <t>AEN03697.1</t>
  </si>
  <si>
    <t>VETFL early gene transcription factor 82kDa large subuni</t>
  </si>
  <si>
    <t>ABI99262.1</t>
  </si>
  <si>
    <t>early transcription factor VETFL</t>
  </si>
  <si>
    <t>ABJ09019.1</t>
  </si>
  <si>
    <t>AAF14984.1</t>
  </si>
  <si>
    <t>m96L</t>
  </si>
  <si>
    <t>AFU77360.1</t>
  </si>
  <si>
    <t>AAF17979.1</t>
  </si>
  <si>
    <t>gp096L</t>
  </si>
  <si>
    <t>AAC55238.1</t>
  </si>
  <si>
    <t>MC110L</t>
  </si>
  <si>
    <t>AYN64692.1</t>
  </si>
  <si>
    <t>putative A7L protein</t>
  </si>
  <si>
    <t>AXN74921.1</t>
  </si>
  <si>
    <t>ABH08233.1</t>
  </si>
  <si>
    <t>HSPV127</t>
  </si>
  <si>
    <t>AAG37608.1</t>
  </si>
  <si>
    <t>CMP123L</t>
  </si>
  <si>
    <t>AAL73831.1</t>
  </si>
  <si>
    <t>putative early transcription factor VETFL</t>
  </si>
  <si>
    <t>AAM13580.1</t>
  </si>
  <si>
    <t>CPXV139 protein</t>
  </si>
  <si>
    <t>AAM92414.1</t>
  </si>
  <si>
    <t>EVM110</t>
  </si>
  <si>
    <t>AFH54673.1</t>
  </si>
  <si>
    <t>AAL40576.1</t>
  </si>
  <si>
    <t>A8L</t>
  </si>
  <si>
    <t>AAX09213.1</t>
  </si>
  <si>
    <t>MPXV-COP-112</t>
  </si>
  <si>
    <t>AKJ93755.1</t>
  </si>
  <si>
    <t>AOP31604.1</t>
  </si>
  <si>
    <t>vetf-l</t>
  </si>
  <si>
    <t>ABD97694.1</t>
  </si>
  <si>
    <t>82kDa large subunit of early gene transcription factor VETF</t>
  </si>
  <si>
    <t>AAO89405.1</t>
  </si>
  <si>
    <t>CAA49052.1</t>
  </si>
  <si>
    <t>A7L</t>
  </si>
  <si>
    <t>CAB54711.1</t>
  </si>
  <si>
    <t>A8L protein</t>
  </si>
  <si>
    <t>AOP31815.1</t>
  </si>
  <si>
    <t>ASC55558.1</t>
  </si>
  <si>
    <t>early transcription factor VETFL-like protein</t>
  </si>
  <si>
    <t>AAR98440.1</t>
  </si>
  <si>
    <t>ORF083 early transcription factor VETFL</t>
  </si>
  <si>
    <t>AAR98308.1</t>
  </si>
  <si>
    <t>ABA00600.1</t>
  </si>
  <si>
    <t>AIZ77334.1</t>
  </si>
  <si>
    <t>ADC53985.1</t>
  </si>
  <si>
    <t>AAL69834.1</t>
  </si>
  <si>
    <t>SPV095 putative early transcription factor VETFL</t>
  </si>
  <si>
    <t>CAC21336.1</t>
  </si>
  <si>
    <t>98L protein</t>
  </si>
  <si>
    <t>AAR07454.1</t>
  </si>
  <si>
    <t>98L</t>
  </si>
  <si>
    <t>AAC97622.1</t>
  </si>
  <si>
    <t>ORF MSV063 putative early transcription factor large subunit homolog VETF-L (vaccinia A7L), similar to GB:X76265</t>
  </si>
  <si>
    <t>BAO49547.1</t>
  </si>
  <si>
    <t>putative early transcription factor large subuni</t>
  </si>
  <si>
    <t>CCU55427.1</t>
  </si>
  <si>
    <t>VETF-L early transcription factor large</t>
  </si>
  <si>
    <t>AAG02811.1</t>
  </si>
  <si>
    <t>AMV105</t>
  </si>
  <si>
    <t>CCU55727.1</t>
  </si>
  <si>
    <t>CCU56029.1</t>
  </si>
  <si>
    <t>CCU56319.1</t>
  </si>
  <si>
    <t>NP_659670.1</t>
  </si>
  <si>
    <t>Early transcrition factor VETFl</t>
  </si>
  <si>
    <t>YP_001293289.1</t>
  </si>
  <si>
    <t>hypothetical protein GTPV_gp094</t>
  </si>
  <si>
    <t>D1</t>
  </si>
  <si>
    <t>large capping enzyme</t>
  </si>
  <si>
    <t>ATI21188.1</t>
  </si>
  <si>
    <t>mRNA capping enzyme large subuni</t>
  </si>
  <si>
    <t>AWU47122.1</t>
  </si>
  <si>
    <t>mRNA capping enzyme</t>
  </si>
  <si>
    <t>APG58298.1</t>
  </si>
  <si>
    <t>mRNA-capping enzyme catalytic subuni</t>
  </si>
  <si>
    <t>ADT91109.1</t>
  </si>
  <si>
    <t>capping enzyme large subuni</t>
  </si>
  <si>
    <t>ANS71166.1</t>
  </si>
  <si>
    <t>large subunit mRNA capping enzyme</t>
  </si>
  <si>
    <t>AKR04297.1</t>
  </si>
  <si>
    <t>m-RNA capping enzyme large subuni</t>
  </si>
  <si>
    <t>CCD83255.1</t>
  </si>
  <si>
    <t>large subunit of mRNA capping enzyme,transcription termination factor VTF</t>
  </si>
  <si>
    <t>ASK51284.1</t>
  </si>
  <si>
    <t>AUD40250.1</t>
  </si>
  <si>
    <t>AID46882.1</t>
  </si>
  <si>
    <t>mRNA capping enzyme, large subuni</t>
  </si>
  <si>
    <t>AID46653.1</t>
  </si>
  <si>
    <t>ALA62484.1</t>
  </si>
  <si>
    <t>mRNA-capping enzyme large subuni</t>
  </si>
  <si>
    <t>AAR83538.1</t>
  </si>
  <si>
    <t>CNPV192 mRNA capping enzyme large subuni</t>
  </si>
  <si>
    <t>AAF44490.1</t>
  </si>
  <si>
    <t>ORF FPV146 mRNA Capping enzyme, large subuni</t>
  </si>
  <si>
    <t>AAK85040.1</t>
  </si>
  <si>
    <t>LSDV079 mRNA capping enzyme large subuni</t>
  </si>
  <si>
    <t>AST09297.1</t>
  </si>
  <si>
    <t>AEN03675.1</t>
  </si>
  <si>
    <t>large subunit of mRNA capping enzyme</t>
  </si>
  <si>
    <t>ABI99243.1</t>
  </si>
  <si>
    <t>MRNA capping enzyme large subuni</t>
  </si>
  <si>
    <t>ABJ09000.1</t>
  </si>
  <si>
    <t>AAF14964.1</t>
  </si>
  <si>
    <t>m76R</t>
  </si>
  <si>
    <t>AFU77340.1</t>
  </si>
  <si>
    <t>AAF17958.1</t>
  </si>
  <si>
    <t>gp076R</t>
  </si>
  <si>
    <t>AAC55218.1</t>
  </si>
  <si>
    <t>MC090R</t>
  </si>
  <si>
    <t>AYN64672.1</t>
  </si>
  <si>
    <t>putative D1R protein</t>
  </si>
  <si>
    <t>AXN74900.1</t>
  </si>
  <si>
    <t>ABH08213.1</t>
  </si>
  <si>
    <t>HSPV107</t>
  </si>
  <si>
    <t>AAG37576.1</t>
  </si>
  <si>
    <t>CMP103R</t>
  </si>
  <si>
    <t>AAL73811.1</t>
  </si>
  <si>
    <t>AAM13560.1</t>
  </si>
  <si>
    <t>CPXV118 protein</t>
  </si>
  <si>
    <t>AAM92394.1</t>
  </si>
  <si>
    <t>EVM090</t>
  </si>
  <si>
    <t>AFH54653.1</t>
  </si>
  <si>
    <t>AAL40556.1</t>
  </si>
  <si>
    <t>E1R</t>
  </si>
  <si>
    <t>AAX09193.1</t>
  </si>
  <si>
    <t>MPXV-COP-092</t>
  </si>
  <si>
    <t>AKJ93735.1</t>
  </si>
  <si>
    <t>AOP31584.1</t>
  </si>
  <si>
    <t>ABD97674.1</t>
  </si>
  <si>
    <t>AAO89385.1</t>
  </si>
  <si>
    <t>CAA49032.1</t>
  </si>
  <si>
    <t>F1R</t>
  </si>
  <si>
    <t>CAB54691.1</t>
  </si>
  <si>
    <t>F1R protein</t>
  </si>
  <si>
    <t>AOP31795.1</t>
  </si>
  <si>
    <t>ASC55576.1</t>
  </si>
  <si>
    <t>putative mRNA capping enzyme large subunit-like protein</t>
  </si>
  <si>
    <t>AAR98421.1</t>
  </si>
  <si>
    <t>ORF064 mRNA capping enzyme large subuni</t>
  </si>
  <si>
    <t>AAR98289.1</t>
  </si>
  <si>
    <t>ABA00581.1</t>
  </si>
  <si>
    <t>mRNA capping enzyme subuni</t>
  </si>
  <si>
    <t>AIZ77315.1</t>
  </si>
  <si>
    <t>putative mRNA capping enzyme large subuni</t>
  </si>
  <si>
    <t>ADC53965.1</t>
  </si>
  <si>
    <t>AAL69815.1</t>
  </si>
  <si>
    <t>SPV076 mRNA capping enzyme large subuni</t>
  </si>
  <si>
    <t>CAC21317.1</t>
  </si>
  <si>
    <t>79R protein</t>
  </si>
  <si>
    <t>AAR07435.1</t>
  </si>
  <si>
    <t>79R</t>
  </si>
  <si>
    <t>AAC97815.1</t>
  </si>
  <si>
    <t>ORF MSV067 putative mRNA capping enzyme large subunit homolog (vaccinia D1R), similar to SW:P20979</t>
  </si>
  <si>
    <t>BAO49500.1</t>
  </si>
  <si>
    <t>CCU55511.1</t>
  </si>
  <si>
    <t>AAG02841.1</t>
  </si>
  <si>
    <t>AMV135</t>
  </si>
  <si>
    <t>CCU55754.1</t>
  </si>
  <si>
    <t>CCU56056.1</t>
  </si>
  <si>
    <t>CCU56376.1</t>
  </si>
  <si>
    <t>NP_659651.1</t>
  </si>
  <si>
    <t>YP_001293270.1</t>
  </si>
  <si>
    <t>hypothetical protein GTPV_gp075</t>
  </si>
  <si>
    <t>D11</t>
  </si>
  <si>
    <t>NPH-I</t>
  </si>
  <si>
    <t>ATI21197.1</t>
  </si>
  <si>
    <t>ATPase NPH1</t>
  </si>
  <si>
    <t>AWU47131.1</t>
  </si>
  <si>
    <t>APG58306.1</t>
  </si>
  <si>
    <t>nucleoside triphosphatase I</t>
  </si>
  <si>
    <t>ADT91117.1</t>
  </si>
  <si>
    <t>ANS71175.1</t>
  </si>
  <si>
    <t>AKR04262.1</t>
  </si>
  <si>
    <t>DEAD-like helicases superfamily D11</t>
  </si>
  <si>
    <t>CCD83265.1</t>
  </si>
  <si>
    <t>ATPase/ transcription termination factor</t>
  </si>
  <si>
    <t>ASK51294.1</t>
  </si>
  <si>
    <t>ATPase, NPH1</t>
  </si>
  <si>
    <t>AUD40154.1</t>
  </si>
  <si>
    <t>NPH-1 transcription termination factor</t>
  </si>
  <si>
    <t>AID46794.1</t>
  </si>
  <si>
    <t>AID46565.1</t>
  </si>
  <si>
    <t>ALA62404.1</t>
  </si>
  <si>
    <t>transcription termination factor NPH-I</t>
  </si>
  <si>
    <t>AAR83420.1</t>
  </si>
  <si>
    <t>CNPV074 NPH-I, transcription termination factor</t>
  </si>
  <si>
    <t>AAF44396.1</t>
  </si>
  <si>
    <t>ORF FPV052 NPH-I, trancription termination factor</t>
  </si>
  <si>
    <t>YP_001293279.1</t>
  </si>
  <si>
    <t>hypothetical protein GTPV_gp084</t>
  </si>
  <si>
    <t>AAK85049.1</t>
  </si>
  <si>
    <t>LSDV088 putative transcription termination factor</t>
  </si>
  <si>
    <t>NP_659660.1</t>
  </si>
  <si>
    <t>NPH-I, transcription termination factor</t>
  </si>
  <si>
    <t>AST09307.1</t>
  </si>
  <si>
    <t>ATPase nucleoside triphosphate phosphohydrolase-I NPH-I</t>
  </si>
  <si>
    <t>AEN03686.1</t>
  </si>
  <si>
    <t>ABI99252.1</t>
  </si>
  <si>
    <t>ABJ09009.1</t>
  </si>
  <si>
    <t>NPH-1</t>
  </si>
  <si>
    <t>AAF14974.1</t>
  </si>
  <si>
    <t>m86L</t>
  </si>
  <si>
    <t>AFU77350.1</t>
  </si>
  <si>
    <t>AAF17970.1</t>
  </si>
  <si>
    <t>gp086L</t>
  </si>
  <si>
    <t>AAC55228.1</t>
  </si>
  <si>
    <t>MC100R</t>
  </si>
  <si>
    <t>AYN64682.1</t>
  </si>
  <si>
    <t>putative D11L protein</t>
  </si>
  <si>
    <t>AXN74910.1</t>
  </si>
  <si>
    <t>helicase</t>
  </si>
  <si>
    <t>ABH08223.1</t>
  </si>
  <si>
    <t>HSPV117</t>
  </si>
  <si>
    <t>AAL73821.1</t>
  </si>
  <si>
    <t>putative NPH-I transcription termination factor</t>
  </si>
  <si>
    <t>AAG37591.1</t>
  </si>
  <si>
    <t>CMP113L</t>
  </si>
  <si>
    <t>AAM13570.1</t>
  </si>
  <si>
    <t>CPXV128 protein</t>
  </si>
  <si>
    <t>AAM92404.1</t>
  </si>
  <si>
    <t>EVM100</t>
  </si>
  <si>
    <t>AFH54663.1</t>
  </si>
  <si>
    <t>helicase NPH-I</t>
  </si>
  <si>
    <t>AAL40566.1</t>
  </si>
  <si>
    <t>E11L</t>
  </si>
  <si>
    <t>AAX09203.1</t>
  </si>
  <si>
    <t>MPXV-COP-102</t>
  </si>
  <si>
    <t>AKJ93745.1</t>
  </si>
  <si>
    <t>nucleoside triphosphate phosphohydrolase-I</t>
  </si>
  <si>
    <t>AOP31594.1</t>
  </si>
  <si>
    <t>ABD97684.1</t>
  </si>
  <si>
    <t>AAO89395.1</t>
  </si>
  <si>
    <t>ATPase, nucleoside triphosphate phosphohydrolase-I, NPH-I</t>
  </si>
  <si>
    <t>CAA49042.1</t>
  </si>
  <si>
    <t>N1L</t>
  </si>
  <si>
    <t>CAB54701.1</t>
  </si>
  <si>
    <t>O1L protein</t>
  </si>
  <si>
    <t>AOP31805.1</t>
  </si>
  <si>
    <t>ASC55568.1</t>
  </si>
  <si>
    <t>transcription termination factor NPH-I-like protein</t>
  </si>
  <si>
    <t>AAR98429.1</t>
  </si>
  <si>
    <t>AAR98297.1</t>
  </si>
  <si>
    <t>ORF072 transcription termination factor NPH-I</t>
  </si>
  <si>
    <t>ABA00589.1</t>
  </si>
  <si>
    <t>AIZ77323.1</t>
  </si>
  <si>
    <t>putative transcription termination factor NPH-I</t>
  </si>
  <si>
    <t>ADC53973.1</t>
  </si>
  <si>
    <t>AAL69824.1</t>
  </si>
  <si>
    <t>SPV085 putative NPH-I transcription termination factor</t>
  </si>
  <si>
    <t>CAC21326.1</t>
  </si>
  <si>
    <t>88L protein</t>
  </si>
  <si>
    <t>AAR07444.1</t>
  </si>
  <si>
    <t>88L</t>
  </si>
  <si>
    <t>AAC97824.1</t>
  </si>
  <si>
    <t>ORF MSV053 putative nucleoside triphosphate phosphohydrolase, Choristoneura biennis entomopox virus NPH-1 (vaccinia D11L) homolog, similar to SW:P24486</t>
  </si>
  <si>
    <t>BAO49434.1</t>
  </si>
  <si>
    <t>nucleoside triphosphate phosphohydrolase I</t>
  </si>
  <si>
    <t>CCU55471.1</t>
  </si>
  <si>
    <t>AAG02898.1</t>
  </si>
  <si>
    <t>AMV192</t>
  </si>
  <si>
    <t>CCU55796.1</t>
  </si>
  <si>
    <t>CCU56098.1</t>
  </si>
  <si>
    <t>CCU56420.1</t>
  </si>
  <si>
    <t>D12</t>
  </si>
  <si>
    <t>small capping enzyme</t>
  </si>
  <si>
    <t>ATI21198.1</t>
  </si>
  <si>
    <t>mRNA capping enzyme small subuni</t>
  </si>
  <si>
    <t>AWU47132.1</t>
  </si>
  <si>
    <t>APG58308.1</t>
  </si>
  <si>
    <t>mRNA-capping enzyme small subuni</t>
  </si>
  <si>
    <t>ADT91118.1</t>
  </si>
  <si>
    <t>capping enzyme small subuni</t>
  </si>
  <si>
    <t>ANS71176.1</t>
  </si>
  <si>
    <t>small subunit mRNA capping enzyme</t>
  </si>
  <si>
    <t>AKR04264.1</t>
  </si>
  <si>
    <t>mRNA capping enzyme, small subuni</t>
  </si>
  <si>
    <t>CCD83269.1</t>
  </si>
  <si>
    <t>mRNA capping small sub-uni</t>
  </si>
  <si>
    <t>ASK51295.1</t>
  </si>
  <si>
    <t>AUD40153.1</t>
  </si>
  <si>
    <t>AID46793.1</t>
  </si>
  <si>
    <t>AID46564.1</t>
  </si>
  <si>
    <t>ALA62403.1</t>
  </si>
  <si>
    <t>AAR83417.1</t>
  </si>
  <si>
    <t>CNPV071 mRNA capping enzyme small subuni</t>
  </si>
  <si>
    <t>AAF44395.1</t>
  </si>
  <si>
    <t>ORF FPV051 mRNA capping enzyme, small subuni</t>
  </si>
  <si>
    <t>YP_001293280.1</t>
  </si>
  <si>
    <t>hypothetical protein GTPV_gp085</t>
  </si>
  <si>
    <t>AAK85050.1</t>
  </si>
  <si>
    <t>LSDV089 mRNA capping enzyme small subuni</t>
  </si>
  <si>
    <t>NP_659661.1</t>
  </si>
  <si>
    <t>AST09308.1</t>
  </si>
  <si>
    <t>AEN03688.1</t>
  </si>
  <si>
    <t>small subunit of mRNA capping enzyme</t>
  </si>
  <si>
    <t>ABI99253.1</t>
  </si>
  <si>
    <t>MRNA capping enzyme small subuni</t>
  </si>
  <si>
    <t>ABJ09010.1</t>
  </si>
  <si>
    <t>AAF14975.1</t>
  </si>
  <si>
    <t>m87L</t>
  </si>
  <si>
    <t>AFU77351.1</t>
  </si>
  <si>
    <t>AAF17971.1</t>
  </si>
  <si>
    <t>gp087L</t>
  </si>
  <si>
    <t>AAC55229.1</t>
  </si>
  <si>
    <t>MC101L</t>
  </si>
  <si>
    <t>AYN64683.1</t>
  </si>
  <si>
    <t>putative D12L protein</t>
  </si>
  <si>
    <t>AXN74911.1</t>
  </si>
  <si>
    <t>ABH08224.1</t>
  </si>
  <si>
    <t>HSPV118</t>
  </si>
  <si>
    <t>AAL73822.1</t>
  </si>
  <si>
    <t>AAG37595.1</t>
  </si>
  <si>
    <t>CMP114L</t>
  </si>
  <si>
    <t>AAM13571.1</t>
  </si>
  <si>
    <t>CPXV129 protein</t>
  </si>
  <si>
    <t>AAM92405.1</t>
  </si>
  <si>
    <t>EVM101</t>
  </si>
  <si>
    <t>AFH54664.1</t>
  </si>
  <si>
    <t>AAL40567.1</t>
  </si>
  <si>
    <t>E12L</t>
  </si>
  <si>
    <t>AAX09204.1</t>
  </si>
  <si>
    <t>MPXV-COP-103</t>
  </si>
  <si>
    <t>AKJ93746.1</t>
  </si>
  <si>
    <t>mRNA capping enzyme protein small subuni</t>
  </si>
  <si>
    <t>AOP31595.1</t>
  </si>
  <si>
    <t>ABD97685.1</t>
  </si>
  <si>
    <t>AAO89396.1</t>
  </si>
  <si>
    <t>CAA49043.1</t>
  </si>
  <si>
    <t>N2L</t>
  </si>
  <si>
    <t>CAB54702.1</t>
  </si>
  <si>
    <t>O2L protein</t>
  </si>
  <si>
    <t>AOP31806.1</t>
  </si>
  <si>
    <t>ASC55566.1</t>
  </si>
  <si>
    <t>mRNA capping enzyme small subunit-like protein</t>
  </si>
  <si>
    <t>AAR98431.1</t>
  </si>
  <si>
    <t>ORF074 mRNA capping enzyme small subuni</t>
  </si>
  <si>
    <t>AAR98299.1</t>
  </si>
  <si>
    <t>ABA00591.1</t>
  </si>
  <si>
    <t>AIZ77325.1</t>
  </si>
  <si>
    <t>putative mRNA capping enzyme small subuni</t>
  </si>
  <si>
    <t>ADC53976.1</t>
  </si>
  <si>
    <t>AAL69825.1</t>
  </si>
  <si>
    <t>SPV086 mRNA capping enzyme small subuni</t>
  </si>
  <si>
    <t>CAC21327.1</t>
  </si>
  <si>
    <t>89L protein</t>
  </si>
  <si>
    <t>AAR07445.1</t>
  </si>
  <si>
    <t>89L</t>
  </si>
  <si>
    <t>AAC97664.1</t>
  </si>
  <si>
    <t>ORF MSV124 putative mRNA capping enzyme small subunit homolog (vaccinia D12L), similar to PIR:S42252</t>
  </si>
  <si>
    <t>BAO49409.1</t>
  </si>
  <si>
    <t>CCU55411.1</t>
  </si>
  <si>
    <t>AAG02799.1</t>
  </si>
  <si>
    <t>AMV093</t>
  </si>
  <si>
    <t>CCU55717.1</t>
  </si>
  <si>
    <t>CCU56019.1</t>
  </si>
  <si>
    <t>CCU56313.1</t>
  </si>
  <si>
    <t>D5</t>
  </si>
  <si>
    <t>NTPase</t>
  </si>
  <si>
    <t>ATI21192.1</t>
  </si>
  <si>
    <t>NTPase DNA primase</t>
  </si>
  <si>
    <t>AWU47126.1</t>
  </si>
  <si>
    <t>APG58301.1</t>
  </si>
  <si>
    <t>primase D5</t>
  </si>
  <si>
    <t>ADT91113.1</t>
  </si>
  <si>
    <t>DNA-independent NTPase</t>
  </si>
  <si>
    <t>ANS71170.1</t>
  </si>
  <si>
    <t>ntpase, DNA primase</t>
  </si>
  <si>
    <t>AKR04215.1</t>
  </si>
  <si>
    <t>D5-like helicase-primase</t>
  </si>
  <si>
    <t>CCD83259.1</t>
  </si>
  <si>
    <t>ASK51288.1</t>
  </si>
  <si>
    <t>NTPase, DNA primase</t>
  </si>
  <si>
    <t>AUD40160.1</t>
  </si>
  <si>
    <t>AID46800.1</t>
  </si>
  <si>
    <t>AID46571.1</t>
  </si>
  <si>
    <t>ALA62409.1</t>
  </si>
  <si>
    <t>DNA replication NTPase</t>
  </si>
  <si>
    <t>AAR83428.1</t>
  </si>
  <si>
    <t>CNPV082 NTPase, DNA replication</t>
  </si>
  <si>
    <t>AAF44402.1</t>
  </si>
  <si>
    <t>ORF FPV058 NTPase, DNA replication</t>
  </si>
  <si>
    <t>AAK85044.1</t>
  </si>
  <si>
    <t>LSDV083 putative NTPase</t>
  </si>
  <si>
    <t>AST09301.1</t>
  </si>
  <si>
    <t>AEN03679.1</t>
  </si>
  <si>
    <t>ABI99247.1</t>
  </si>
  <si>
    <t>ABJ09004.1</t>
  </si>
  <si>
    <t>AAF14968.1</t>
  </si>
  <si>
    <t>m80R</t>
  </si>
  <si>
    <t>AFU77344.1</t>
  </si>
  <si>
    <t>AAF17964.1</t>
  </si>
  <si>
    <t>gp080R</t>
  </si>
  <si>
    <t>AAC55222.1</t>
  </si>
  <si>
    <t>MC094R</t>
  </si>
  <si>
    <t>AYN64676.1</t>
  </si>
  <si>
    <t>putative D5R protein</t>
  </si>
  <si>
    <t>AXN74904.1</t>
  </si>
  <si>
    <t>ABH08217.1</t>
  </si>
  <si>
    <t>HSPV111</t>
  </si>
  <si>
    <t>AAG37582.1</t>
  </si>
  <si>
    <t>CMP107R</t>
  </si>
  <si>
    <t>AAL73815.1</t>
  </si>
  <si>
    <t>putative NTPase</t>
  </si>
  <si>
    <t>AAM13564.1</t>
  </si>
  <si>
    <t>CPXV122 protein</t>
  </si>
  <si>
    <t>AAM92398.1</t>
  </si>
  <si>
    <t>EVM094</t>
  </si>
  <si>
    <t>AFH54657.1</t>
  </si>
  <si>
    <t>ntpase and DNA replication protein</t>
  </si>
  <si>
    <t>AAL40560.1</t>
  </si>
  <si>
    <t>E5R</t>
  </si>
  <si>
    <t>AAX09197.1</t>
  </si>
  <si>
    <t>MPXV-COP-096</t>
  </si>
  <si>
    <t>AKJ93739.1</t>
  </si>
  <si>
    <t>AOP31588.1</t>
  </si>
  <si>
    <t>ABD97678.1</t>
  </si>
  <si>
    <t>AAO89389.1</t>
  </si>
  <si>
    <t>NTPase interacts with A20R</t>
  </si>
  <si>
    <t>CAA49036.1</t>
  </si>
  <si>
    <t>F5R</t>
  </si>
  <si>
    <t>CAB54695.1</t>
  </si>
  <si>
    <t>F5R protein</t>
  </si>
  <si>
    <t>AOP31799.1</t>
  </si>
  <si>
    <t>ASC55572.1</t>
  </si>
  <si>
    <t>putative NTPase-like protein</t>
  </si>
  <si>
    <t>AAR98425.1</t>
  </si>
  <si>
    <t>ORF068 NTPase</t>
  </si>
  <si>
    <t>AAR98293.1</t>
  </si>
  <si>
    <t>ABA00585.1</t>
  </si>
  <si>
    <t>AIZ77319.1</t>
  </si>
  <si>
    <t>ADC53969.1</t>
  </si>
  <si>
    <t>AAL69819.1</t>
  </si>
  <si>
    <t>SPV080 putative NTPase</t>
  </si>
  <si>
    <t>CAC21321.1</t>
  </si>
  <si>
    <t>83R protein</t>
  </si>
  <si>
    <t>AAR07439.1</t>
  </si>
  <si>
    <t>83R</t>
  </si>
  <si>
    <t>AAC97809.1</t>
  </si>
  <si>
    <t>ORF MSV089 Putative NTPase, Rabbit fibroma virus C5 (vaccinia D5R) homolog, similar to PIR:G41700</t>
  </si>
  <si>
    <t>BAO49524.1</t>
  </si>
  <si>
    <t>CCU55406.1</t>
  </si>
  <si>
    <t>AAG02793.1</t>
  </si>
  <si>
    <t>AMV087</t>
  </si>
  <si>
    <t>CCU55712.1</t>
  </si>
  <si>
    <t>CCU56014.1</t>
  </si>
  <si>
    <t>CCU56308.1</t>
  </si>
  <si>
    <t>NP_659655.1</t>
  </si>
  <si>
    <t>NTPase; DNA replication</t>
  </si>
  <si>
    <t>YP_001293274.1</t>
  </si>
  <si>
    <t>hypothetical protein GTPV_gp079</t>
  </si>
  <si>
    <t>D6</t>
  </si>
  <si>
    <t>VETF-S</t>
  </si>
  <si>
    <t>ATI21193.1</t>
  </si>
  <si>
    <t>morphogenesis VETF-s</t>
  </si>
  <si>
    <t>AWU47127.1</t>
  </si>
  <si>
    <t>VETF-small subuni</t>
  </si>
  <si>
    <t>APG58302.1</t>
  </si>
  <si>
    <t>early transcription factor 70 kDa subuni</t>
  </si>
  <si>
    <t>ADT91114.1</t>
  </si>
  <si>
    <t>viral early transcription factor small subuni</t>
  </si>
  <si>
    <t>ANS71171.1</t>
  </si>
  <si>
    <t>small subunit viral early transcription factor</t>
  </si>
  <si>
    <t>AKR04214.1</t>
  </si>
  <si>
    <t>DEAD/SNF2-like helicase</t>
  </si>
  <si>
    <t>CCD83260.1</t>
  </si>
  <si>
    <t>ASK51289.1</t>
  </si>
  <si>
    <t>Early transcription factor small subunit (VETF-s)</t>
  </si>
  <si>
    <t>AUD40159.1</t>
  </si>
  <si>
    <t>early transcription factor small subuni</t>
  </si>
  <si>
    <t>AID46799.1</t>
  </si>
  <si>
    <t>early transcription factor VETF</t>
  </si>
  <si>
    <t>AID46570.1</t>
  </si>
  <si>
    <t>ALA62408.1</t>
  </si>
  <si>
    <t>early transcription factor VETF-S</t>
  </si>
  <si>
    <t>AAR83426.1</t>
  </si>
  <si>
    <t>CNPV080 early transcription factor small subunit VETFS</t>
  </si>
  <si>
    <t>AAF44401.1</t>
  </si>
  <si>
    <t>ORF FPV057 Early transcription factor small subuni</t>
  </si>
  <si>
    <t>AAK85045.1</t>
  </si>
  <si>
    <t>LSDV084 putative early transcription factor small subuni</t>
  </si>
  <si>
    <t>AST09302.1</t>
  </si>
  <si>
    <t>AEN03681.1</t>
  </si>
  <si>
    <t>ABI99248.1</t>
  </si>
  <si>
    <t>early transcription factor VETFs</t>
  </si>
  <si>
    <t>ABJ09005.1</t>
  </si>
  <si>
    <t>AAF14969.1</t>
  </si>
  <si>
    <t>m81R</t>
  </si>
  <si>
    <t>AFU77345.1</t>
  </si>
  <si>
    <t>AAF17965.1</t>
  </si>
  <si>
    <t>gp081R</t>
  </si>
  <si>
    <t>AAC55223.1</t>
  </si>
  <si>
    <t>MC095R</t>
  </si>
  <si>
    <t>AYN64677.1</t>
  </si>
  <si>
    <t>putative D6R protein</t>
  </si>
  <si>
    <t>AXN74905.1</t>
  </si>
  <si>
    <t>ABH08218.1</t>
  </si>
  <si>
    <t>HSPV112</t>
  </si>
  <si>
    <t>AAG37586.1</t>
  </si>
  <si>
    <t>CMP108R</t>
  </si>
  <si>
    <t>AAL73816.1</t>
  </si>
  <si>
    <t>putative early transcription factor VETFS</t>
  </si>
  <si>
    <t>AAM13565.1</t>
  </si>
  <si>
    <t>CPXV123 protein</t>
  </si>
  <si>
    <t>AAM92399.1</t>
  </si>
  <si>
    <t>EVM095</t>
  </si>
  <si>
    <t>AFH54658.1</t>
  </si>
  <si>
    <t>AAL40561.1</t>
  </si>
  <si>
    <t>E6R</t>
  </si>
  <si>
    <t>AAX09198.1</t>
  </si>
  <si>
    <t>MPXV-COP-097</t>
  </si>
  <si>
    <t>AKJ93740.1</t>
  </si>
  <si>
    <t>VETF</t>
  </si>
  <si>
    <t>AOP31589.1</t>
  </si>
  <si>
    <t>morph</t>
  </si>
  <si>
    <t>ABD97679.1</t>
  </si>
  <si>
    <t>70kDa small subunit of early transcription initiation factor VETF</t>
  </si>
  <si>
    <t>AAO89390.1</t>
  </si>
  <si>
    <t>70kDa small subunit of early gene transcription factor VETF</t>
  </si>
  <si>
    <t>CAA49037.1</t>
  </si>
  <si>
    <t>F6R</t>
  </si>
  <si>
    <t>CAB54696.1</t>
  </si>
  <si>
    <t>F6R protein</t>
  </si>
  <si>
    <t>AOP31800.1</t>
  </si>
  <si>
    <t>ASC55571.1</t>
  </si>
  <si>
    <t>putative early transcription factor VETF-like protein</t>
  </si>
  <si>
    <t>AAR98426.1</t>
  </si>
  <si>
    <t>ORF069 early transcription factor VETFs</t>
  </si>
  <si>
    <t>AAR98294.1</t>
  </si>
  <si>
    <t>ABA00586.1</t>
  </si>
  <si>
    <t>AIZ77320.1</t>
  </si>
  <si>
    <t>putative early transcription factor VETF</t>
  </si>
  <si>
    <t>ADC53970.1</t>
  </si>
  <si>
    <t>AAL69820.1</t>
  </si>
  <si>
    <t>SPV081 putative early transcription factor VETFS</t>
  </si>
  <si>
    <t>CAC21322.1</t>
  </si>
  <si>
    <t>84R protein</t>
  </si>
  <si>
    <t>AAR07440.1</t>
  </si>
  <si>
    <t>84R</t>
  </si>
  <si>
    <t>AAC97658.1</t>
  </si>
  <si>
    <t>ORF MSV113 putative early transcription factor small subunit VETF-S homolog (vaccinia D6R), similar to SW:P04308</t>
  </si>
  <si>
    <t>BAO49470.1</t>
  </si>
  <si>
    <t>putative early transcription factor small subuni</t>
  </si>
  <si>
    <t>CCU55480.1</t>
  </si>
  <si>
    <t>morph, VETF-s early transcription factor small</t>
  </si>
  <si>
    <t>AAG02880.1</t>
  </si>
  <si>
    <t>AMV174</t>
  </si>
  <si>
    <t>CCU55785.1</t>
  </si>
  <si>
    <t>CCU56087.1</t>
  </si>
  <si>
    <t>CCU56412.1</t>
  </si>
  <si>
    <t>NP_659656.1</t>
  </si>
  <si>
    <t>Early transcription factor VETFs</t>
  </si>
  <si>
    <t>YP_001293275.1</t>
  </si>
  <si>
    <t>hypothetical protein GTPV_gp080</t>
  </si>
  <si>
    <t>E1</t>
  </si>
  <si>
    <t>polyA polymerase large</t>
  </si>
  <si>
    <t>ATI21138.1</t>
  </si>
  <si>
    <t>polymerase catalytic subunit VP55</t>
  </si>
  <si>
    <t>AWU47070.1</t>
  </si>
  <si>
    <t>poly polymerase catalytic subuni</t>
  </si>
  <si>
    <t>APG58240.1</t>
  </si>
  <si>
    <t>polyA polymerase catalytic subuni</t>
  </si>
  <si>
    <t>ADT91067.1</t>
  </si>
  <si>
    <t>polyA polymerase large subuni</t>
  </si>
  <si>
    <t>ANS71113.1</t>
  </si>
  <si>
    <t>poly(a) polymerase catalytic subuni</t>
  </si>
  <si>
    <t>AKR04194.1</t>
  </si>
  <si>
    <t>poly(A) polymerase catalytic subuni</t>
  </si>
  <si>
    <t>CCD83206.1</t>
  </si>
  <si>
    <t>ASK51236.1</t>
  </si>
  <si>
    <t>Poly (A) polymerase catalytic subuni</t>
  </si>
  <si>
    <t>AUD40206.1</t>
  </si>
  <si>
    <t>AID46841.1</t>
  </si>
  <si>
    <t>polyA polymerase large subunit PAP-L</t>
  </si>
  <si>
    <t>AID46612.1</t>
  </si>
  <si>
    <t>ALA62447.1</t>
  </si>
  <si>
    <t>poly(A) polymerase large subunit PAP-L</t>
  </si>
  <si>
    <t>AAR83475.1</t>
  </si>
  <si>
    <t>CNPV129 poly(A) polymerase large subunit PAPL</t>
  </si>
  <si>
    <t>AAF44446.1</t>
  </si>
  <si>
    <t>ORF FPV102 Poly(A) polymerase large subunit, PAP-L</t>
  </si>
  <si>
    <t>AAK84993.1</t>
  </si>
  <si>
    <t>LSDV032 poly(A) polymerase large subuni</t>
  </si>
  <si>
    <t>AST09248.1</t>
  </si>
  <si>
    <t>VP55</t>
  </si>
  <si>
    <t>AEN03624.1</t>
  </si>
  <si>
    <t>ABI99196.1</t>
  </si>
  <si>
    <t>poly(A) polymerase large subuni</t>
  </si>
  <si>
    <t>ABJ08945.1</t>
  </si>
  <si>
    <t>AAF14915.1</t>
  </si>
  <si>
    <t>m27L</t>
  </si>
  <si>
    <t>AFU77292.1</t>
  </si>
  <si>
    <t>AAF17910.1</t>
  </si>
  <si>
    <t>gp027L</t>
  </si>
  <si>
    <t>AAC55159.1</t>
  </si>
  <si>
    <t>MC031L</t>
  </si>
  <si>
    <t>AYN64624.1</t>
  </si>
  <si>
    <t>putative E1L protein</t>
  </si>
  <si>
    <t>AXN74848.1</t>
  </si>
  <si>
    <t>ABH08161.1</t>
  </si>
  <si>
    <t>HSPV058</t>
  </si>
  <si>
    <t>AAG37515.1</t>
  </si>
  <si>
    <t>CMP53L</t>
  </si>
  <si>
    <t>AAL73760.1</t>
  </si>
  <si>
    <t>poly(A) polymerase large subunit PAPL</t>
  </si>
  <si>
    <t>AAM13512.1</t>
  </si>
  <si>
    <t>CPXV067 protein</t>
  </si>
  <si>
    <t>AAM92345.1</t>
  </si>
  <si>
    <t>EVM041</t>
  </si>
  <si>
    <t>AFH54603.1</t>
  </si>
  <si>
    <t>poly(a) polymerase large subuni</t>
  </si>
  <si>
    <t>AAL40508.1</t>
  </si>
  <si>
    <t>F1L</t>
  </si>
  <si>
    <t>AAX09145.1</t>
  </si>
  <si>
    <t>MPXV-COP-044</t>
  </si>
  <si>
    <t>AKJ93685.1</t>
  </si>
  <si>
    <t>Poly-A polymerase catalytic subunit VP55 protein</t>
  </si>
  <si>
    <t>AOP31534.1</t>
  </si>
  <si>
    <t>ABD97624.1</t>
  </si>
  <si>
    <t>poly-A polymerase catalytic subunit VP55</t>
  </si>
  <si>
    <t>AAO89336.1</t>
  </si>
  <si>
    <t>CAA48983.1</t>
  </si>
  <si>
    <t>E1L</t>
  </si>
  <si>
    <t>CAB54642.1</t>
  </si>
  <si>
    <t>C1L protein</t>
  </si>
  <si>
    <t>AOP31745.1</t>
  </si>
  <si>
    <t>ASC55617.1</t>
  </si>
  <si>
    <t>poly(A) polymerase large subunit-like protein</t>
  </si>
  <si>
    <t>AAR98375.1</t>
  </si>
  <si>
    <t>ORF018 poly-A polymerase catalytic subunit PAPL</t>
  </si>
  <si>
    <t>AAR98243.1</t>
  </si>
  <si>
    <t>ABA00535.1</t>
  </si>
  <si>
    <t>poly-A polymerase catalytic subuni</t>
  </si>
  <si>
    <t>AIZ77269.1</t>
  </si>
  <si>
    <t>putative poly-A polymerase catalytic subunit PAPL</t>
  </si>
  <si>
    <t>ADC53919.1</t>
  </si>
  <si>
    <t>poly(A)-polymerase subuni</t>
  </si>
  <si>
    <t>AAL69769.1</t>
  </si>
  <si>
    <t>SPV030 poly(A) polymerase lage subunit PAPL</t>
  </si>
  <si>
    <t>CAC21270.1</t>
  </si>
  <si>
    <t>32L protein</t>
  </si>
  <si>
    <t>AAR07389.1</t>
  </si>
  <si>
    <t>32L</t>
  </si>
  <si>
    <t>AAC97789.1</t>
  </si>
  <si>
    <t>ORF MSV143 putative poly(A) polymerase large subunit PAP-L homolog (vaccinia E1L), similar to SW:P33809</t>
  </si>
  <si>
    <t>BAO49506.1</t>
  </si>
  <si>
    <t>putative poly(A) polymerase large subuni</t>
  </si>
  <si>
    <t>CCU55359.1</t>
  </si>
  <si>
    <t>poly(A) polymerase catalytic subunit VP55</t>
  </si>
  <si>
    <t>AAG02744.1</t>
  </si>
  <si>
    <t>AMV038</t>
  </si>
  <si>
    <t>CCU55653.1</t>
  </si>
  <si>
    <t>CCU55966.1</t>
  </si>
  <si>
    <t>CCU56262.1</t>
  </si>
  <si>
    <t>NP_659604.1</t>
  </si>
  <si>
    <t>Poly(A) polymerase large subuni</t>
  </si>
  <si>
    <t>YP_001293223.1</t>
  </si>
  <si>
    <t>hypothetical protein GTPV_gp028</t>
  </si>
  <si>
    <t>E10</t>
  </si>
  <si>
    <t>sulfhydryl oxidase</t>
  </si>
  <si>
    <t>ATI21146.1</t>
  </si>
  <si>
    <t>AWU47083.1</t>
  </si>
  <si>
    <t>Sulfhydryl oxidase</t>
  </si>
  <si>
    <t>APG58250.1</t>
  </si>
  <si>
    <t>putative FAD-linked sulfhydryl oxidase E10</t>
  </si>
  <si>
    <t>ADT91073.1</t>
  </si>
  <si>
    <t>ANS71127.1</t>
  </si>
  <si>
    <t>AKR04201.1</t>
  </si>
  <si>
    <t>disulfide (thiol) oxidoreductase</t>
  </si>
  <si>
    <t>CCD83216.1</t>
  </si>
  <si>
    <t>putative redox protein</t>
  </si>
  <si>
    <t>ASK51243.1</t>
  </si>
  <si>
    <t>Sulfhydryl oxidase (FAD-linked)</t>
  </si>
  <si>
    <t>AUD40197.1</t>
  </si>
  <si>
    <t>AID46832.1</t>
  </si>
  <si>
    <t>sulfhydryl oxidase ERV1</t>
  </si>
  <si>
    <t>AID46603.1</t>
  </si>
  <si>
    <t>ALA62441.1</t>
  </si>
  <si>
    <t>IMV redox protein</t>
  </si>
  <si>
    <t>AAR83466.1</t>
  </si>
  <si>
    <t>CNPV120 putative IMV redox protein, virus assembly</t>
  </si>
  <si>
    <t>AAF44437.1</t>
  </si>
  <si>
    <t>ORF FPV093</t>
  </si>
  <si>
    <t>AAK85001.1</t>
  </si>
  <si>
    <t>LSDV040 putative redox protein</t>
  </si>
  <si>
    <t>AST09256.1</t>
  </si>
  <si>
    <t>AEN03633.1</t>
  </si>
  <si>
    <t>ABI99204.1</t>
  </si>
  <si>
    <t>ABJ08951.1</t>
  </si>
  <si>
    <t>AAF14923.1</t>
  </si>
  <si>
    <t>m035R</t>
  </si>
  <si>
    <t>AFU77300.1</t>
  </si>
  <si>
    <t>AAF17917.1</t>
  </si>
  <si>
    <t>gp035R</t>
  </si>
  <si>
    <t>AAC55168.1</t>
  </si>
  <si>
    <t>MC040R</t>
  </si>
  <si>
    <t>AYN64633.1</t>
  </si>
  <si>
    <t>putative E10R protein</t>
  </si>
  <si>
    <t>AXN74857.1</t>
  </si>
  <si>
    <t>ABH08170.1</t>
  </si>
  <si>
    <t>HSPV067</t>
  </si>
  <si>
    <t>AAG37528.1</t>
  </si>
  <si>
    <t>CMP62R</t>
  </si>
  <si>
    <t>AAL73769.1</t>
  </si>
  <si>
    <t>potential redox protein</t>
  </si>
  <si>
    <t>AAM13521.1</t>
  </si>
  <si>
    <t>CPXV076 protein</t>
  </si>
  <si>
    <t>AAM92354.1</t>
  </si>
  <si>
    <t>EVM050</t>
  </si>
  <si>
    <t>AFH54612.1</t>
  </si>
  <si>
    <t>disulfide bond formation pathway protein</t>
  </si>
  <si>
    <t>AAL40516.1</t>
  </si>
  <si>
    <t>F9R</t>
  </si>
  <si>
    <t>AAX09153.1</t>
  </si>
  <si>
    <t>MPXV-COP-052</t>
  </si>
  <si>
    <t>AKJ93694.1</t>
  </si>
  <si>
    <t>AOP31543.1</t>
  </si>
  <si>
    <t>ABD97633.1</t>
  </si>
  <si>
    <t>AAO89345.1</t>
  </si>
  <si>
    <t>CAA48992.1</t>
  </si>
  <si>
    <t>E10R</t>
  </si>
  <si>
    <t>CAB54651.1</t>
  </si>
  <si>
    <t>C10R protein</t>
  </si>
  <si>
    <t>AOP31754.1</t>
  </si>
  <si>
    <t>ASF89964.1</t>
  </si>
  <si>
    <t>sulfhydryl oxidase-like protein</t>
  </si>
  <si>
    <t>AAR98383.1</t>
  </si>
  <si>
    <t>ORF026 IMV redox protein</t>
  </si>
  <si>
    <t>AAR98251.1</t>
  </si>
  <si>
    <t>ORF026 putative IMV redox protein</t>
  </si>
  <si>
    <t>ABA00543.1</t>
  </si>
  <si>
    <t>ERV/ALR-like protein</t>
  </si>
  <si>
    <t>AIZ77277.1</t>
  </si>
  <si>
    <t>putative IMV redox protein</t>
  </si>
  <si>
    <t>ADC53927.1</t>
  </si>
  <si>
    <t>AAL69776.1</t>
  </si>
  <si>
    <t>SPV037 potential redox protein</t>
  </si>
  <si>
    <t>CAC21278.1</t>
  </si>
  <si>
    <t>40R protein</t>
  </si>
  <si>
    <t>AAR07397.1</t>
  </si>
  <si>
    <t>40R</t>
  </si>
  <si>
    <t>AAC97808.1</t>
  </si>
  <si>
    <t>ORF MSV093 putative vaccinia E10R homolog, similar to SW:P33821 and yeast ERV1, SW:P27882</t>
  </si>
  <si>
    <t>BAO49428.1</t>
  </si>
  <si>
    <t>CCU55424.1</t>
  </si>
  <si>
    <t>sulfhydryl oxidase FAD-linked (Cop-E10R)</t>
  </si>
  <si>
    <t>AAG02820.1</t>
  </si>
  <si>
    <t>AMV114</t>
  </si>
  <si>
    <t>CCU55729.1</t>
  </si>
  <si>
    <t>CCU56031.1</t>
  </si>
  <si>
    <t>CCU56368.1</t>
  </si>
  <si>
    <t>NP_659612.1</t>
  </si>
  <si>
    <t>IMV redox protein, virus assembly</t>
  </si>
  <si>
    <t>YP_001293231.1</t>
  </si>
  <si>
    <t>hypothetical protein GTPV_gp036</t>
  </si>
  <si>
    <t>E9</t>
  </si>
  <si>
    <t>DNA-polymerase</t>
  </si>
  <si>
    <t>ATI21145.1</t>
  </si>
  <si>
    <t>DNA polymerase</t>
  </si>
  <si>
    <t>AWU47082.1</t>
  </si>
  <si>
    <t>APG58249.1</t>
  </si>
  <si>
    <t>ADT91072.1</t>
  </si>
  <si>
    <t>DNA-dependent DNA polymerase</t>
  </si>
  <si>
    <t>ANS71126.1</t>
  </si>
  <si>
    <t>AKR04200.1</t>
  </si>
  <si>
    <t>DNA polymerase elongation subunit family B</t>
  </si>
  <si>
    <t>CCD83215.1</t>
  </si>
  <si>
    <t>ASK51242.1</t>
  </si>
  <si>
    <t>AUD40198.1</t>
  </si>
  <si>
    <t>AID46833.1</t>
  </si>
  <si>
    <t>AID46604.1</t>
  </si>
  <si>
    <t>ALA62442.1</t>
  </si>
  <si>
    <t>AAR83467.1</t>
  </si>
  <si>
    <t>CNPV121 DNA polymerase</t>
  </si>
  <si>
    <t>AAF44438.1</t>
  </si>
  <si>
    <t>ORF FPV094 DNA polymerase</t>
  </si>
  <si>
    <t>AAK85000.1</t>
  </si>
  <si>
    <t>LSDV039 DNA polymerase</t>
  </si>
  <si>
    <t>AST09255.1</t>
  </si>
  <si>
    <t>AEN03632.1</t>
  </si>
  <si>
    <t>ABI99203.1</t>
  </si>
  <si>
    <t>ABJ08950.1</t>
  </si>
  <si>
    <t>AAF14922.1</t>
  </si>
  <si>
    <t>m34L</t>
  </si>
  <si>
    <t>AFU77299.1</t>
  </si>
  <si>
    <t>AAF17916.1</t>
  </si>
  <si>
    <t>gp034L</t>
  </si>
  <si>
    <t>AAC55167.1</t>
  </si>
  <si>
    <t>MC039L</t>
  </si>
  <si>
    <t>AYN64632.1</t>
  </si>
  <si>
    <t>putative E9L protein</t>
  </si>
  <si>
    <t>AXN74856.1</t>
  </si>
  <si>
    <t>ABH08169.1</t>
  </si>
  <si>
    <t>HSPV066</t>
  </si>
  <si>
    <t>AAG37526.1</t>
  </si>
  <si>
    <t>CMP61L</t>
  </si>
  <si>
    <t>AAL73768.1</t>
  </si>
  <si>
    <t>AAM13520.1</t>
  </si>
  <si>
    <t>CPXV075 protein</t>
  </si>
  <si>
    <t>AAM92353.1</t>
  </si>
  <si>
    <t>EVM049</t>
  </si>
  <si>
    <t>AFH54611.1</t>
  </si>
  <si>
    <t>AAL40515.1</t>
  </si>
  <si>
    <t>F8L</t>
  </si>
  <si>
    <t>AAX09152.1</t>
  </si>
  <si>
    <t>MPXV-COP-051</t>
  </si>
  <si>
    <t>AKJ93693.1</t>
  </si>
  <si>
    <t>AOP31542.1</t>
  </si>
  <si>
    <t>ABD97632.1</t>
  </si>
  <si>
    <t>AAO89344.1</t>
  </si>
  <si>
    <t>CAA48991.1</t>
  </si>
  <si>
    <t>E9L</t>
  </si>
  <si>
    <t>CAB54650.1</t>
  </si>
  <si>
    <t>C9L protein</t>
  </si>
  <si>
    <t>AOP31753.1</t>
  </si>
  <si>
    <t>ASC55610.1</t>
  </si>
  <si>
    <t>putative DNA polymerase-like protein</t>
  </si>
  <si>
    <t>AAR98382.1</t>
  </si>
  <si>
    <t>ORF025 DNA polymerase</t>
  </si>
  <si>
    <t>AAR98250.1</t>
  </si>
  <si>
    <t>ABA00542.1</t>
  </si>
  <si>
    <t>AIZ77276.1</t>
  </si>
  <si>
    <t>putative DNA polymerase</t>
  </si>
  <si>
    <t>ADC53926.1</t>
  </si>
  <si>
    <t>AAL69775.1</t>
  </si>
  <si>
    <t>SPV036 DNA polymerase</t>
  </si>
  <si>
    <t>CAC21277.1</t>
  </si>
  <si>
    <t>39L protein</t>
  </si>
  <si>
    <t>AAR07396.1</t>
  </si>
  <si>
    <t>39L</t>
  </si>
  <si>
    <t>AAC97837.1</t>
  </si>
  <si>
    <t>ORF MSV036 putative DNA polymerase, Choristoneura biennis entomopox virus DPOL homolog (vaccinia E9L), similar to SW:P30319</t>
  </si>
  <si>
    <t>BAO49586.1</t>
  </si>
  <si>
    <t>CCU55370.1</t>
  </si>
  <si>
    <t>AAG02756.1</t>
  </si>
  <si>
    <t>AMV050</t>
  </si>
  <si>
    <t>CCU55637.1</t>
  </si>
  <si>
    <t>CCU55950.1</t>
  </si>
  <si>
    <t>CCU56273.1</t>
  </si>
  <si>
    <t>NP_659611.1</t>
  </si>
  <si>
    <t>YP_001293230.1</t>
  </si>
  <si>
    <t>hypothetical protein GTPV_gp035</t>
  </si>
  <si>
    <t>G5</t>
  </si>
  <si>
    <t>FEN1</t>
  </si>
  <si>
    <t>ATI21162.1</t>
  </si>
  <si>
    <t>FEN1-like nuclease</t>
  </si>
  <si>
    <t>AWU47099.1</t>
  </si>
  <si>
    <t>APG58269.1</t>
  </si>
  <si>
    <t>putative nuclease G5</t>
  </si>
  <si>
    <t>ADT91086.2</t>
  </si>
  <si>
    <t>Flap endonuclease FEN-1</t>
  </si>
  <si>
    <t>ANS71143.1</t>
  </si>
  <si>
    <t>fen1-like nuclease</t>
  </si>
  <si>
    <t>AKR04270.1</t>
  </si>
  <si>
    <t>G5 protein</t>
  </si>
  <si>
    <t>CCD83231.1</t>
  </si>
  <si>
    <t>predicted FEN-1 endonuclease</t>
  </si>
  <si>
    <t>ASK51259.1</t>
  </si>
  <si>
    <t>AUD40221.1</t>
  </si>
  <si>
    <t>flap endonuclease</t>
  </si>
  <si>
    <t>AID46855.1</t>
  </si>
  <si>
    <t>hypothetical protein pepv_123</t>
  </si>
  <si>
    <t>AID46626.1</t>
  </si>
  <si>
    <t>hypothetical protein fep_120</t>
  </si>
  <si>
    <t>ALA62460.1</t>
  </si>
  <si>
    <t>AAR83491.1</t>
  </si>
  <si>
    <t>CNPV145 conserved hypothetical protein</t>
  </si>
  <si>
    <t>AAF44461.1</t>
  </si>
  <si>
    <t>ORF FPV117</t>
  </si>
  <si>
    <t>AAK85015.1</t>
  </si>
  <si>
    <t>LSDV054 hypothetical protein</t>
  </si>
  <si>
    <t>AST09273.1</t>
  </si>
  <si>
    <t>AEN03650.1</t>
  </si>
  <si>
    <t>ABI99218.1</t>
  </si>
  <si>
    <t>hypothetical protein DpV83gp063</t>
  </si>
  <si>
    <t>ABJ08967.1</t>
  </si>
  <si>
    <t>virion core protein</t>
  </si>
  <si>
    <t>AAF14937.1</t>
  </si>
  <si>
    <t>m049R</t>
  </si>
  <si>
    <t>AFU77313.1</t>
  </si>
  <si>
    <t>AAF17931.1</t>
  </si>
  <si>
    <t>gp049R</t>
  </si>
  <si>
    <t>AAC55188.1</t>
  </si>
  <si>
    <t>MC60R</t>
  </si>
  <si>
    <t>AYN64648.1</t>
  </si>
  <si>
    <t>putative G5R protein</t>
  </si>
  <si>
    <t>AXN74874.1</t>
  </si>
  <si>
    <t>ABH08189.1</t>
  </si>
  <si>
    <t>HSPV083</t>
  </si>
  <si>
    <t>AAG37549.1</t>
  </si>
  <si>
    <t>CMP79R</t>
  </si>
  <si>
    <t>AAL73787.1</t>
  </si>
  <si>
    <t>AAM13537.1</t>
  </si>
  <si>
    <t>CPXV092 protein</t>
  </si>
  <si>
    <t>AAM92370.1</t>
  </si>
  <si>
    <t>EVM066</t>
  </si>
  <si>
    <t>AFH54629.1</t>
  </si>
  <si>
    <t>hypothetical protein ERPV_069</t>
  </si>
  <si>
    <t>AAL40532.1</t>
  </si>
  <si>
    <t>G5R</t>
  </si>
  <si>
    <t>AAX09169.1</t>
  </si>
  <si>
    <t>MPXV-COP-068</t>
  </si>
  <si>
    <t>AKJ93711.1</t>
  </si>
  <si>
    <t>AOP31560.1</t>
  </si>
  <si>
    <t>ABD97651.1</t>
  </si>
  <si>
    <t>AAO89361.1</t>
  </si>
  <si>
    <t>CAA49008.1</t>
  </si>
  <si>
    <t>H5R</t>
  </si>
  <si>
    <t>CAB54667.1</t>
  </si>
  <si>
    <t>I5R protein</t>
  </si>
  <si>
    <t>AOP31771.1</t>
  </si>
  <si>
    <t>ASC55597.1</t>
  </si>
  <si>
    <t>hypothetical protein SePPVgORF032</t>
  </si>
  <si>
    <t>AAR98398.1</t>
  </si>
  <si>
    <t>ORF041 hypothetical protein</t>
  </si>
  <si>
    <t>AAR98266.1</t>
  </si>
  <si>
    <t>ABA00558.1</t>
  </si>
  <si>
    <t>AIZ77292.1</t>
  </si>
  <si>
    <t>putative FEN-1 like endonuclease</t>
  </si>
  <si>
    <t>ADC53942.1</t>
  </si>
  <si>
    <t>AAL69790.1</t>
  </si>
  <si>
    <t>SPV051 hypothetical protein</t>
  </si>
  <si>
    <t>CAC21292.1</t>
  </si>
  <si>
    <t>54R protein</t>
  </si>
  <si>
    <t>AAR07410.1</t>
  </si>
  <si>
    <t>54R</t>
  </si>
  <si>
    <t>AAC97659.1</t>
  </si>
  <si>
    <t>ORF MSV115 putative vaccinia G5R homolog, similar to GB:J03399</t>
  </si>
  <si>
    <t>BAO49469.1</t>
  </si>
  <si>
    <t>CCU55478.1</t>
  </si>
  <si>
    <t>FEN1-like nuclease (Cop-G5R)</t>
  </si>
  <si>
    <t>AAG02885.1</t>
  </si>
  <si>
    <t>AMV179</t>
  </si>
  <si>
    <t>CCU55786.1</t>
  </si>
  <si>
    <t>CCU56088.1</t>
  </si>
  <si>
    <t>CCU56413.1</t>
  </si>
  <si>
    <t>NP_659626.1</t>
  </si>
  <si>
    <t>hypothetical protein SPPV_50</t>
  </si>
  <si>
    <t>YP_001293245.1</t>
  </si>
  <si>
    <t>hypothetical protein GTPV_gp050</t>
  </si>
  <si>
    <t>H2</t>
  </si>
  <si>
    <t>IMV entry-fusion</t>
  </si>
  <si>
    <t>ATI21181.1</t>
  </si>
  <si>
    <t>AWU47116.1</t>
  </si>
  <si>
    <t>Entry/fusion IMV membrane protein</t>
  </si>
  <si>
    <t>APG58290.1</t>
  </si>
  <si>
    <t>protein H2</t>
  </si>
  <si>
    <t>ADT91103.1</t>
  </si>
  <si>
    <t>ANS71160.1</t>
  </si>
  <si>
    <t>entry/fusion imv membrane protein</t>
  </si>
  <si>
    <t>AKR04292.1</t>
  </si>
  <si>
    <t>viral late protein H2</t>
  </si>
  <si>
    <t>CCD83249.1</t>
  </si>
  <si>
    <t>subunit of the poxvirus multiprotein entry-fusion complex</t>
  </si>
  <si>
    <t>ASK51278.1</t>
  </si>
  <si>
    <t>Entry/fusion IMV protein</t>
  </si>
  <si>
    <t>AUD40243.1</t>
  </si>
  <si>
    <t>hypothetical protein fgpv_145</t>
  </si>
  <si>
    <t>AID46875.1</t>
  </si>
  <si>
    <t>hypothetical protein pepv_147</t>
  </si>
  <si>
    <t>AID46646.1</t>
  </si>
  <si>
    <t>hypothetical protein fep_140</t>
  </si>
  <si>
    <t>ALA62476.1</t>
  </si>
  <si>
    <t>AAR83530.1</t>
  </si>
  <si>
    <t>CNPV184 conserved hypothetical protein</t>
  </si>
  <si>
    <t>AAF44483.1</t>
  </si>
  <si>
    <t>ORF FPV139</t>
  </si>
  <si>
    <t>YP_001293264.1</t>
  </si>
  <si>
    <t>hypothetical protein GTPV_gp069</t>
  </si>
  <si>
    <t>AAK85034.1</t>
  </si>
  <si>
    <t>LSDV073 hypothetical protein</t>
  </si>
  <si>
    <t>NP_659645.1</t>
  </si>
  <si>
    <t>hypothetical protein SPPV_69</t>
  </si>
  <si>
    <t>AST09291.1</t>
  </si>
  <si>
    <t>essential component of virus entry complex</t>
  </si>
  <si>
    <t>AEN03669.1</t>
  </si>
  <si>
    <t>ABI99237.1</t>
  </si>
  <si>
    <t>hypothetical protein DpV83gp082</t>
  </si>
  <si>
    <t>ABJ08992.1</t>
  </si>
  <si>
    <t>AAF14958.1</t>
  </si>
  <si>
    <t>m070R</t>
  </si>
  <si>
    <t>AFU77334.1</t>
  </si>
  <si>
    <t>AAF17952.1</t>
  </si>
  <si>
    <t>gp070R</t>
  </si>
  <si>
    <t>AAC55211.1</t>
  </si>
  <si>
    <t>MC083R</t>
  </si>
  <si>
    <t>AYN64666.1</t>
  </si>
  <si>
    <t>putative H2R protein</t>
  </si>
  <si>
    <t>AXN74893.1</t>
  </si>
  <si>
    <t>putative viral membrane protein</t>
  </si>
  <si>
    <t>ABH08207.1</t>
  </si>
  <si>
    <t>HSPV101</t>
  </si>
  <si>
    <t>AAL73805.1</t>
  </si>
  <si>
    <t>AAG37570.1</t>
  </si>
  <si>
    <t>CMP97R</t>
  </si>
  <si>
    <t>AAM13554.1</t>
  </si>
  <si>
    <t>CPXV111 protein</t>
  </si>
  <si>
    <t>AAM92388.1</t>
  </si>
  <si>
    <t>EVM084</t>
  </si>
  <si>
    <t>AFH54647.1</t>
  </si>
  <si>
    <t>entry and cell to cell fusion protein</t>
  </si>
  <si>
    <t>AAL40550.1</t>
  </si>
  <si>
    <t>H2R</t>
  </si>
  <si>
    <t>AAX09187.1</t>
  </si>
  <si>
    <t>MPXV-COP-086</t>
  </si>
  <si>
    <t>AKJ93729.1</t>
  </si>
  <si>
    <t>Entry-fusion complex essential componen</t>
  </si>
  <si>
    <t>AOP31578.1</t>
  </si>
  <si>
    <t>entry-fusion complex essential componen</t>
  </si>
  <si>
    <t>ABD97668.1</t>
  </si>
  <si>
    <t>AAO89379.1</t>
  </si>
  <si>
    <t>CAA49026.1</t>
  </si>
  <si>
    <t>I2R</t>
  </si>
  <si>
    <t>CAB54685.1</t>
  </si>
  <si>
    <t>J2R protein</t>
  </si>
  <si>
    <t>AOP31789.1</t>
  </si>
  <si>
    <t>ASF89969.1</t>
  </si>
  <si>
    <t>hypothetical protein SePPVgORF049</t>
  </si>
  <si>
    <t>AAR98415.1</t>
  </si>
  <si>
    <t>ORF058 hypothetical protein</t>
  </si>
  <si>
    <t>AAR98283.1</t>
  </si>
  <si>
    <t>ABA00575.1</t>
  </si>
  <si>
    <t>IMV, viral entry</t>
  </si>
  <si>
    <t>AIZ77309.1</t>
  </si>
  <si>
    <t>ADC53959.1</t>
  </si>
  <si>
    <t>IMV viral entry protein</t>
  </si>
  <si>
    <t>AAL69809.1</t>
  </si>
  <si>
    <t>SPV070 hypothetical protein</t>
  </si>
  <si>
    <t>CAC21311.1</t>
  </si>
  <si>
    <t>73R protein</t>
  </si>
  <si>
    <t>AAR07429.1</t>
  </si>
  <si>
    <t>73R</t>
  </si>
  <si>
    <t>AAC97818.1</t>
  </si>
  <si>
    <t>ORF MSV060 putative vaccinia H2R homolog, similar to SW:P20496</t>
  </si>
  <si>
    <t>BAO49538.1</t>
  </si>
  <si>
    <t>CCU55515.1</t>
  </si>
  <si>
    <t>entry-fusion complex essential component (Cop-H2R)</t>
  </si>
  <si>
    <t>AAG02833.1</t>
  </si>
  <si>
    <t>AMV127</t>
  </si>
  <si>
    <t>CCU55749.1</t>
  </si>
  <si>
    <t>CCU56051.1</t>
  </si>
  <si>
    <t>CCU56354.1</t>
  </si>
  <si>
    <t>H4</t>
  </si>
  <si>
    <t>RAP94</t>
  </si>
  <si>
    <t>ATI21183.1</t>
  </si>
  <si>
    <t>AWU47118.1</t>
  </si>
  <si>
    <t>RNA polymerase associated protein</t>
  </si>
  <si>
    <t>APG58293.1</t>
  </si>
  <si>
    <t>RNA polymerase-associated transcription-specificity factor RAP94</t>
  </si>
  <si>
    <t>ADT91105.1</t>
  </si>
  <si>
    <t>DNA-dependent RNA polymerase associated protein RAP94</t>
  </si>
  <si>
    <t>ANS71162.1</t>
  </si>
  <si>
    <t>AKR04293.1</t>
  </si>
  <si>
    <t>RNA polymerase-associated transcription specificity factor Rap94</t>
  </si>
  <si>
    <t>CCD83251.1</t>
  </si>
  <si>
    <t>DNA-dependent RNA polymerase subunit RAP94</t>
  </si>
  <si>
    <t>ASK51280.1</t>
  </si>
  <si>
    <t>RNA polymerase-associated protein</t>
  </si>
  <si>
    <t>AUD40245.1</t>
  </si>
  <si>
    <t>RNA polymerase-associated protein 94</t>
  </si>
  <si>
    <t>AID46877.1</t>
  </si>
  <si>
    <t>RNA polymerase-associated protein RAP94</t>
  </si>
  <si>
    <t>AID46648.1</t>
  </si>
  <si>
    <t>ALA62479.1</t>
  </si>
  <si>
    <t>RNA polymerase associated protein RAP94</t>
  </si>
  <si>
    <t>AAR83533.1</t>
  </si>
  <si>
    <t>CNPV187 RNA polymerase associated protein RAP94</t>
  </si>
  <si>
    <t>AAF44485.1</t>
  </si>
  <si>
    <t>ORF FPV141 RNA polymerase associated protein RAP94</t>
  </si>
  <si>
    <t>AAK85036.1</t>
  </si>
  <si>
    <t>LSDV075 RNA polymerase-associated protein</t>
  </si>
  <si>
    <t>AST09293.1</t>
  </si>
  <si>
    <t>RPO-associated proteinRAP94</t>
  </si>
  <si>
    <t>AEN03671.1</t>
  </si>
  <si>
    <t>RPO-associated protein,RAP94</t>
  </si>
  <si>
    <t>ABI99239.1</t>
  </si>
  <si>
    <t>RNA polymerase-associated RAP94</t>
  </si>
  <si>
    <t>ABJ08995.1</t>
  </si>
  <si>
    <t>RNA-polymerase associated protein</t>
  </si>
  <si>
    <t>AAF14960.1</t>
  </si>
  <si>
    <t>m72L</t>
  </si>
  <si>
    <t>AFU77336.1</t>
  </si>
  <si>
    <t>AAF17954.1</t>
  </si>
  <si>
    <t>gp072L</t>
  </si>
  <si>
    <t>AAC55213.1</t>
  </si>
  <si>
    <t>MC085L</t>
  </si>
  <si>
    <t>AYN64668.1</t>
  </si>
  <si>
    <t>putative H4L protein</t>
  </si>
  <si>
    <t>AXN74895.1</t>
  </si>
  <si>
    <t>ABH08209.1</t>
  </si>
  <si>
    <t>HSPV103</t>
  </si>
  <si>
    <t>AAL73807.1</t>
  </si>
  <si>
    <t>AAG37572.1</t>
  </si>
  <si>
    <t>CMP99L</t>
  </si>
  <si>
    <t>AAM13556.1</t>
  </si>
  <si>
    <t>CPXV113 protein</t>
  </si>
  <si>
    <t>AAM92390.1</t>
  </si>
  <si>
    <t>EVM086</t>
  </si>
  <si>
    <t>AFH54649.1</t>
  </si>
  <si>
    <t>RNA polymerase associated protein rap94</t>
  </si>
  <si>
    <t>AAL40552.1</t>
  </si>
  <si>
    <t>H4L</t>
  </si>
  <si>
    <t>AAX09189.1</t>
  </si>
  <si>
    <t>MPXV-COP-088</t>
  </si>
  <si>
    <t>AKJ93731.1</t>
  </si>
  <si>
    <t>AOP31580.1</t>
  </si>
  <si>
    <t>rap94</t>
  </si>
  <si>
    <t>ABD97670.1</t>
  </si>
  <si>
    <t>RNA polymerase subunit RAP94</t>
  </si>
  <si>
    <t>AAO89381.1</t>
  </si>
  <si>
    <t>CAA49028.1</t>
  </si>
  <si>
    <t>I4L</t>
  </si>
  <si>
    <t>CAB54687.1</t>
  </si>
  <si>
    <t>J4L protein</t>
  </si>
  <si>
    <t>AOP31791.1</t>
  </si>
  <si>
    <t>ASC55580.1</t>
  </si>
  <si>
    <t>RNA polymerase-associated protein RAP94-like protein</t>
  </si>
  <si>
    <t>AAR98417.1</t>
  </si>
  <si>
    <t>ORF060 RNA polymerase-associated protein RAP94</t>
  </si>
  <si>
    <t>AAR98285.1</t>
  </si>
  <si>
    <t>ABA00577.1</t>
  </si>
  <si>
    <t>RNA-polymerase associated RAP94</t>
  </si>
  <si>
    <t>AIZ77311.1</t>
  </si>
  <si>
    <t>putative RNA polymerase-associated protein RAP94</t>
  </si>
  <si>
    <t>ADC53961.1</t>
  </si>
  <si>
    <t>AAL69811.1</t>
  </si>
  <si>
    <t>SPV072 RNA polymerase-associated protein RAP94</t>
  </si>
  <si>
    <t>CAC21313.1</t>
  </si>
  <si>
    <t>75L protein</t>
  </si>
  <si>
    <t>AAR07431.1</t>
  </si>
  <si>
    <t>75L</t>
  </si>
  <si>
    <t>AAC97801.1</t>
  </si>
  <si>
    <t>ORF MSV119 putative RNA polymerase associated vaccinia RAP94 homolog (vaccinia H4L), similar to SW:P33067</t>
  </si>
  <si>
    <t>BAO49510.1</t>
  </si>
  <si>
    <t>putative RNA polymerase associated transcriptional specificity factor</t>
  </si>
  <si>
    <t>CCU55375.1</t>
  </si>
  <si>
    <t>RAP94 RNA pol assoc protein</t>
  </si>
  <si>
    <t>AAG02760.1</t>
  </si>
  <si>
    <t>AMV054</t>
  </si>
  <si>
    <t>CCU55665.1</t>
  </si>
  <si>
    <t>CCU55975.1</t>
  </si>
  <si>
    <t>CCU56277.1</t>
  </si>
  <si>
    <t>YP_001293266.1</t>
  </si>
  <si>
    <t>hypothetical protein GTPV_gp071</t>
  </si>
  <si>
    <t>NP_659647.1</t>
  </si>
  <si>
    <t>RNA polymerase-associated protein, RAP94</t>
  </si>
  <si>
    <t>H6</t>
  </si>
  <si>
    <t>DNA topoisomerase</t>
  </si>
  <si>
    <t>ATI21185.1</t>
  </si>
  <si>
    <t>DNA topoisomerase type I</t>
  </si>
  <si>
    <t>AWU47120.1</t>
  </si>
  <si>
    <t>APG58296.1</t>
  </si>
  <si>
    <t>DNA topoisomerase 1</t>
  </si>
  <si>
    <t>ADT91107.1</t>
  </si>
  <si>
    <t>ANS71164.1</t>
  </si>
  <si>
    <t>AKR04295.1</t>
  </si>
  <si>
    <t>DNA topoisomerase I</t>
  </si>
  <si>
    <t>CCD83253.1</t>
  </si>
  <si>
    <t>topoisomerase</t>
  </si>
  <si>
    <t>ASK51282.1</t>
  </si>
  <si>
    <t>AUD40247.1</t>
  </si>
  <si>
    <t>AID46879.1</t>
  </si>
  <si>
    <t>AID46650.1</t>
  </si>
  <si>
    <t>ALA62481.1</t>
  </si>
  <si>
    <t>AAR83535.1</t>
  </si>
  <si>
    <t>CNPV189 DNA topoisomerase</t>
  </si>
  <si>
    <t>AAF44487.1</t>
  </si>
  <si>
    <t>ORF FPV143 DNA topoisomerase</t>
  </si>
  <si>
    <t>AAK85038.1</t>
  </si>
  <si>
    <t>LSDV077 DNA topoisomerase</t>
  </si>
  <si>
    <t>AST09295.1</t>
  </si>
  <si>
    <t>AEN03673.1</t>
  </si>
  <si>
    <t>ABI99241.1</t>
  </si>
  <si>
    <t>ABJ08997.1</t>
  </si>
  <si>
    <t>DNA topoisomerase IB</t>
  </si>
  <si>
    <t>AAF14962.1</t>
  </si>
  <si>
    <t>m74R</t>
  </si>
  <si>
    <t>AFU77338.1</t>
  </si>
  <si>
    <t>AAF17956.1</t>
  </si>
  <si>
    <t>gp074R</t>
  </si>
  <si>
    <t>AAC55215.1</t>
  </si>
  <si>
    <t>MC087R</t>
  </si>
  <si>
    <t>AYN64670.1</t>
  </si>
  <si>
    <t>putative H6R protein</t>
  </si>
  <si>
    <t>AXN74897.1</t>
  </si>
  <si>
    <t>DNA topoisomerase type-1</t>
  </si>
  <si>
    <t>ABH08211.1</t>
  </si>
  <si>
    <t>HSPV105</t>
  </si>
  <si>
    <t>AAG37574.1</t>
  </si>
  <si>
    <t>CMP101R</t>
  </si>
  <si>
    <t>AAL73809.1</t>
  </si>
  <si>
    <t>AAM13558.1</t>
  </si>
  <si>
    <t>CPXV115 protein</t>
  </si>
  <si>
    <t>AAM92392.1</t>
  </si>
  <si>
    <t>EVM088</t>
  </si>
  <si>
    <t>AFH54651.1</t>
  </si>
  <si>
    <t>topoisomerase type I</t>
  </si>
  <si>
    <t>AAL40554.1</t>
  </si>
  <si>
    <t>H6R</t>
  </si>
  <si>
    <t>AAX09191.1</t>
  </si>
  <si>
    <t>MPXV-COP-090</t>
  </si>
  <si>
    <t>AKJ93733.1</t>
  </si>
  <si>
    <t>DNA Topoisomerase type I</t>
  </si>
  <si>
    <t>AOP31582.1</t>
  </si>
  <si>
    <t>ABD97672.1</t>
  </si>
  <si>
    <t>topoisomerase type IB</t>
  </si>
  <si>
    <t>AAO89383.1</t>
  </si>
  <si>
    <t>CAA49030.1</t>
  </si>
  <si>
    <t>I6R</t>
  </si>
  <si>
    <t>CAB54689.1</t>
  </si>
  <si>
    <t>J6R protein</t>
  </si>
  <si>
    <t>AOP31793.1</t>
  </si>
  <si>
    <t>ASC55578.1</t>
  </si>
  <si>
    <t>DNA topoisomerase type I-like protein</t>
  </si>
  <si>
    <t>AAR98419.1</t>
  </si>
  <si>
    <t>ORF062 DNA topoisomerase type I</t>
  </si>
  <si>
    <t>AAR98287.1</t>
  </si>
  <si>
    <t>ABA00579.1</t>
  </si>
  <si>
    <t>topoisomerase I</t>
  </si>
  <si>
    <t>AIZ77313.1</t>
  </si>
  <si>
    <t>putative DNA topoisomerase type I</t>
  </si>
  <si>
    <t>ADC53963.1</t>
  </si>
  <si>
    <t>AAL69813.1</t>
  </si>
  <si>
    <t>SPV074 DNA topoisomerase</t>
  </si>
  <si>
    <t>CAC21315.1</t>
  </si>
  <si>
    <t>77R protein</t>
  </si>
  <si>
    <t>AAR07433.1</t>
  </si>
  <si>
    <t>77R</t>
  </si>
  <si>
    <t>AAC97665.1</t>
  </si>
  <si>
    <t>ORF MSV130 putative DNA topoisomerase I, Amsacta moorei entomopoxvirus topoisomerase (vaccinia H6R) homolog, similar to GB:U80056</t>
  </si>
  <si>
    <t>BAO49512.1</t>
  </si>
  <si>
    <t>CCU55373.1</t>
  </si>
  <si>
    <t>AAG02758.1</t>
  </si>
  <si>
    <t>AMV052</t>
  </si>
  <si>
    <t>CCU55663.1</t>
  </si>
  <si>
    <t>CCU55973.1</t>
  </si>
  <si>
    <t>CCU56275.1</t>
  </si>
  <si>
    <t>NP_659649.1</t>
  </si>
  <si>
    <t>YP_001293268.1</t>
  </si>
  <si>
    <t>hypothetical protein GTPV_gp073</t>
  </si>
  <si>
    <t>I8</t>
  </si>
  <si>
    <t>NPH-II</t>
  </si>
  <si>
    <t>ATI21157.1</t>
  </si>
  <si>
    <t>RNA helicase DExH-NPH-II domain</t>
  </si>
  <si>
    <t>AWU47094.1</t>
  </si>
  <si>
    <t>RNA helicase</t>
  </si>
  <si>
    <t>APG58264.1</t>
  </si>
  <si>
    <t>RNA helicase NPH-II</t>
  </si>
  <si>
    <t>ADT91081.1</t>
  </si>
  <si>
    <t>ANS71138.1</t>
  </si>
  <si>
    <t>RNA helicase, dexh-nph-ii domain</t>
  </si>
  <si>
    <t>AKR04274.1</t>
  </si>
  <si>
    <t>RNA-helicase DExH-NPH-II</t>
  </si>
  <si>
    <t>CCD83226.1</t>
  </si>
  <si>
    <t>encapsidated ATP-dependent RNA helicase</t>
  </si>
  <si>
    <t>ASK51254.1</t>
  </si>
  <si>
    <t>RNA-helicase, DExH-NPH-II</t>
  </si>
  <si>
    <t>AUD40185.1</t>
  </si>
  <si>
    <t>DNA/RNA helicase/NPH-11</t>
  </si>
  <si>
    <t>AID46820.1</t>
  </si>
  <si>
    <t>AID46591.1</t>
  </si>
  <si>
    <t>ALA62429.1</t>
  </si>
  <si>
    <t>NPH-II RNA helicase</t>
  </si>
  <si>
    <t>AAR83455.1</t>
  </si>
  <si>
    <t>CNPV109 NPH-II, RNA helicase</t>
  </si>
  <si>
    <t>AAF44426.1</t>
  </si>
  <si>
    <t>ORF FPV082 RNA helicase/NPH-II</t>
  </si>
  <si>
    <t>AAK85010.1</t>
  </si>
  <si>
    <t>LSDV049 putative RNA helicase</t>
  </si>
  <si>
    <t>AST09268.1</t>
  </si>
  <si>
    <t>RNA-helicase DExH-NPH-II domain</t>
  </si>
  <si>
    <t>AEN03645.1</t>
  </si>
  <si>
    <t>RNA-helicase, DExH-NPH-II domain</t>
  </si>
  <si>
    <t>ABI99213.1</t>
  </si>
  <si>
    <t>ABJ08962.1</t>
  </si>
  <si>
    <t>AAF14932.1</t>
  </si>
  <si>
    <t>m44R</t>
  </si>
  <si>
    <t>AFU77309.1</t>
  </si>
  <si>
    <t>AAF17926.1</t>
  </si>
  <si>
    <t>gp044R</t>
  </si>
  <si>
    <t>AAC55178.1</t>
  </si>
  <si>
    <t>MC050R</t>
  </si>
  <si>
    <t>AYN64644.1</t>
  </si>
  <si>
    <t>putative I8R protein</t>
  </si>
  <si>
    <t>AXN74869.1</t>
  </si>
  <si>
    <t>ABH08184.1</t>
  </si>
  <si>
    <t>HSPV078</t>
  </si>
  <si>
    <t>AAG37544.1</t>
  </si>
  <si>
    <t>CMP74R</t>
  </si>
  <si>
    <t>AAL73782.1</t>
  </si>
  <si>
    <t>putative NPH-II RNA helicase</t>
  </si>
  <si>
    <t>AAM13532.1</t>
  </si>
  <si>
    <t>CPXV087 protein</t>
  </si>
  <si>
    <t>AAM92365.1</t>
  </si>
  <si>
    <t>EVM061</t>
  </si>
  <si>
    <t>AFH54624.1</t>
  </si>
  <si>
    <t>AAL40527.1</t>
  </si>
  <si>
    <t>I8R</t>
  </si>
  <si>
    <t>AAX09164.1</t>
  </si>
  <si>
    <t>MPXV-COP-063</t>
  </si>
  <si>
    <t>AKJ93706.1</t>
  </si>
  <si>
    <t>AOP31555.1</t>
  </si>
  <si>
    <t>ABD97646.1</t>
  </si>
  <si>
    <t>RNA-helicase</t>
  </si>
  <si>
    <t>AAO89356.1</t>
  </si>
  <si>
    <t>CAA49003.1</t>
  </si>
  <si>
    <t>K8R</t>
  </si>
  <si>
    <t>CAB54662.1</t>
  </si>
  <si>
    <t>L8R protein</t>
  </si>
  <si>
    <t>AOP31766.1</t>
  </si>
  <si>
    <t>ASC55602.1</t>
  </si>
  <si>
    <t>RNA helicase NPH-II-like protein</t>
  </si>
  <si>
    <t>AAR98393.1</t>
  </si>
  <si>
    <t>ORF036 RNA helicase NPH-II</t>
  </si>
  <si>
    <t>AAR98261.1</t>
  </si>
  <si>
    <t>ABA00553.1</t>
  </si>
  <si>
    <t>AIZ77287.1</t>
  </si>
  <si>
    <t>putative RNA helicase NPH-II</t>
  </si>
  <si>
    <t>ADC53937.1</t>
  </si>
  <si>
    <t>AAL69785.1</t>
  </si>
  <si>
    <t>SPV046 putative NPH-II RNA helicase</t>
  </si>
  <si>
    <t>CAC21287.1</t>
  </si>
  <si>
    <t>49R protein</t>
  </si>
  <si>
    <t>AAR07405.1</t>
  </si>
  <si>
    <t>49R</t>
  </si>
  <si>
    <t>AAC97810.1</t>
  </si>
  <si>
    <t>ORF MSV086 putative RNA helicase (vaccinia I8R), similar to GB:L22579</t>
  </si>
  <si>
    <t>BAO49530.1</t>
  </si>
  <si>
    <t>CCU55400.1</t>
  </si>
  <si>
    <t>RNA helicase, DExH-NPH-II domain</t>
  </si>
  <si>
    <t>AAG02787.1</t>
  </si>
  <si>
    <t>AMV081</t>
  </si>
  <si>
    <t>CCU55706.1</t>
  </si>
  <si>
    <t>CCU56008.1</t>
  </si>
  <si>
    <t>CCU56302.1</t>
  </si>
  <si>
    <t>NP_659621.1</t>
  </si>
  <si>
    <t>NPH-II, RNA helicase</t>
  </si>
  <si>
    <t>YP_001293240.1</t>
  </si>
  <si>
    <t>hypothetical protein GTPV_gp045</t>
  </si>
  <si>
    <t>J3</t>
  </si>
  <si>
    <t>polyA polymerase small</t>
  </si>
  <si>
    <t>ATI21175.1</t>
  </si>
  <si>
    <t>polymerase small subunit VP39</t>
  </si>
  <si>
    <t>AWU47111.1</t>
  </si>
  <si>
    <t>poly polymerase small subuni</t>
  </si>
  <si>
    <t>APG58285.1</t>
  </si>
  <si>
    <t>cap-specific mRNA nucleoside-2'-O--methyltransferase</t>
  </si>
  <si>
    <t>ADT91098.1</t>
  </si>
  <si>
    <t>polyA polymerase small subuni</t>
  </si>
  <si>
    <t>ANS71155.1</t>
  </si>
  <si>
    <t>poly(a) polymerase small subuni</t>
  </si>
  <si>
    <t>AKR04186.1</t>
  </si>
  <si>
    <t>poly(A) polymerase small subunit PAPS</t>
  </si>
  <si>
    <t>CCD83243.1</t>
  </si>
  <si>
    <t>poly(A) polymerase and RNA methyltransferase</t>
  </si>
  <si>
    <t>ASK51273.1</t>
  </si>
  <si>
    <t>Poly (A) polymerase small subuni</t>
  </si>
  <si>
    <t>AUD40238.1</t>
  </si>
  <si>
    <t>AID46870.1</t>
  </si>
  <si>
    <t>polyA polymerase PAPs</t>
  </si>
  <si>
    <t>AID46641.1</t>
  </si>
  <si>
    <t>ALA62471.1</t>
  </si>
  <si>
    <t>AAR83525.1</t>
  </si>
  <si>
    <t>CNPV179 poly(A) polymerase small subunit PAPS</t>
  </si>
  <si>
    <t>AAF44478.1</t>
  </si>
  <si>
    <t>ORF FPV134 Poly(A) polymerase small subunit PAP-S</t>
  </si>
  <si>
    <t>AAK85029.1</t>
  </si>
  <si>
    <t>LSDV068 poly(A) polymerase small subuni</t>
  </si>
  <si>
    <t>AST09286.1</t>
  </si>
  <si>
    <t>VP39</t>
  </si>
  <si>
    <t>AEN03664.1</t>
  </si>
  <si>
    <t>ABI99232.1</t>
  </si>
  <si>
    <t>poly(A) polymerase small subuni</t>
  </si>
  <si>
    <t>ABJ08987.1</t>
  </si>
  <si>
    <t>AAF14953.1</t>
  </si>
  <si>
    <t>m65R</t>
  </si>
  <si>
    <t>AFU77329.1</t>
  </si>
  <si>
    <t>AAF17947.1</t>
  </si>
  <si>
    <t>gp065R</t>
  </si>
  <si>
    <t>AAC55204.1</t>
  </si>
  <si>
    <t>MC076R</t>
  </si>
  <si>
    <t>AYN64661.1</t>
  </si>
  <si>
    <t>putative J3R protein</t>
  </si>
  <si>
    <t>AXN74888.1</t>
  </si>
  <si>
    <t>Poly(A) polymerase small subuni</t>
  </si>
  <si>
    <t>ABH08202.1</t>
  </si>
  <si>
    <t>HSPV096</t>
  </si>
  <si>
    <t>AAG37564.1</t>
  </si>
  <si>
    <t>CMP92R</t>
  </si>
  <si>
    <t>AAL73800.1</t>
  </si>
  <si>
    <t>AAM13549.1</t>
  </si>
  <si>
    <t>CPXV106 protein</t>
  </si>
  <si>
    <t>AAM92383.1</t>
  </si>
  <si>
    <t>EVM079</t>
  </si>
  <si>
    <t>AFH54642.1</t>
  </si>
  <si>
    <t>AAL40545.1</t>
  </si>
  <si>
    <t>L3R</t>
  </si>
  <si>
    <t>AAX09182.1</t>
  </si>
  <si>
    <t>MPXV-COP-081</t>
  </si>
  <si>
    <t>AKJ93724.1</t>
  </si>
  <si>
    <t>Multifunctional poly-A polymerase small subunit protein VP39</t>
  </si>
  <si>
    <t>AOP31573.1</t>
  </si>
  <si>
    <t>ABD97664.1</t>
  </si>
  <si>
    <t>poly-A polymerase subuni</t>
  </si>
  <si>
    <t>AAO89374.1</t>
  </si>
  <si>
    <t>multifunctional poly-A polymerase subuni</t>
  </si>
  <si>
    <t>CAA49021.1</t>
  </si>
  <si>
    <t>CAB54680.1</t>
  </si>
  <si>
    <t>M3R protein</t>
  </si>
  <si>
    <t>AOP31784.1</t>
  </si>
  <si>
    <t>ASC55587.1</t>
  </si>
  <si>
    <t>poly(A) polymerase small subunit-like protein</t>
  </si>
  <si>
    <t>AAR98410.1</t>
  </si>
  <si>
    <t>ORF053 poly-A polymerase small subunit VP39 PAPS</t>
  </si>
  <si>
    <t>AAR98278.1</t>
  </si>
  <si>
    <t>ABA00570.1</t>
  </si>
  <si>
    <t>poly(A) polymerase subuni</t>
  </si>
  <si>
    <t>AIZ77304.1</t>
  </si>
  <si>
    <t>putative poly-A polymerase small subunit VP39 PAPS</t>
  </si>
  <si>
    <t>ADC53954.1</t>
  </si>
  <si>
    <t>AAL69804.1</t>
  </si>
  <si>
    <t>SPV065 poly(A) polymerase small subunit PAPS</t>
  </si>
  <si>
    <t>CAC21306.1</t>
  </si>
  <si>
    <t>68R protein</t>
  </si>
  <si>
    <t>AAR07424.1</t>
  </si>
  <si>
    <t>68R</t>
  </si>
  <si>
    <t>AAC97833.1</t>
  </si>
  <si>
    <t>ORF MSV041 putative poly(A) polymerase small subunit PAP-S homolog (vaccinia J3R), similar to GB:L22579</t>
  </si>
  <si>
    <t>BAO49540.1</t>
  </si>
  <si>
    <t>putative poly(A) polymerase small subuni</t>
  </si>
  <si>
    <t>CCU55378.1</t>
  </si>
  <si>
    <t>poly(A) polymerase small subunit VP39</t>
  </si>
  <si>
    <t>AAG02766.1</t>
  </si>
  <si>
    <t>AMV060</t>
  </si>
  <si>
    <t>CCU55673.1</t>
  </si>
  <si>
    <t>CCU55984.1</t>
  </si>
  <si>
    <t>CCU56281.1</t>
  </si>
  <si>
    <t>NP_659640.1</t>
  </si>
  <si>
    <t>Poly(A) polymerase small subunit PAPs</t>
  </si>
  <si>
    <t>YP_001293259.1</t>
  </si>
  <si>
    <t>hypothetical protein GTPV_gp064</t>
  </si>
  <si>
    <t>J6</t>
  </si>
  <si>
    <t>RPO147</t>
  </si>
  <si>
    <t>ATI21178.1</t>
  </si>
  <si>
    <t>AWU47114.1</t>
  </si>
  <si>
    <t>APG58288.1</t>
  </si>
  <si>
    <t>DNA-directed RNA polymerase 147 kDa polypeptide</t>
  </si>
  <si>
    <t>ADT91101.1</t>
  </si>
  <si>
    <t>DNA-dependent RNA polymerase subunit RPO147</t>
  </si>
  <si>
    <t>ANS71158.1</t>
  </si>
  <si>
    <t>AKR04289.1</t>
  </si>
  <si>
    <t>DNA-directed RNA polymerase subunit alpha</t>
  </si>
  <si>
    <t>CCD83246.1</t>
  </si>
  <si>
    <t>DNA-dependent RNA polymerase subunit rpo147</t>
  </si>
  <si>
    <t>ASK51276.1</t>
  </si>
  <si>
    <t>RNA polymerase subuni</t>
  </si>
  <si>
    <t>AUD40241.1</t>
  </si>
  <si>
    <t>RNA polymerase subunit 147</t>
  </si>
  <si>
    <t>AID46873.1</t>
  </si>
  <si>
    <t>RNA polymerase subunit RPO147</t>
  </si>
  <si>
    <t>AID46644.1</t>
  </si>
  <si>
    <t>ALA62474.1</t>
  </si>
  <si>
    <t>AAR83528.1</t>
  </si>
  <si>
    <t>CNPV182 RNA polymerase subunit RPO147</t>
  </si>
  <si>
    <t>AAF44481.1</t>
  </si>
  <si>
    <t>ORF FPV137 RNA polymerase subunit, RPO147</t>
  </si>
  <si>
    <t>AAK85032.1</t>
  </si>
  <si>
    <t>LSDV071 RNA polymerase subuni</t>
  </si>
  <si>
    <t>AST09289.1</t>
  </si>
  <si>
    <t>AEN03667.1</t>
  </si>
  <si>
    <t>ABI99235.1</t>
  </si>
  <si>
    <t>ABJ08990.1</t>
  </si>
  <si>
    <t>AAF14956.1</t>
  </si>
  <si>
    <t>m68R</t>
  </si>
  <si>
    <t>AFU77332.1</t>
  </si>
  <si>
    <t>AAF17950.1</t>
  </si>
  <si>
    <t>gp068R</t>
  </si>
  <si>
    <t>AAC55207.1</t>
  </si>
  <si>
    <t>MC079R</t>
  </si>
  <si>
    <t>AYN64664.1</t>
  </si>
  <si>
    <t>putative J6R protein</t>
  </si>
  <si>
    <t>AXN74891.1</t>
  </si>
  <si>
    <t>ABH08205.1</t>
  </si>
  <si>
    <t>HSPV099</t>
  </si>
  <si>
    <t>AAG37567.1</t>
  </si>
  <si>
    <t>CMP95R</t>
  </si>
  <si>
    <t>AAL73803.1</t>
  </si>
  <si>
    <t>AAM13552.1</t>
  </si>
  <si>
    <t>CPXV109 protein</t>
  </si>
  <si>
    <t>AAM92386.1</t>
  </si>
  <si>
    <t>EVM082</t>
  </si>
  <si>
    <t>AFH54645.1</t>
  </si>
  <si>
    <t>RNA polymerase 147 subuni</t>
  </si>
  <si>
    <t>AAL40548.1</t>
  </si>
  <si>
    <t>L6R</t>
  </si>
  <si>
    <t>AAX09185.1</t>
  </si>
  <si>
    <t>MPXV-COP-084</t>
  </si>
  <si>
    <t>AKJ93727.1</t>
  </si>
  <si>
    <t>RNA polymerase subunit RPO147 protein</t>
  </si>
  <si>
    <t>AOP31576.1</t>
  </si>
  <si>
    <t>ABD97666.1</t>
  </si>
  <si>
    <t>AAO89377.1</t>
  </si>
  <si>
    <t>CAA49024.1</t>
  </si>
  <si>
    <t>CAB54683.1</t>
  </si>
  <si>
    <t>M6R protein</t>
  </si>
  <si>
    <t>AOP31787.1</t>
  </si>
  <si>
    <t>ASC55584.1</t>
  </si>
  <si>
    <t>RNA polymerase subunit RPO147-like protein</t>
  </si>
  <si>
    <t>AAR98413.1</t>
  </si>
  <si>
    <t>ORF056 RNA polymerase subunit RPO147</t>
  </si>
  <si>
    <t>AAR98281.1</t>
  </si>
  <si>
    <t>ABA00573.1</t>
  </si>
  <si>
    <t>AIZ77307.1</t>
  </si>
  <si>
    <t>putative RNA polymerase subunit RPO147</t>
  </si>
  <si>
    <t>ADC53957.1</t>
  </si>
  <si>
    <t>RNA-polymerase subunit RPO147</t>
  </si>
  <si>
    <t>AAL69807.1</t>
  </si>
  <si>
    <t>SPV068 RNA polymerase subunit RPO147</t>
  </si>
  <si>
    <t>CAC21309.1</t>
  </si>
  <si>
    <t>71R protein</t>
  </si>
  <si>
    <t>AAR07427.1</t>
  </si>
  <si>
    <t>71R</t>
  </si>
  <si>
    <t>AAC97832.1</t>
  </si>
  <si>
    <t>ORF MSV043 putative RNA polymerase largest subunit RPO147 homolog (vaccinia J6R), similar to SW:P20504</t>
  </si>
  <si>
    <t>BAO49590.1</t>
  </si>
  <si>
    <t>putative RNA polymerase largest subuni</t>
  </si>
  <si>
    <t>CCU55520.1</t>
  </si>
  <si>
    <t>RNA polymerase RPO147</t>
  </si>
  <si>
    <t>AAG02927.1</t>
  </si>
  <si>
    <t>AMV221</t>
  </si>
  <si>
    <t>CCU55824.1</t>
  </si>
  <si>
    <t>CCU56124.1</t>
  </si>
  <si>
    <t>CCU56442.1</t>
  </si>
  <si>
    <t>NP_659643.1</t>
  </si>
  <si>
    <t>YP_001293262.1</t>
  </si>
  <si>
    <t>hypothetical protein GTPV_gp067</t>
  </si>
  <si>
    <t>L1</t>
  </si>
  <si>
    <t>ATI21168.1</t>
  </si>
  <si>
    <t>AWU47105.1</t>
  </si>
  <si>
    <t>IMV myristylated membrane protein</t>
  </si>
  <si>
    <t>APG58277.1</t>
  </si>
  <si>
    <t>protein L1</t>
  </si>
  <si>
    <t>ADT91092.1</t>
  </si>
  <si>
    <t>myristylated MV membrane protein</t>
  </si>
  <si>
    <t>ANS71149.1</t>
  </si>
  <si>
    <t>imv membrane protein</t>
  </si>
  <si>
    <t>AKR04221.1</t>
  </si>
  <si>
    <t>myristylated IMV envelope protein L1R</t>
  </si>
  <si>
    <t>CCD83237.1</t>
  </si>
  <si>
    <t>myristylprotein / IMV protein</t>
  </si>
  <si>
    <t>ASK51265.1</t>
  </si>
  <si>
    <t>Myristylated IMV envelope protein</t>
  </si>
  <si>
    <t>AUD40232.1</t>
  </si>
  <si>
    <t>AID46864.1</t>
  </si>
  <si>
    <t>myristylated protein</t>
  </si>
  <si>
    <t>AID46635.1</t>
  </si>
  <si>
    <t>ALA62465.1</t>
  </si>
  <si>
    <t>myristylated membrane protein</t>
  </si>
  <si>
    <t>AAR83519.1</t>
  </si>
  <si>
    <t>CNPV173 putative myristylated IMV envelope protein</t>
  </si>
  <si>
    <t>AAF44472.1</t>
  </si>
  <si>
    <t>ORF FPV128 Myristylated membrane protein</t>
  </si>
  <si>
    <t>YP_001293251.1</t>
  </si>
  <si>
    <t>hypothetical protein GTPV_gp056</t>
  </si>
  <si>
    <t>AAK85021.1</t>
  </si>
  <si>
    <t>LSDV060 putative myristylated IMV envelope protein</t>
  </si>
  <si>
    <t>NP_659632.1</t>
  </si>
  <si>
    <t>AST09279.1</t>
  </si>
  <si>
    <t>AEN03657.1</t>
  </si>
  <si>
    <t>ABI99224.1</t>
  </si>
  <si>
    <t>myristylated IMV envelope protein</t>
  </si>
  <si>
    <t>ABJ08973.1</t>
  </si>
  <si>
    <t>AAF14943.1</t>
  </si>
  <si>
    <t>m55R</t>
  </si>
  <si>
    <t>AFU77319.1</t>
  </si>
  <si>
    <t>AAF17937.1</t>
  </si>
  <si>
    <t>gp055R</t>
  </si>
  <si>
    <t>AAC55197.1</t>
  </si>
  <si>
    <t>MC069R</t>
  </si>
  <si>
    <t>AYN64654.1</t>
  </si>
  <si>
    <t>putative L1R protein</t>
  </si>
  <si>
    <t>AXN74881.1</t>
  </si>
  <si>
    <t>ABH08195.1</t>
  </si>
  <si>
    <t>HSPV089</t>
  </si>
  <si>
    <t>AAG37557.1</t>
  </si>
  <si>
    <t>CMP85R</t>
  </si>
  <si>
    <t>AAL73793.1</t>
  </si>
  <si>
    <t>putative myristylated IMV envelope protein</t>
  </si>
  <si>
    <t>AAM13543.1</t>
  </si>
  <si>
    <t>CPXV099 protein</t>
  </si>
  <si>
    <t>AAM92376.1</t>
  </si>
  <si>
    <t>EVM072</t>
  </si>
  <si>
    <t>AFH54635.1</t>
  </si>
  <si>
    <t>AAL40538.1</t>
  </si>
  <si>
    <t>M1R</t>
  </si>
  <si>
    <t>AAX09175.1</t>
  </si>
  <si>
    <t>MPXV-COP-074</t>
  </si>
  <si>
    <t>AKJ93717.1</t>
  </si>
  <si>
    <t>AOP31566.1</t>
  </si>
  <si>
    <t>ABD97657.1</t>
  </si>
  <si>
    <t>AAO89367.1</t>
  </si>
  <si>
    <t>CAA49014.1</t>
  </si>
  <si>
    <t>CAB54673.1</t>
  </si>
  <si>
    <t>N1R protein</t>
  </si>
  <si>
    <t>AOP31777.1</t>
  </si>
  <si>
    <t>ASC55592.1</t>
  </si>
  <si>
    <t>myristylated IMV envelope protein-like protein</t>
  </si>
  <si>
    <t>AAR98404.1</t>
  </si>
  <si>
    <t>ORF047 myristylated IMV envelope protein</t>
  </si>
  <si>
    <t>AAR98272.1</t>
  </si>
  <si>
    <t>ORF047 putative myristylated IMV envelope protein</t>
  </si>
  <si>
    <t>ABA00564.1</t>
  </si>
  <si>
    <t>IMV protein</t>
  </si>
  <si>
    <t>AIZ77298.1</t>
  </si>
  <si>
    <t>ADC53948.1</t>
  </si>
  <si>
    <t>AAL69796.1</t>
  </si>
  <si>
    <t>SPV057 putative myristylated IMV envelope protein</t>
  </si>
  <si>
    <t>CAC21298.1</t>
  </si>
  <si>
    <t>60R protein</t>
  </si>
  <si>
    <t>AAR07416.1</t>
  </si>
  <si>
    <t>60R</t>
  </si>
  <si>
    <t>AAC97691.1</t>
  </si>
  <si>
    <t>ORF MSV183 putative myristylated membrane protein, Molluscum contagiosum virus MC069R (vaccinia L1R) homolog, similar to GB:U60315</t>
  </si>
  <si>
    <t>BAO49457.1</t>
  </si>
  <si>
    <t>putative myristylated membrane protein</t>
  </si>
  <si>
    <t>CCU55456.1</t>
  </si>
  <si>
    <t>IMV membrane protein (Cop-L1R)</t>
  </si>
  <si>
    <t>AAG02923.1</t>
  </si>
  <si>
    <t>AMV217</t>
  </si>
  <si>
    <t>CCU55814.1</t>
  </si>
  <si>
    <t>CCU56113.1</t>
  </si>
  <si>
    <t>CCU56438.1</t>
  </si>
  <si>
    <t>ATI21056.1</t>
  </si>
  <si>
    <t>Western grey kangaroopox virus</t>
  </si>
  <si>
    <t>ATI21060.1</t>
  </si>
  <si>
    <t>ATI21061.1</t>
  </si>
  <si>
    <t>ATI21062.1</t>
  </si>
  <si>
    <t>ATI21067.1</t>
  </si>
  <si>
    <t>ATI21037.1</t>
  </si>
  <si>
    <t>ATI21073.1</t>
  </si>
  <si>
    <t>ATI21039.1</t>
  </si>
  <si>
    <t>ATI21043.1</t>
  </si>
  <si>
    <t>ATI21033.1</t>
  </si>
  <si>
    <t>ATI21034.1</t>
  </si>
  <si>
    <t>ATI21024.1</t>
  </si>
  <si>
    <t>ATI21028.1</t>
  </si>
  <si>
    <t>ATI21029.1</t>
  </si>
  <si>
    <t>ATI20982.1</t>
  </si>
  <si>
    <t>ATI20974.1</t>
  </si>
  <si>
    <t>ATI20981.1</t>
  </si>
  <si>
    <t>ATI20998.1</t>
  </si>
  <si>
    <t>ATI21017.1</t>
  </si>
  <si>
    <t>ATI21019.1</t>
  </si>
  <si>
    <t>ATI21021.1</t>
  </si>
  <si>
    <t>ATI20993.1</t>
  </si>
  <si>
    <t>ATI21011.1</t>
  </si>
  <si>
    <t>ATI21014.1</t>
  </si>
  <si>
    <t>ATI21004.1</t>
  </si>
  <si>
    <t>Row Labels</t>
  </si>
  <si>
    <t>Grand Total</t>
  </si>
  <si>
    <t>GenomeLink</t>
  </si>
  <si>
    <t>proteinAlign</t>
  </si>
  <si>
    <t>Y</t>
  </si>
  <si>
    <t>bovine papular stomatitis virus</t>
  </si>
  <si>
    <t>N</t>
  </si>
  <si>
    <t>canarypox virus</t>
  </si>
  <si>
    <t>cowpox virus</t>
  </si>
  <si>
    <t>ectromelia virus</t>
  </si>
  <si>
    <t>eptesipox virus</t>
  </si>
  <si>
    <t>fowlpox virus</t>
  </si>
  <si>
    <t>seal parapoxvirus</t>
  </si>
  <si>
    <t>horsepox virus</t>
  </si>
  <si>
    <t>Myxoma virus isolate BRK 897</t>
  </si>
  <si>
    <t>orf virus</t>
  </si>
  <si>
    <t>Orf virus strain NZ2</t>
  </si>
  <si>
    <t>pseudocowpox virus</t>
  </si>
  <si>
    <t>pigeonpox virus</t>
  </si>
  <si>
    <t>penguinpox virus</t>
  </si>
  <si>
    <t>pteropox virus</t>
  </si>
  <si>
    <t>raccoonpox virus</t>
  </si>
  <si>
    <t>rabbit fibroma virus</t>
  </si>
  <si>
    <t>sheeppox virus</t>
  </si>
  <si>
    <t>skunkpox virus</t>
  </si>
  <si>
    <t>salmon gill poxvirus</t>
  </si>
  <si>
    <t>sea otter poxvirus</t>
  </si>
  <si>
    <t>swinepox virus</t>
  </si>
  <si>
    <t>taterapox virus</t>
  </si>
  <si>
    <t>turkeypox virus</t>
  </si>
  <si>
    <t>variola minor virus</t>
  </si>
  <si>
    <t>volepox virus</t>
  </si>
  <si>
    <t>yokapox virus</t>
  </si>
  <si>
    <t>GroupOrder</t>
  </si>
  <si>
    <t>ProteinFunction</t>
  </si>
  <si>
    <t>GeneOrder</t>
  </si>
  <si>
    <t>GenomeOrder</t>
  </si>
  <si>
    <t>Rousettus bat poxvirus isolate 1A/Uganda/UGR70/2019</t>
  </si>
  <si>
    <t>BaseAccession</t>
  </si>
  <si>
    <t>inNewPoxAlign</t>
  </si>
  <si>
    <t>GenomeDisplayName</t>
  </si>
  <si>
    <t>madamurpox virus</t>
  </si>
  <si>
    <t>orf virus strain NZ2</t>
  </si>
  <si>
    <t>myxoma virus isolate BRK 897</t>
  </si>
  <si>
    <t>camelpox virus CMS</t>
  </si>
  <si>
    <t>Myxoma virus strain Lausanne</t>
  </si>
  <si>
    <t>Variola virus major</t>
  </si>
  <si>
    <t>XBH23847.1</t>
  </si>
  <si>
    <t>XBH23851.1</t>
  </si>
  <si>
    <t>XBH23852.1</t>
  </si>
  <si>
    <t>XBH23853.1</t>
  </si>
  <si>
    <t>XBH23857.1</t>
  </si>
  <si>
    <t>XBH23832.1</t>
  </si>
  <si>
    <t>XBH23862.1</t>
  </si>
  <si>
    <t>XBH23834.1</t>
  </si>
  <si>
    <t>PP711852.1-A7</t>
  </si>
  <si>
    <t>PP711852.1-D11</t>
  </si>
  <si>
    <t>XBH23830.1</t>
  </si>
  <si>
    <t>XBH23825.1</t>
  </si>
  <si>
    <t>XBH23828.1</t>
  </si>
  <si>
    <t>PP711852.1-D6</t>
  </si>
  <si>
    <t>XBH23788.1</t>
  </si>
  <si>
    <t>XBH23780.1</t>
  </si>
  <si>
    <t>XBH23787.1</t>
  </si>
  <si>
    <t>XBH23802.1</t>
  </si>
  <si>
    <t>XBH23819.1</t>
  </si>
  <si>
    <t>PP711852.1-H4</t>
  </si>
  <si>
    <t>XBH23822.1</t>
  </si>
  <si>
    <t>XBH23797.1</t>
  </si>
  <si>
    <t>XBH23815.1</t>
  </si>
  <si>
    <t>XBH23817.1</t>
  </si>
  <si>
    <t>XBH23769.1</t>
  </si>
  <si>
    <t>NOT ANNOTATED (tblastn-2sequences)</t>
  </si>
  <si>
    <t>mRNA capping enzyme small subunit</t>
  </si>
  <si>
    <t>mRNA capping enzyme large subunit</t>
  </si>
  <si>
    <t>NTPase protein</t>
  </si>
  <si>
    <t>poly(A) polymerase large subunit</t>
  </si>
  <si>
    <t>poly(A) polymerase small subunit</t>
  </si>
  <si>
    <t>S-S bond formation pathway protein</t>
  </si>
  <si>
    <t>ICTV_Fig4</t>
  </si>
  <si>
    <t>JQ410350.1</t>
  </si>
  <si>
    <t>NC_004002.1</t>
  </si>
  <si>
    <t>AY077835.1</t>
  </si>
  <si>
    <t>AY077832.1</t>
  </si>
  <si>
    <t>orthopoxvirus abatino</t>
  </si>
  <si>
    <t>Adoxophyes honmai entomopoxvirus</t>
  </si>
  <si>
    <t>camelpox virus</t>
  </si>
  <si>
    <t>Cotia virus</t>
  </si>
  <si>
    <t>Choristoneura rosaceana entomopoxvirus</t>
  </si>
  <si>
    <t>mule deerpox virus</t>
  </si>
  <si>
    <t>flamingopox virus</t>
  </si>
  <si>
    <t>goatpox virus</t>
  </si>
  <si>
    <t>lumpy skin disease virus</t>
  </si>
  <si>
    <t>molluscum contagiosum virus</t>
  </si>
  <si>
    <t>monkeypox virus (clade IIa)</t>
  </si>
  <si>
    <t>monkeypox virus (clade I)</t>
  </si>
  <si>
    <t>Melanoplus sanguinipes entomopoxvirus</t>
  </si>
  <si>
    <t>Mythimna separata entomopoxvirus</t>
  </si>
  <si>
    <t>myxoma virus</t>
  </si>
  <si>
    <t>parapoxvirus red deer</t>
  </si>
  <si>
    <t>squirrelpox virus</t>
  </si>
  <si>
    <t>vaccinia virus</t>
  </si>
  <si>
    <t>variola major virus</t>
  </si>
  <si>
    <t>tanapox virus</t>
  </si>
  <si>
    <t>rousettus bat poxvirus</t>
  </si>
  <si>
    <t>NC_004003.1</t>
  </si>
  <si>
    <t>DQ184476.1</t>
  </si>
  <si>
    <t>JX565564.1</t>
  </si>
  <si>
    <t>MH816996.1</t>
  </si>
  <si>
    <t>AP013055.1</t>
  </si>
  <si>
    <t>HF679131.1</t>
  </si>
  <si>
    <t>MH607141.1</t>
  </si>
  <si>
    <t>AF250284.1</t>
  </si>
  <si>
    <t>AY386265.1</t>
  </si>
  <si>
    <t>KY094066.1</t>
  </si>
  <si>
    <t>AF438165.1</t>
  </si>
  <si>
    <t>AY009089.1</t>
  </si>
  <si>
    <t>HF679132.1</t>
  </si>
  <si>
    <t>AY318871.1</t>
  </si>
  <si>
    <t>HQ647181.2</t>
  </si>
  <si>
    <t>AF482758.2</t>
  </si>
  <si>
    <t>HF679133.1</t>
  </si>
  <si>
    <t>AY689436.1</t>
  </si>
  <si>
    <t>AF012825.2</t>
  </si>
  <si>
    <t>MF467281.1</t>
  </si>
  <si>
    <t>KY747497.1</t>
  </si>
  <si>
    <t>MF678796.1</t>
  </si>
  <si>
    <t>AF198100.1</t>
  </si>
  <si>
    <t>KY382358.2</t>
  </si>
  <si>
    <t>DQ792504.1</t>
  </si>
  <si>
    <t>AF325528.1</t>
  </si>
  <si>
    <t>U60315.1</t>
  </si>
  <si>
    <t>MF001304.1</t>
  </si>
  <si>
    <t>AY753185.1</t>
  </si>
  <si>
    <t>AF380138.1</t>
  </si>
  <si>
    <t>AF063866.1</t>
  </si>
  <si>
    <t>HF679134.1</t>
  </si>
  <si>
    <t>AF170726.2</t>
  </si>
  <si>
    <t>DQ356948.1</t>
  </si>
  <si>
    <t>AY386264.1</t>
  </si>
  <si>
    <t>GQ329670.1</t>
  </si>
  <si>
    <t>KJ801920.1</t>
  </si>
  <si>
    <t>KJ859677.1</t>
  </si>
  <si>
    <t>KU980965.1</t>
  </si>
  <si>
    <t>KP143769.1</t>
  </si>
  <si>
    <t>KM502564.1</t>
  </si>
  <si>
    <t>AF170722.1</t>
  </si>
  <si>
    <t>KU749310.1</t>
  </si>
  <si>
    <t>KT159937.1</t>
  </si>
  <si>
    <t>MH427217.1</t>
  </si>
  <si>
    <t>HE601899.1</t>
  </si>
  <si>
    <t>AF410153.1</t>
  </si>
  <si>
    <t>DQ437594.1</t>
  </si>
  <si>
    <t>KP728110.2</t>
  </si>
  <si>
    <t>AY243312.1</t>
  </si>
  <si>
    <t>X69198.1</t>
  </si>
  <si>
    <t>Y16780.1</t>
  </si>
  <si>
    <t>KU749311.1</t>
  </si>
  <si>
    <t>MF467280.1</t>
  </si>
  <si>
    <t>HQ849551.1</t>
  </si>
  <si>
    <t>AJ293568.1</t>
  </si>
  <si>
    <t>AY386371.1</t>
  </si>
  <si>
    <t>PP711852.1</t>
  </si>
  <si>
    <t>Orf virus strain OV-SA00</t>
  </si>
  <si>
    <t>ectromelia virus strain ERPV</t>
  </si>
  <si>
    <t>AccInAllProteins</t>
  </si>
  <si>
    <t>M35027.1</t>
  </si>
  <si>
    <t xml:space="preserve">Vaccinia virus Copenhagen </t>
  </si>
  <si>
    <t>vaccinia virus strain Copenhagen</t>
  </si>
  <si>
    <t>AAA48140.1</t>
  </si>
  <si>
    <t>AAA48117.1</t>
  </si>
  <si>
    <t>AAA48146.1</t>
  </si>
  <si>
    <t>AAA48147.1</t>
  </si>
  <si>
    <t>AAA48148.1</t>
  </si>
  <si>
    <t>AAA48153.1</t>
  </si>
  <si>
    <t>AAA48118.1</t>
  </si>
  <si>
    <t>AAA48158.1</t>
  </si>
  <si>
    <t>AAA48124.1</t>
  </si>
  <si>
    <t>AAA48095.1</t>
  </si>
  <si>
    <t>AAA48110.1</t>
  </si>
  <si>
    <t>AAA48113.1</t>
  </si>
  <si>
    <t>AAA48102.1</t>
  </si>
  <si>
    <t>AAA48105.1</t>
  </si>
  <si>
    <t>AAA48038.1</t>
  </si>
  <si>
    <t>AAA48051.1</t>
  </si>
  <si>
    <t>AAA48049.1</t>
  </si>
  <si>
    <t>AAA48069.1</t>
  </si>
  <si>
    <t>AAA48089.1</t>
  </si>
  <si>
    <t>AAA48091.1</t>
  </si>
  <si>
    <t>AAA48093.1</t>
  </si>
  <si>
    <t>AAA48064.1</t>
  </si>
  <si>
    <t>AAA48083.1</t>
  </si>
  <si>
    <t>AAA48086.1</t>
  </si>
  <si>
    <t>AAA48076.1</t>
  </si>
  <si>
    <t>LSDV116 RNA polymerase subunit</t>
  </si>
  <si>
    <t>Column Labels</t>
  </si>
  <si>
    <t>Count of GeneAccession</t>
  </si>
  <si>
    <t>MH816996-orthopoxvirus_abatino</t>
  </si>
  <si>
    <t>AP013055-Anomala_cuprea_entomopoxvirus</t>
  </si>
  <si>
    <t>HF679131-Adoxophyes_honmai_entomopoxvirus</t>
  </si>
  <si>
    <t>MH607141-Akhmeta_virus</t>
  </si>
  <si>
    <t>AF250284-Amsacta_moorei_entomopoxvirus</t>
  </si>
  <si>
    <t>AY386265-bovine_papular_stomatitis_virus</t>
  </si>
  <si>
    <t>KY094066-BeAn_58058_virus</t>
  </si>
  <si>
    <t>AF438165-camelpox_virus</t>
  </si>
  <si>
    <t>AY009089-camelpox_virus_CMS</t>
  </si>
  <si>
    <t>HF679132-Choristoneura_biennis_entomopoxvirus</t>
  </si>
  <si>
    <t>AY318871-canarypox_virus</t>
  </si>
  <si>
    <t>HQ647181-Cotia_virus</t>
  </si>
  <si>
    <t>AF482758-cowpox_virus</t>
  </si>
  <si>
    <t>HF679133-Choristoneura_rosaceana_entomopoxvirus</t>
  </si>
  <si>
    <t>AY689436-mule_deerpox_virus</t>
  </si>
  <si>
    <t>AF012825-ectromelia_virus</t>
  </si>
  <si>
    <t>JQ410350-ectromelia_virus_strain_ERPV</t>
  </si>
  <si>
    <t>MF467281-Eastern_grey_kangaroopox_virus</t>
  </si>
  <si>
    <t>KY747497-eptesipox_virus</t>
  </si>
  <si>
    <t>MF678796-flamingopox_virus</t>
  </si>
  <si>
    <t>AF198100-fowlpox_virus</t>
  </si>
  <si>
    <t>KY382358-seal_parapoxvirus</t>
  </si>
  <si>
    <t>NC_004003-goatpox_virus</t>
  </si>
  <si>
    <t>DQ792504-horsepox_virus</t>
  </si>
  <si>
    <t>AF325528-lumpy_skin_disease_virus</t>
  </si>
  <si>
    <t>U60315-molluscum_contagiosum_virus</t>
  </si>
  <si>
    <t>MF001304-Murmansk_poxvirus</t>
  </si>
  <si>
    <t>AY753185-monkeypox_virus_(clade_IIa)</t>
  </si>
  <si>
    <t>AF380138-monkeypox_virus_(clade_I)</t>
  </si>
  <si>
    <t>AF063866-Melanoplus_sanguinipes_entomopoxvirus</t>
  </si>
  <si>
    <t>HF679134-Mythimna_separata_entomopoxvirus</t>
  </si>
  <si>
    <t>AF170726-myxoma_virus</t>
  </si>
  <si>
    <t>JX565564-myxoma_virus_isolate_BRK_897</t>
  </si>
  <si>
    <t>DQ356948-Nile_crocodilepox_virus</t>
  </si>
  <si>
    <t>AY386264-orf_virus</t>
  </si>
  <si>
    <t>DQ184476-orf_virus_strain_NZ2</t>
  </si>
  <si>
    <t>GQ329670-pseudocowpox_virus</t>
  </si>
  <si>
    <t>KJ801920-pigeonpox_virus</t>
  </si>
  <si>
    <t>KJ859677-penguinpox_virus</t>
  </si>
  <si>
    <t>KU980965-pteropox_virus</t>
  </si>
  <si>
    <t>KP143769-raccoonpox_virus</t>
  </si>
  <si>
    <t>KM502564-parapoxvirus_red_deer</t>
  </si>
  <si>
    <t>AF170722-rabbit_fibroma_virus</t>
  </si>
  <si>
    <t>NC_004002-sheeppox_virus</t>
  </si>
  <si>
    <t>KU749310-skunkpox_virus</t>
  </si>
  <si>
    <t>KT159937-salmon_gill_poxvirus</t>
  </si>
  <si>
    <t>MH427217-sea_otter_poxvirus</t>
  </si>
  <si>
    <t>HE601899-squirrelpox_virus</t>
  </si>
  <si>
    <t>AF410153-swinepox_virus</t>
  </si>
  <si>
    <t>DQ437594-taterapox_virus</t>
  </si>
  <si>
    <t>KP728110-turkeypox_virus</t>
  </si>
  <si>
    <t>AY243312-vaccinia_virus</t>
  </si>
  <si>
    <t>X69198-variola_major_virus</t>
  </si>
  <si>
    <t>Y16780-variola_minor_virus</t>
  </si>
  <si>
    <t>KU749311-volepox_virus</t>
  </si>
  <si>
    <t>MF467280-Western_grey_kangaroopox_virus</t>
  </si>
  <si>
    <t>HQ849551-yokapox_virus</t>
  </si>
  <si>
    <t>AJ293568-tanapox_virus</t>
  </si>
  <si>
    <t>AY386371-Yaba_monkey_tumor_virus</t>
  </si>
  <si>
    <t>PP711852-rousettus_bat_poxvirus</t>
  </si>
  <si>
    <t>M35027-vaccinia_virus_strain_Copenhagen</t>
  </si>
  <si>
    <t>Madamurpox virus isolate MNB22_067_17</t>
  </si>
  <si>
    <t>PZ016454.1</t>
  </si>
  <si>
    <t>YDH75396.1</t>
  </si>
  <si>
    <t>YDH75400.1</t>
  </si>
  <si>
    <t>YDH75401.1</t>
  </si>
  <si>
    <t>YDH75402.1</t>
  </si>
  <si>
    <t>YDH75406.1</t>
  </si>
  <si>
    <t>YDH75377.1</t>
  </si>
  <si>
    <t>YDH75410.1</t>
  </si>
  <si>
    <t>YDH75379.1</t>
  </si>
  <si>
    <t>YDH75383.1</t>
  </si>
  <si>
    <t>YDH75373.1</t>
  </si>
  <si>
    <t>YDH75374.1</t>
  </si>
  <si>
    <t>YDH75364.1</t>
  </si>
  <si>
    <t>YDH75368.1</t>
  </si>
  <si>
    <t>YDH75369.1</t>
  </si>
  <si>
    <t>YDH75326.1</t>
  </si>
  <si>
    <t>YDH75317.1</t>
  </si>
  <si>
    <t>YDH75325.1</t>
  </si>
  <si>
    <t>YDH75340.1</t>
  </si>
  <si>
    <t>YDH75358.1</t>
  </si>
  <si>
    <t>YDH75360.1</t>
  </si>
  <si>
    <t>YDH75362.1</t>
  </si>
  <si>
    <t>YDH75336.1</t>
  </si>
  <si>
    <t>YDH75353.1</t>
  </si>
  <si>
    <t>YDH75356.1</t>
  </si>
  <si>
    <t>YDH75346.1</t>
  </si>
  <si>
    <t>Madamurpox virus</t>
  </si>
  <si>
    <t>PZ016454-Madamurpox_virus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</si>
</sst>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3" fillId="0" borderId="0" xfId="1"/>
    <xf numFmtId="0" fontId="0" fillId="0" borderId="0" xfId="0" applyAlignment="1">
      <alignment wrapText="1"/>
    </xf>
    <xf numFmtId="0" fontId="6" fillId="0" borderId="0" xfId="0" applyFont="1"/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ish" refreshedDate="46071.684155092589" createdVersion="8" refreshedVersion="8" minRefreshableVersion="3" recordCount="1551" xr:uid="{771FDEF6-AA80-5448-8F5A-54A290C8E177}">
  <cacheSource type="worksheet">
    <worksheetSource ref="A1:K1048576" sheet="AllProteins"/>
  </cacheSource>
  <cacheFields count="11">
    <cacheField name="GeneOrder" numFmtId="0">
      <sharedItems containsString="0" containsBlank="1" containsNumber="1" containsInteger="1" minValue="1" maxValue="25"/>
    </cacheField>
    <cacheField name="GroupName" numFmtId="0">
      <sharedItems containsBlank="1" count="26">
        <s v="A18"/>
        <s v="A2"/>
        <s v="A22"/>
        <s v="A23"/>
        <s v="A24"/>
        <s v="A28"/>
        <s v="A3"/>
        <s v="A32"/>
        <s v="A7"/>
        <s v="D1"/>
        <s v="D11"/>
        <s v="D12"/>
        <s v="D5"/>
        <s v="D6"/>
        <s v="E1"/>
        <s v="E10"/>
        <s v="E9"/>
        <s v="G5"/>
        <s v="H2"/>
        <s v="H4"/>
        <s v="H6"/>
        <s v="I8"/>
        <s v="J3"/>
        <s v="J6"/>
        <s v="L1"/>
        <m/>
      </sharedItems>
    </cacheField>
    <cacheField name="GroupProteinFunction" numFmtId="0">
      <sharedItems containsBlank="1"/>
    </cacheField>
    <cacheField name="GeneAccession" numFmtId="0">
      <sharedItems containsBlank="1"/>
    </cacheField>
    <cacheField name="GeneLink" numFmtId="0">
      <sharedItems containsBlank="1"/>
    </cacheField>
    <cacheField name="GeneProteinFunction" numFmtId="0">
      <sharedItems containsBlank="1"/>
    </cacheField>
    <cacheField name="IsolateName" numFmtId="0">
      <sharedItems containsBlank="1"/>
    </cacheField>
    <cacheField name="IsolateAccession" numFmtId="0">
      <sharedItems containsBlank="1" count="63">
        <s v="MF467281.1"/>
        <s v="MH427217.1"/>
        <s v="KY094066.1"/>
        <s v="HQ647181.2"/>
        <s v="KU980965.1"/>
        <s v="KT159937.1"/>
        <s v="HE601899.1"/>
        <s v="KY747497.1"/>
        <s v="MF678796.1"/>
        <s v="KJ859677.1"/>
        <s v="KJ801920.1"/>
        <s v="KP728110.2"/>
        <s v="AY318871.1"/>
        <s v="AF198100.1"/>
        <s v="AF325528.1"/>
        <s v="MF001304.1"/>
        <s v="HQ849551.1"/>
        <s v="AY689436.1"/>
        <s v="DQ356948.1"/>
        <s v="AF170726.2"/>
        <s v="JX565564.1"/>
        <s v="AF170722.1"/>
        <s v="U60315.1"/>
        <s v="MH816996.1"/>
        <s v="MH607141.1"/>
        <s v="DQ792504.1"/>
        <s v="AY009089.1"/>
        <s v="AF438165.1"/>
        <s v="AF482758.2"/>
        <s v="AF012825.2"/>
        <s v="JQ410350.1"/>
        <s v="AF380138.1"/>
        <s v="AY753185.1"/>
        <s v="KP143769.1"/>
        <s v="KU749310.1"/>
        <s v="DQ437594.1"/>
        <s v="AY243312.1"/>
        <s v="X69198.1"/>
        <s v="Y16780.1"/>
        <s v="KU749311.1"/>
        <s v="KY382358.2"/>
        <s v="AY386265.1"/>
        <s v="AY386264.1"/>
        <s v="DQ184476.1"/>
        <s v="KM502564.1"/>
        <s v="GQ329670.1"/>
        <s v="AF410153.1"/>
        <s v="AJ293568.1"/>
        <s v="AY386371.1"/>
        <s v="AF063866.1"/>
        <s v="AP013055.1"/>
        <s v="HF679131.1"/>
        <s v="AF250284.1"/>
        <s v="HF679132.1"/>
        <s v="HF679133.1"/>
        <s v="HF679134.1"/>
        <s v="NC_004002.1"/>
        <s v="NC_004003.1"/>
        <s v="MF467280.1"/>
        <s v="MNB22"/>
        <s v="PP711852.1"/>
        <s v="M35027.1"/>
        <m/>
      </sharedItems>
    </cacheField>
    <cacheField name="GenomeDisplayName" numFmtId="0">
      <sharedItems containsBlank="1" count="63">
        <s v="Eastern grey kangaroopox virus"/>
        <s v="sea otter poxvirus"/>
        <s v="BeAn 58058 virus"/>
        <s v="Cotia virus"/>
        <s v="pteropox virus"/>
        <s v="salmon gill poxvirus"/>
        <s v="squirrelpox virus"/>
        <s v="eptesipox virus"/>
        <s v="flamingopox virus"/>
        <s v="penguinpox virus"/>
        <s v="pigeonpox virus"/>
        <s v="turkeypox virus"/>
        <s v="canarypox virus"/>
        <s v="fowlpox virus"/>
        <s v="lumpy skin disease virus"/>
        <s v="Murmansk poxvirus"/>
        <s v="yokapox virus"/>
        <s v="mule deerpox virus"/>
        <s v="Nile crocodilepox virus"/>
        <s v="myxoma virus"/>
        <s v="myxoma virus isolate BRK 897"/>
        <s v="rabbit fibroma virus"/>
        <s v="molluscum contagiosum virus"/>
        <s v="orthopoxvirus abatino"/>
        <s v="Akhmeta virus"/>
        <s v="horsepox virus"/>
        <s v="camelpox virus CMS"/>
        <s v="camelpox virus"/>
        <s v="cowpox virus"/>
        <s v="ectromelia virus"/>
        <s v="ectromelia virus strain ERPV"/>
        <s v="monkeypox virus (clade I)"/>
        <s v="monkeypox virus (clade IIa)"/>
        <s v="raccoonpox virus"/>
        <s v="skunkpox virus"/>
        <s v="taterapox virus"/>
        <s v="vaccinia virus"/>
        <s v="variola major virus"/>
        <s v="variola minor virus"/>
        <s v="volepox virus"/>
        <s v="seal parapoxvirus"/>
        <s v="bovine papular stomatitis virus"/>
        <s v="orf virus"/>
        <s v="orf virus strain NZ2"/>
        <s v="parapoxvirus red deer"/>
        <s v="pseudocowpox virus"/>
        <s v="swinepox virus"/>
        <s v="tanapox virus"/>
        <s v="Yaba monkey tumor virus"/>
        <s v="Melanoplus sanguinipes entomopoxvirus"/>
        <s v="Anomala cuprea entomopoxvirus"/>
        <s v="Adoxophyes honmai entomopoxvirus"/>
        <s v="Amsacta moorei entomopoxvirus"/>
        <s v="Choristoneura biennis entomopoxvirus"/>
        <s v="Choristoneura rosaceana entomopoxvirus"/>
        <s v="Mythimna separata entomopoxvirus"/>
        <s v="sheeppox virus"/>
        <s v="goatpox virus"/>
        <s v="Western grey kangaroopox virus"/>
        <s v="madamurpox virus"/>
        <s v="rousettus bat poxvirus"/>
        <s v="vaccinia virus strain Copenhagen"/>
        <m/>
      </sharedItems>
    </cacheField>
    <cacheField name="GenomeOrder" numFmtId="0">
      <sharedItems containsString="0" containsBlank="1" containsNumber="1" containsInteger="1" minValue="1" maxValue="62"/>
    </cacheField>
    <cacheField name="inNewPoxAlign" numFmtId="0">
      <sharedItems containsBlank="1" count="3">
        <s v="Y"/>
        <s v="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1">
  <r>
    <n v="1"/>
    <x v="0"/>
    <s v="DNA helicase"/>
    <s v="ATI21220.1"/>
    <s v="PROT:ATI21220.1"/>
    <s v="DNA helicase transcript release factor"/>
    <s v="Eastern grey kangaroopox virus"/>
    <x v="0"/>
    <x v="0"/>
    <n v="18"/>
    <x v="0"/>
  </r>
  <r>
    <n v="1"/>
    <x v="0"/>
    <s v="DNA helicase"/>
    <s v="AWU47153.1"/>
    <s v="PROT:AWU47153.1"/>
    <s v="DNA helicase"/>
    <s v="Sea otter poxvirus"/>
    <x v="1"/>
    <x v="1"/>
    <n v="47"/>
    <x v="0"/>
  </r>
  <r>
    <n v="1"/>
    <x v="0"/>
    <s v="DNA helicase"/>
    <s v="APG58328.1"/>
    <s v="PROT:APG58328.1"/>
    <s v="transcript termination protein A18"/>
    <s v="BeAn 58058 virus"/>
    <x v="2"/>
    <x v="2"/>
    <n v="7"/>
    <x v="1"/>
  </r>
  <r>
    <n v="1"/>
    <x v="0"/>
    <s v="DNA helicase"/>
    <s v="ADT91137.1"/>
    <s v="PROT:ADT91137.1"/>
    <s v="DNA helicase-transcription elongation factor"/>
    <s v="Cotia virus SPAn232"/>
    <x v="3"/>
    <x v="3"/>
    <n v="12"/>
    <x v="0"/>
  </r>
  <r>
    <n v="1"/>
    <x v="0"/>
    <s v="DNA helicase"/>
    <s v="ANS71197.1"/>
    <s v="PROT:ANS71197.1"/>
    <s v="DNA helicase transcript release factor"/>
    <s v="Pteropox virus"/>
    <x v="4"/>
    <x v="4"/>
    <n v="40"/>
    <x v="0"/>
  </r>
  <r>
    <n v="1"/>
    <x v="0"/>
    <s v="DNA helicase"/>
    <s v="AKR04244.1"/>
    <s v="PROT:AKR04244.1"/>
    <s v="DNA or RNA helicases of superfamily II"/>
    <s v="Salmon gill poxvirus"/>
    <x v="5"/>
    <x v="5"/>
    <n v="46"/>
    <x v="0"/>
  </r>
  <r>
    <n v="1"/>
    <x v="0"/>
    <s v="DNA helicase"/>
    <s v="CCD83290.1"/>
    <s v="PROT:CCD83290.1"/>
    <s v="transcript release/DNA helicase"/>
    <s v="Squirrelpox virus"/>
    <x v="6"/>
    <x v="6"/>
    <n v="48"/>
    <x v="0"/>
  </r>
  <r>
    <n v="1"/>
    <x v="0"/>
    <s v="DNA helicase"/>
    <s v="ASK51316.1"/>
    <s v="PROT:ASK51316.1"/>
    <s v="DNA helicase, transcript release factor"/>
    <s v="Eptesipox virus"/>
    <x v="7"/>
    <x v="7"/>
    <n v="19"/>
    <x v="0"/>
  </r>
  <r>
    <n v="1"/>
    <x v="0"/>
    <s v="DNA helicase"/>
    <s v="AUD40291.1"/>
    <s v="PROT:AUD40291.1"/>
    <s v="DNA helicase"/>
    <s v="Flamingopox virus FGPVKD09"/>
    <x v="8"/>
    <x v="8"/>
    <n v="20"/>
    <x v="0"/>
  </r>
  <r>
    <n v="1"/>
    <x v="0"/>
    <s v="DNA helicase"/>
    <s v="AID46922.1"/>
    <s v="PROT:AID46922.1"/>
    <s v="DNA helicase"/>
    <s v="Penguinpox virus"/>
    <x v="9"/>
    <x v="9"/>
    <n v="39"/>
    <x v="0"/>
  </r>
  <r>
    <n v="1"/>
    <x v="0"/>
    <s v="DNA helicase"/>
    <s v="AID46690.1"/>
    <s v="PROT:AID46690.1"/>
    <s v="DNA helicase"/>
    <s v="Pigeonpox virus"/>
    <x v="10"/>
    <x v="10"/>
    <n v="38"/>
    <x v="0"/>
  </r>
  <r>
    <n v="1"/>
    <x v="0"/>
    <s v="DNA helicase"/>
    <s v="ALA62507.1"/>
    <s v="PROT:ALA62507.1"/>
    <s v="transcriptional elongation DNA helicase"/>
    <s v="Turkeypox virus"/>
    <x v="11"/>
    <x v="11"/>
    <n v="51"/>
    <x v="0"/>
  </r>
  <r>
    <n v="1"/>
    <x v="0"/>
    <s v="DNA helicase"/>
    <s v="AAR83603.1"/>
    <s v="PROT:AAR83603.1"/>
    <s v="CNPV257 DNA helicase, transcriptional elongation"/>
    <s v="Canarypox virus"/>
    <x v="12"/>
    <x v="12"/>
    <n v="11"/>
    <x v="0"/>
  </r>
  <r>
    <n v="1"/>
    <x v="0"/>
    <s v="DNA helicase"/>
    <s v="AAF44527.1"/>
    <s v="PROT:AAF44527.1"/>
    <s v="ORF FPV183 DNA helicase, transcriptional elongation"/>
    <s v="Fowlpox virus"/>
    <x v="13"/>
    <x v="13"/>
    <n v="21"/>
    <x v="0"/>
  </r>
  <r>
    <n v="1"/>
    <x v="0"/>
    <s v="DNA helicase"/>
    <s v="AAK85071.1"/>
    <s v="PROT:AAK85071.1"/>
    <s v="LSDV110 putative DNA helicase transcriptional elongation factor"/>
    <s v="Lumpy skin disease virus NI-2490"/>
    <x v="14"/>
    <x v="14"/>
    <n v="25"/>
    <x v="0"/>
  </r>
  <r>
    <n v="1"/>
    <x v="0"/>
    <s v="DNA helicase"/>
    <s v="AST09329.1"/>
    <s v="PROT:AST09329.1"/>
    <s v="DNA helicase"/>
    <s v="Murmansk poxvirus"/>
    <x v="15"/>
    <x v="15"/>
    <n v="27"/>
    <x v="0"/>
  </r>
  <r>
    <n v="1"/>
    <x v="0"/>
    <s v="DNA helicase"/>
    <s v="AEN03711.1"/>
    <s v="PROT:AEN03711.1"/>
    <s v="DNA helicase"/>
    <s v="Yokapox virus"/>
    <x v="16"/>
    <x v="16"/>
    <n v="57"/>
    <x v="0"/>
  </r>
  <r>
    <n v="1"/>
    <x v="0"/>
    <s v="DNA helicase"/>
    <s v="ABI99274.1"/>
    <s v="PROT:ABI99274.1"/>
    <s v="DNA helicase"/>
    <s v="Deerpox virus W-848-83"/>
    <x v="17"/>
    <x v="17"/>
    <n v="15"/>
    <x v="0"/>
  </r>
  <r>
    <n v="1"/>
    <x v="0"/>
    <s v="DNA helicase"/>
    <s v="ABJ09032.1"/>
    <s v="PROT:ABJ09032.1"/>
    <s v="DNA helicase"/>
    <s v="Nile crocodilepox virus"/>
    <x v="18"/>
    <x v="18"/>
    <n v="34"/>
    <x v="0"/>
  </r>
  <r>
    <n v="1"/>
    <x v="0"/>
    <s v="DNA helicase"/>
    <s v="AAF14996.1"/>
    <s v="PROT:AAF14996.1"/>
    <s v="m108R"/>
    <s v="Myxoma virus strain Lausanne"/>
    <x v="19"/>
    <x v="19"/>
    <n v="32"/>
    <x v="0"/>
  </r>
  <r>
    <n v="1"/>
    <x v="0"/>
    <s v="DNA helicase"/>
    <s v="AFU77372.1"/>
    <s v="PROT:AFU77372.1"/>
    <s v="m108R"/>
    <s v="Myxoma virus isolate BRK 897"/>
    <x v="20"/>
    <x v="20"/>
    <n v="33"/>
    <x v="1"/>
  </r>
  <r>
    <n v="1"/>
    <x v="0"/>
    <s v="DNA helicase"/>
    <s v="AAF17991.1"/>
    <s v="PROT:AAF17991.1"/>
    <s v="gp108R"/>
    <s v="Rabbit fibroma virus"/>
    <x v="21"/>
    <x v="21"/>
    <n v="43"/>
    <x v="0"/>
  </r>
  <r>
    <n v="1"/>
    <x v="0"/>
    <s v="DNA helicase"/>
    <s v="AAC55251.1"/>
    <s v="PROT:AAC55251.1"/>
    <s v="MC123R"/>
    <s v="Molluscum contagiosum virus subtype 1"/>
    <x v="22"/>
    <x v="22"/>
    <n v="26"/>
    <x v="0"/>
  </r>
  <r>
    <n v="1"/>
    <x v="0"/>
    <s v="DNA helicase"/>
    <s v="AYN64703.1"/>
    <s v="PROT:AYN64703.1"/>
    <s v="putative A18R protein"/>
    <s v="Orthopoxvirus Abatino"/>
    <x v="23"/>
    <x v="23"/>
    <n v="1"/>
    <x v="0"/>
  </r>
  <r>
    <n v="1"/>
    <x v="0"/>
    <s v="DNA helicase"/>
    <s v="AXN74933.1"/>
    <s v="PROT:AXN74933.1"/>
    <s v="DNA helicase"/>
    <s v="Akhmeta virus"/>
    <x v="24"/>
    <x v="24"/>
    <n v="4"/>
    <x v="0"/>
  </r>
  <r>
    <n v="1"/>
    <x v="0"/>
    <s v="DNA helicase"/>
    <s v="ABH08245.1"/>
    <s v="PROT:ABH08245.1"/>
    <s v="HSPV139"/>
    <s v="Horsepox virus"/>
    <x v="25"/>
    <x v="25"/>
    <n v="24"/>
    <x v="0"/>
  </r>
  <r>
    <n v="1"/>
    <x v="0"/>
    <s v="DNA helicase"/>
    <s v="AAG37625.1"/>
    <s v="PROT:AAG37625.1"/>
    <s v="CMP135R"/>
    <s v="Camelpox virus CMS"/>
    <x v="26"/>
    <x v="26"/>
    <n v="9"/>
    <x v="1"/>
  </r>
  <r>
    <n v="1"/>
    <x v="0"/>
    <s v="DNA helicase"/>
    <s v="AAL73843.1"/>
    <s v="PROT:AAL73843.1"/>
    <s v="putative DNA helicase transcriptional elongation factor"/>
    <s v="Camelpox virus M-96"/>
    <x v="27"/>
    <x v="27"/>
    <n v="8"/>
    <x v="0"/>
  </r>
  <r>
    <n v="1"/>
    <x v="0"/>
    <s v="DNA helicase"/>
    <s v="AAM13592.1"/>
    <s v="PROT:AAM13592.1"/>
    <s v="CPXV151 protein"/>
    <s v="Cowpox virus"/>
    <x v="28"/>
    <x v="28"/>
    <n v="13"/>
    <x v="0"/>
  </r>
  <r>
    <n v="1"/>
    <x v="0"/>
    <s v="DNA helicase"/>
    <s v="AAM92426.1"/>
    <s v="PROT:AAM92426.1"/>
    <s v="EVM121"/>
    <s v="Ectromelia virus"/>
    <x v="29"/>
    <x v="29"/>
    <n v="16"/>
    <x v="0"/>
  </r>
  <r>
    <n v="1"/>
    <x v="0"/>
    <s v="DNA helicase"/>
    <s v="AFH54685.1"/>
    <s v="PROT:AFH54685.1"/>
    <s v="DNA helicase"/>
    <s v="Ectromelia virus ERPV"/>
    <x v="30"/>
    <x v="30"/>
    <n v="17"/>
    <x v="1"/>
  </r>
  <r>
    <n v="1"/>
    <x v="0"/>
    <s v="DNA helicase"/>
    <s v="AAL40587.1"/>
    <s v="PROT:AAL40587.1"/>
    <s v="A19R"/>
    <s v="Monkeypox virus Zaire-96-I-16 (clade I)"/>
    <x v="31"/>
    <x v="31"/>
    <n v="29"/>
    <x v="0"/>
  </r>
  <r>
    <n v="1"/>
    <x v="0"/>
    <s v="DNA helicase"/>
    <s v="AAX09225.1"/>
    <s v="PROT:AAX09225.1"/>
    <s v="MPXV-COP-124"/>
    <s v="monkeypox virus strain cOP-58 (clade IIa)"/>
    <x v="32"/>
    <x v="32"/>
    <n v="28"/>
    <x v="0"/>
  </r>
  <r>
    <n v="1"/>
    <x v="0"/>
    <s v="DNA helicase"/>
    <s v="AKJ93767.1"/>
    <s v="PROT:AKJ93767.1"/>
    <s v="DNA helicase"/>
    <s v="Raccoonpox virus"/>
    <x v="33"/>
    <x v="33"/>
    <n v="41"/>
    <x v="0"/>
  </r>
  <r>
    <n v="1"/>
    <x v="0"/>
    <s v="DNA helicase"/>
    <s v="AOP31616.1"/>
    <s v="PROT:AOP31616.1"/>
    <s v="DNA helicase"/>
    <s v="Skunkpox virus"/>
    <x v="34"/>
    <x v="34"/>
    <n v="45"/>
    <x v="0"/>
  </r>
  <r>
    <n v="1"/>
    <x v="0"/>
    <s v="DNA helicase"/>
    <s v="ABD97706.1"/>
    <s v="PROT:ABD97706.1"/>
    <s v="DNA helicase"/>
    <s v="Taterapox virus"/>
    <x v="35"/>
    <x v="35"/>
    <n v="50"/>
    <x v="0"/>
  </r>
  <r>
    <n v="1"/>
    <x v="0"/>
    <s v="DNA helicase"/>
    <s v="AAO89417.1"/>
    <s v="PROT:AAO89417.1"/>
    <s v="DNA helicase"/>
    <s v="Vaccinia virus WR"/>
    <x v="36"/>
    <x v="36"/>
    <n v="52"/>
    <x v="0"/>
  </r>
  <r>
    <n v="1"/>
    <x v="0"/>
    <s v="DNA helicase"/>
    <s v="CAA49063.1"/>
    <s v="PROT:CAA49063.1"/>
    <s v="A18R"/>
    <s v="Variola virus major"/>
    <x v="37"/>
    <x v="37"/>
    <n v="53"/>
    <x v="0"/>
  </r>
  <r>
    <n v="1"/>
    <x v="0"/>
    <s v="DNA helicase"/>
    <s v="CAB54722.1"/>
    <s v="PROT:CAB54722.1"/>
    <s v="A19R protein"/>
    <s v="Variola minor virus"/>
    <x v="38"/>
    <x v="38"/>
    <n v="54"/>
    <x v="0"/>
  </r>
  <r>
    <n v="1"/>
    <x v="0"/>
    <s v="DNA helicase"/>
    <s v="AOP31827.1"/>
    <s v="PROT:AOP31827.1"/>
    <s v="DNA helicase"/>
    <s v="Volepox virus"/>
    <x v="39"/>
    <x v="39"/>
    <n v="55"/>
    <x v="0"/>
  </r>
  <r>
    <n v="1"/>
    <x v="0"/>
    <s v="DNA helicase"/>
    <s v="ASC55551.1"/>
    <s v="PROT:ASC55551.1"/>
    <s v="DNA helicase-like protein"/>
    <s v="Seal parapoxvirus"/>
    <x v="40"/>
    <x v="40"/>
    <n v="22"/>
    <x v="0"/>
  </r>
  <r>
    <n v="1"/>
    <x v="0"/>
    <s v="DNA helicase"/>
    <s v="AAR98452.1"/>
    <s v="PROT:AAR98452.1"/>
    <s v="ORF095 DNA helicase"/>
    <s v="Bovine papular stomatitis virus"/>
    <x v="41"/>
    <x v="41"/>
    <n v="6"/>
    <x v="0"/>
  </r>
  <r>
    <n v="1"/>
    <x v="0"/>
    <s v="DNA helicase"/>
    <s v="AAR98320.1"/>
    <s v="PROT:AAR98320.1"/>
    <s v="ORF095 DNA helicase"/>
    <s v="Orf virus strain OV-SA00"/>
    <x v="42"/>
    <x v="42"/>
    <n v="35"/>
    <x v="0"/>
  </r>
  <r>
    <n v="1"/>
    <x v="0"/>
    <s v="DNA helicase"/>
    <s v="ABA00612.1"/>
    <s v="PROT:ABA00612.1"/>
    <s v="DNA helicase"/>
    <s v="Orf virus strain NZ2"/>
    <x v="43"/>
    <x v="43"/>
    <n v="36"/>
    <x v="1"/>
  </r>
  <r>
    <n v="1"/>
    <x v="0"/>
    <s v="DNA helicase"/>
    <s v="AIZ77346.1"/>
    <s v="PROT:AIZ77346.1"/>
    <s v="putative DNA helicase"/>
    <s v="Parapoxvirus red deer/HL953"/>
    <x v="44"/>
    <x v="44"/>
    <n v="42"/>
    <x v="0"/>
  </r>
  <r>
    <n v="1"/>
    <x v="0"/>
    <s v="DNA helicase"/>
    <s v="ADC53997.1"/>
    <s v="PROT:ADC53997.1"/>
    <s v="DNA helicase"/>
    <s v="Pseudocowpox virus"/>
    <x v="45"/>
    <x v="45"/>
    <n v="37"/>
    <x v="0"/>
  </r>
  <r>
    <n v="1"/>
    <x v="0"/>
    <s v="DNA helicase"/>
    <s v="AAL69846.1"/>
    <s v="PROT:AAL69846.1"/>
    <s v="SPV107 putative DNA helicase transcriptional elongation factor"/>
    <s v="Swinepox virus"/>
    <x v="46"/>
    <x v="46"/>
    <n v="49"/>
    <x v="0"/>
  </r>
  <r>
    <n v="1"/>
    <x v="0"/>
    <s v="DNA helicase"/>
    <s v="CAC21348.1"/>
    <s v="PROT:CAC21348.1"/>
    <s v="110R protein"/>
    <s v="Yaba-like disease virus"/>
    <x v="47"/>
    <x v="47"/>
    <n v="58"/>
    <x v="0"/>
  </r>
  <r>
    <n v="1"/>
    <x v="0"/>
    <s v="DNA helicase"/>
    <s v="AAR07466.1"/>
    <s v="PROT:AAR07466.1"/>
    <s v="110R"/>
    <s v="Yaba monkey tumor virus"/>
    <x v="48"/>
    <x v="48"/>
    <n v="59"/>
    <x v="0"/>
  </r>
  <r>
    <n v="1"/>
    <x v="0"/>
    <s v="DNA helicase"/>
    <s v="AAC97786.1"/>
    <s v="PROT:AAC97786.1"/>
    <s v="ORF MSV148 putative DNA helicase (vaccinia A18R), similar to SW:P20534"/>
    <s v="Melanoplus sanguinipes entomopoxvirus 'O'"/>
    <x v="49"/>
    <x v="49"/>
    <n v="30"/>
    <x v="0"/>
  </r>
  <r>
    <n v="1"/>
    <x v="0"/>
    <s v="DNA helicase"/>
    <s v="BAO49508.1"/>
    <s v="PROT:BAO49508.1"/>
    <s v="DNA helicase, transcriptional elongation"/>
    <s v="Anomala cuprea entomopoxvirus"/>
    <x v="50"/>
    <x v="50"/>
    <n v="2"/>
    <x v="0"/>
  </r>
  <r>
    <n v="1"/>
    <x v="0"/>
    <s v="DNA helicase"/>
    <s v="CCU55377.1"/>
    <s v="PROT:CCU55377.1"/>
    <s v="DNA helicase, transcript release factor"/>
    <s v="Adoxophyes honmai entomopoxvirus 'L'"/>
    <x v="51"/>
    <x v="51"/>
    <n v="3"/>
    <x v="0"/>
  </r>
  <r>
    <n v="1"/>
    <x v="0"/>
    <s v="DNA helicase"/>
    <s v="AAG02765.1"/>
    <s v="PROT:AAG02765.1"/>
    <s v="AMV059"/>
    <s v="Amsacta moorei entomopoxvirus"/>
    <x v="52"/>
    <x v="52"/>
    <n v="5"/>
    <x v="0"/>
  </r>
  <r>
    <n v="1"/>
    <x v="0"/>
    <s v="DNA helicase"/>
    <s v="CCU55672.1"/>
    <s v="PROT:CCU55672.1"/>
    <s v="DNA helicase, transcript release factor"/>
    <s v="Choristoneura biennis entomopoxvirus"/>
    <x v="53"/>
    <x v="53"/>
    <n v="10"/>
    <x v="0"/>
  </r>
  <r>
    <n v="1"/>
    <x v="0"/>
    <s v="DNA helicase"/>
    <s v="CCU55983.1"/>
    <s v="PROT:CCU55983.1"/>
    <s v="DNA helicase, transcript release factor"/>
    <s v="Choristoneura rosaceana entomopoxvirus 'L'"/>
    <x v="54"/>
    <x v="54"/>
    <n v="14"/>
    <x v="0"/>
  </r>
  <r>
    <n v="1"/>
    <x v="0"/>
    <s v="DNA helicase"/>
    <s v="CCU56280.1"/>
    <s v="PROT:CCU56280.1"/>
    <s v="DNA helicase, transcript release factor"/>
    <s v="Mythimna separata entomopoxvirus 'L'"/>
    <x v="55"/>
    <x v="55"/>
    <n v="31"/>
    <x v="0"/>
  </r>
  <r>
    <n v="1"/>
    <x v="0"/>
    <s v="DNA helicase"/>
    <s v="NP_659682.1"/>
    <s v="PROT:NP_659682.1"/>
    <s v="DNA helicase, transcritional elongation"/>
    <s v="Sheeppox virus"/>
    <x v="56"/>
    <x v="56"/>
    <n v="44"/>
    <x v="0"/>
  </r>
  <r>
    <n v="1"/>
    <x v="0"/>
    <s v="DNA helicase"/>
    <s v="YP_001293301.1"/>
    <s v="PROT:YP_001293301.1"/>
    <s v="hypothetical protein GTPV_gp105"/>
    <s v="Goatpox virus Pellor"/>
    <x v="57"/>
    <x v="57"/>
    <n v="23"/>
    <x v="0"/>
  </r>
  <r>
    <n v="6"/>
    <x v="1"/>
    <s v="VLTF-3"/>
    <s v="ATI21201.1"/>
    <s v="PROT:ATI21201.1"/>
    <s v="VLTF-3"/>
    <s v="Eastern grey kangaroopox virus"/>
    <x v="0"/>
    <x v="0"/>
    <n v="18"/>
    <x v="0"/>
  </r>
  <r>
    <n v="6"/>
    <x v="1"/>
    <s v="VLTF-3"/>
    <s v="AWU47135.1"/>
    <s v="PROT:AWU47135.1"/>
    <s v="VLTF-3"/>
    <s v="Sea otter poxvirus"/>
    <x v="1"/>
    <x v="1"/>
    <n v="47"/>
    <x v="0"/>
  </r>
  <r>
    <n v="6"/>
    <x v="1"/>
    <s v="VLTF-3"/>
    <s v="APG58311.1"/>
    <s v="PROT:APG58311.1"/>
    <s v="viral late gene transcription factor 3"/>
    <s v="BeAn 58058 virus"/>
    <x v="2"/>
    <x v="2"/>
    <n v="7"/>
    <x v="1"/>
  </r>
  <r>
    <n v="6"/>
    <x v="1"/>
    <s v="VLTF-3"/>
    <s v="ADT91121.1"/>
    <s v="PROT:ADT91121.1"/>
    <s v="viral late transcription factor VLTF-3"/>
    <s v="Cotia virus SPAn232"/>
    <x v="3"/>
    <x v="3"/>
    <n v="12"/>
    <x v="0"/>
  </r>
  <r>
    <n v="6"/>
    <x v="1"/>
    <s v="VLTF-3"/>
    <s v="ANS71179.1"/>
    <s v="PROT:ANS71179.1"/>
    <s v="viral late transcription factor"/>
    <s v="Pteropox virus"/>
    <x v="4"/>
    <x v="4"/>
    <n v="40"/>
    <x v="0"/>
  </r>
  <r>
    <n v="6"/>
    <x v="1"/>
    <s v="VLTF-3"/>
    <s v="AKR04224.1"/>
    <s v="PROT:AKR04224.1"/>
    <s v="late transcription factor VLTF3-like protein"/>
    <s v="Salmon gill poxvirus"/>
    <x v="5"/>
    <x v="5"/>
    <n v="46"/>
    <x v="0"/>
  </r>
  <r>
    <n v="6"/>
    <x v="1"/>
    <s v="VLTF-3"/>
    <s v="CCD83272.1"/>
    <s v="PROT:CCD83272.1"/>
    <s v="late transcription factor VLTF3"/>
    <s v="Squirrelpox virus"/>
    <x v="6"/>
    <x v="6"/>
    <n v="48"/>
    <x v="0"/>
  </r>
  <r>
    <n v="6"/>
    <x v="1"/>
    <s v="VLTF-3"/>
    <s v="ASK51298.1"/>
    <s v="PROT:ASK51298.1"/>
    <s v="Late transcription factor (VLTF-3)"/>
    <s v="Eptesipox virus"/>
    <x v="7"/>
    <x v="7"/>
    <n v="19"/>
    <x v="0"/>
  </r>
  <r>
    <n v="6"/>
    <x v="1"/>
    <s v="VLTF-3"/>
    <s v="AUD40272.1"/>
    <s v="PROT:AUD40272.1"/>
    <s v="late transcription factor 3"/>
    <s v="Flamingopox virus FGPVKD09"/>
    <x v="8"/>
    <x v="8"/>
    <n v="20"/>
    <x v="0"/>
  </r>
  <r>
    <n v="6"/>
    <x v="1"/>
    <s v="VLTF-3"/>
    <s v="AID46903.1"/>
    <s v="PROT:AID46903.1"/>
    <s v="late transcription factor VLTF-3"/>
    <s v="Penguinpox virus"/>
    <x v="9"/>
    <x v="9"/>
    <n v="39"/>
    <x v="0"/>
  </r>
  <r>
    <n v="6"/>
    <x v="1"/>
    <s v="VLTF-3"/>
    <s v="AID46672.1"/>
    <s v="PROT:AID46672.1"/>
    <s v="late transcription factor VLTF-3"/>
    <s v="Pigeonpox virus"/>
    <x v="10"/>
    <x v="10"/>
    <n v="38"/>
    <x v="0"/>
  </r>
  <r>
    <n v="6"/>
    <x v="1"/>
    <s v="VLTF-3"/>
    <s v="ALA62495.1"/>
    <s v="PROT:ALA62495.1"/>
    <s v="late transcription factor VLTF-3"/>
    <s v="Turkeypox virus"/>
    <x v="11"/>
    <x v="11"/>
    <n v="51"/>
    <x v="0"/>
  </r>
  <r>
    <n v="6"/>
    <x v="1"/>
    <s v="VLTF-3"/>
    <s v="AAR83584.1"/>
    <s v="PROT:AAR83584.1"/>
    <s v="CNPV238 late transcription factor VLTF-3"/>
    <s v="Canarypox virus"/>
    <x v="12"/>
    <x v="12"/>
    <n v="11"/>
    <x v="0"/>
  </r>
  <r>
    <n v="6"/>
    <x v="1"/>
    <s v="VLTF-3"/>
    <s v="AAF44509.1"/>
    <s v="PROT:AAF44509.1"/>
    <s v="ORF FPV165 Late transcription factor, VLTF-3"/>
    <s v="Fowlpox virus"/>
    <x v="13"/>
    <x v="13"/>
    <n v="21"/>
    <x v="0"/>
  </r>
  <r>
    <n v="6"/>
    <x v="1"/>
    <s v="VLTF-3"/>
    <s v="AAK85053.1"/>
    <s v="PROT:AAK85053.1"/>
    <s v="LSDV092 putative late transcription factor"/>
    <s v="Lumpy skin disease virus NI-2490"/>
    <x v="14"/>
    <x v="14"/>
    <n v="25"/>
    <x v="0"/>
  </r>
  <r>
    <n v="6"/>
    <x v="1"/>
    <s v="VLTF-3"/>
    <s v="AST09311.1"/>
    <s v="PROT:AST09311.1"/>
    <s v="late gene transcription factor"/>
    <s v="Murmansk poxvirus"/>
    <x v="15"/>
    <x v="15"/>
    <n v="27"/>
    <x v="0"/>
  </r>
  <r>
    <n v="6"/>
    <x v="1"/>
    <s v="VLTF-3"/>
    <s v="AEN03691.1"/>
    <s v="PROT:AEN03691.1"/>
    <s v="late gene transcription factor VLTF-3"/>
    <s v="Yokapox virus"/>
    <x v="16"/>
    <x v="16"/>
    <n v="57"/>
    <x v="0"/>
  </r>
  <r>
    <n v="6"/>
    <x v="1"/>
    <s v="VLTF-3"/>
    <s v="ABI99256.1"/>
    <s v="PROT:ABI99256.1"/>
    <s v="late transcription factor VLTF-3"/>
    <s v="Deerpox virus W-848-83"/>
    <x v="17"/>
    <x v="17"/>
    <n v="15"/>
    <x v="0"/>
  </r>
  <r>
    <n v="6"/>
    <x v="1"/>
    <s v="VLTF-3"/>
    <s v="ABJ09013.1"/>
    <s v="PROT:ABJ09013.1"/>
    <s v="late transcription factor VLTF-3"/>
    <s v="Nile crocodilepox virus"/>
    <x v="18"/>
    <x v="18"/>
    <n v="34"/>
    <x v="0"/>
  </r>
  <r>
    <n v="6"/>
    <x v="1"/>
    <s v="VLTF-3"/>
    <s v="AAF14978.1"/>
    <s v="PROT:AAF14978.1"/>
    <s v="m90L"/>
    <s v="Myxoma virus strain Lausanne"/>
    <x v="19"/>
    <x v="19"/>
    <n v="32"/>
    <x v="0"/>
  </r>
  <r>
    <n v="6"/>
    <x v="1"/>
    <s v="VLTF-3"/>
    <s v="AFU77354.1"/>
    <s v="PROT:AFU77354.1"/>
    <s v="m90L"/>
    <s v="Myxoma virus isolate BRK 897"/>
    <x v="20"/>
    <x v="20"/>
    <n v="33"/>
    <x v="1"/>
  </r>
  <r>
    <n v="6"/>
    <x v="1"/>
    <s v="VLTF-3"/>
    <s v="AAF17974.1"/>
    <s v="PROT:AAF17974.1"/>
    <s v="gp090L"/>
    <s v="Rabbit fibroma virus"/>
    <x v="21"/>
    <x v="21"/>
    <n v="43"/>
    <x v="0"/>
  </r>
  <r>
    <n v="6"/>
    <x v="1"/>
    <s v="VLTF-3"/>
    <s v="AAC55232.1"/>
    <s v="PROT:AAC55232.1"/>
    <s v="MC104L"/>
    <s v="Molluscum contagiosum virus subtype 1"/>
    <x v="22"/>
    <x v="22"/>
    <n v="26"/>
    <x v="0"/>
  </r>
  <r>
    <n v="6"/>
    <x v="1"/>
    <s v="VLTF-3"/>
    <s v="AYN64686.1"/>
    <s v="PROT:AYN64686.1"/>
    <s v="putative A2L protein"/>
    <s v="Orthopoxvirus Abatino"/>
    <x v="23"/>
    <x v="23"/>
    <n v="1"/>
    <x v="0"/>
  </r>
  <r>
    <n v="6"/>
    <x v="1"/>
    <s v="VLTF-3"/>
    <s v="AXN74915.1"/>
    <s v="PROT:AXN74915.1"/>
    <s v="late transcription factor VLTF-3"/>
    <s v="Akhmeta virus"/>
    <x v="24"/>
    <x v="24"/>
    <n v="4"/>
    <x v="0"/>
  </r>
  <r>
    <n v="6"/>
    <x v="1"/>
    <s v="VLTF-3"/>
    <s v="ABH08227.1"/>
    <s v="PROT:ABH08227.1"/>
    <s v="HSPV121"/>
    <s v="Horsepox virus"/>
    <x v="25"/>
    <x v="25"/>
    <n v="24"/>
    <x v="0"/>
  </r>
  <r>
    <n v="6"/>
    <x v="1"/>
    <s v="VLTF-3"/>
    <s v="AAG37600.1"/>
    <s v="PROT:AAG37600.1"/>
    <s v="CMP117L"/>
    <s v="Camelpox virus CMS"/>
    <x v="26"/>
    <x v="26"/>
    <n v="9"/>
    <x v="1"/>
  </r>
  <r>
    <n v="6"/>
    <x v="1"/>
    <s v="VLTF-3"/>
    <s v="AAL73825.1"/>
    <s v="PROT:AAL73825.1"/>
    <s v="putative late transcription factor VLTF-3"/>
    <s v="Camelpox virus M-96"/>
    <x v="27"/>
    <x v="27"/>
    <n v="8"/>
    <x v="0"/>
  </r>
  <r>
    <n v="6"/>
    <x v="1"/>
    <s v="VLTF-3"/>
    <s v="AAM13574.1"/>
    <s v="PROT:AAM13574.1"/>
    <s v="CPXV133 protein"/>
    <s v="Cowpox virus"/>
    <x v="28"/>
    <x v="28"/>
    <n v="13"/>
    <x v="0"/>
  </r>
  <r>
    <n v="6"/>
    <x v="1"/>
    <s v="VLTF-3"/>
    <s v="AAM92408.1"/>
    <s v="PROT:AAM92408.1"/>
    <s v="EVM104"/>
    <s v="Ectromelia virus"/>
    <x v="29"/>
    <x v="29"/>
    <n v="16"/>
    <x v="0"/>
  </r>
  <r>
    <n v="6"/>
    <x v="1"/>
    <s v="VLTF-3"/>
    <s v="AFH54667.1"/>
    <s v="PROT:AFH54667.1"/>
    <s v="viral late transcription factor 3"/>
    <s v="Ectromelia virus ERPV"/>
    <x v="30"/>
    <x v="30"/>
    <n v="17"/>
    <x v="1"/>
  </r>
  <r>
    <n v="6"/>
    <x v="1"/>
    <s v="VLTF-3"/>
    <s v="AAL40570.1"/>
    <s v="PROT:AAL40570.1"/>
    <s v="A2L"/>
    <s v="Monkeypox virus Zaire-96-I-16 (clade I)"/>
    <x v="31"/>
    <x v="31"/>
    <n v="29"/>
    <x v="0"/>
  </r>
  <r>
    <n v="6"/>
    <x v="1"/>
    <s v="VLTF-3"/>
    <s v="AAX09207.1"/>
    <s v="PROT:AAX09207.1"/>
    <s v="MPXV-COP-106"/>
    <s v="monkeypox virus strain cOP-58 (clade IIa)"/>
    <x v="32"/>
    <x v="32"/>
    <n v="28"/>
    <x v="0"/>
  </r>
  <r>
    <n v="6"/>
    <x v="1"/>
    <s v="VLTF-3"/>
    <s v="AKJ93749.1"/>
    <s v="PROT:AKJ93749.1"/>
    <s v="VLTF-3"/>
    <s v="Raccoonpox virus"/>
    <x v="33"/>
    <x v="33"/>
    <n v="41"/>
    <x v="0"/>
  </r>
  <r>
    <n v="6"/>
    <x v="1"/>
    <s v="VLTF-3"/>
    <s v="AOP31598.1"/>
    <s v="PROT:AOP31598.1"/>
    <s v="vltf-3"/>
    <s v="Skunkpox virus"/>
    <x v="34"/>
    <x v="34"/>
    <n v="45"/>
    <x v="0"/>
  </r>
  <r>
    <n v="6"/>
    <x v="1"/>
    <s v="VLTF-3"/>
    <s v="ABD97688.1"/>
    <s v="PROT:ABD97688.1"/>
    <s v="late gene transcription factor VLTF-3"/>
    <s v="Taterapox virus"/>
    <x v="35"/>
    <x v="35"/>
    <n v="50"/>
    <x v="0"/>
  </r>
  <r>
    <n v="6"/>
    <x v="1"/>
    <s v="VLTF-3"/>
    <s v="AAO89399.1"/>
    <s v="PROT:AAO89399.1"/>
    <s v="late gene transcription factor VLTF-3"/>
    <s v="Vaccinia virus WR"/>
    <x v="36"/>
    <x v="36"/>
    <n v="52"/>
    <x v="0"/>
  </r>
  <r>
    <n v="6"/>
    <x v="1"/>
    <s v="VLTF-3"/>
    <s v="CAA49046.1"/>
    <s v="PROT:CAA49046.1"/>
    <s v="A2L"/>
    <s v="Variola virus major"/>
    <x v="37"/>
    <x v="37"/>
    <n v="53"/>
    <x v="0"/>
  </r>
  <r>
    <n v="6"/>
    <x v="1"/>
    <s v="VLTF-3"/>
    <s v="CAB54705.1"/>
    <s v="PROT:CAB54705.1"/>
    <s v="A2L protein"/>
    <s v="Variola minor virus"/>
    <x v="38"/>
    <x v="38"/>
    <n v="54"/>
    <x v="0"/>
  </r>
  <r>
    <n v="6"/>
    <x v="1"/>
    <s v="VLTF-3"/>
    <s v="AOP31809.1"/>
    <s v="PROT:AOP31809.1"/>
    <s v="vltf-3"/>
    <s v="Volepox virus"/>
    <x v="39"/>
    <x v="39"/>
    <n v="55"/>
    <x v="0"/>
  </r>
  <r>
    <n v="6"/>
    <x v="1"/>
    <s v="VLTF-3"/>
    <s v="ASC55563.1"/>
    <s v="PROT:ASC55563.1"/>
    <s v="late transcription factor VLTF-3-like protein"/>
    <s v="Seal parapoxvirus"/>
    <x v="40"/>
    <x v="40"/>
    <n v="22"/>
    <x v="0"/>
  </r>
  <r>
    <n v="6"/>
    <x v="1"/>
    <s v="VLTF-3"/>
    <s v="AAR98434.1"/>
    <s v="PROT:AAR98434.1"/>
    <s v="ORF077 late transcription factor VLTF-3"/>
    <s v="Bovine papular stomatitis virus"/>
    <x v="41"/>
    <x v="41"/>
    <n v="6"/>
    <x v="0"/>
  </r>
  <r>
    <n v="6"/>
    <x v="1"/>
    <s v="VLTF-3"/>
    <s v="AAR98302.1"/>
    <s v="PROT:AAR98302.1"/>
    <s v="ORF077 late transcription factor VLTF-3"/>
    <s v="Orf virus strain OV-SA00"/>
    <x v="42"/>
    <x v="42"/>
    <n v="35"/>
    <x v="0"/>
  </r>
  <r>
    <n v="6"/>
    <x v="1"/>
    <s v="VLTF-3"/>
    <s v="ABA00594.1"/>
    <s v="PROT:ABA00594.1"/>
    <s v="late transcription factor VLTF3"/>
    <s v="Orf virus strain NZ2"/>
    <x v="43"/>
    <x v="43"/>
    <n v="36"/>
    <x v="1"/>
  </r>
  <r>
    <n v="6"/>
    <x v="1"/>
    <s v="VLTF-3"/>
    <s v="AIZ77328.1"/>
    <s v="PROT:AIZ77328.1"/>
    <s v="putative late transcription factor VLTF-3"/>
    <s v="Parapoxvirus red deer/HL953"/>
    <x v="44"/>
    <x v="44"/>
    <n v="42"/>
    <x v="0"/>
  </r>
  <r>
    <n v="6"/>
    <x v="1"/>
    <s v="VLTF-3"/>
    <s v="ADC53979.1"/>
    <s v="PROT:ADC53979.1"/>
    <s v="late transcription factor VLTF3"/>
    <s v="Pseudocowpox virus"/>
    <x v="45"/>
    <x v="45"/>
    <n v="37"/>
    <x v="0"/>
  </r>
  <r>
    <n v="6"/>
    <x v="1"/>
    <s v="VLTF-3"/>
    <s v="AAL69828.1"/>
    <s v="PROT:AAL69828.1"/>
    <s v="SPV089 putative late transcription factor VLTF-3"/>
    <s v="Swinepox virus"/>
    <x v="46"/>
    <x v="46"/>
    <n v="49"/>
    <x v="0"/>
  </r>
  <r>
    <n v="6"/>
    <x v="1"/>
    <s v="VLTF-3"/>
    <s v="CAC21330.1"/>
    <s v="PROT:CAC21330.1"/>
    <s v="92L protein"/>
    <s v="Yaba-like disease virus"/>
    <x v="47"/>
    <x v="47"/>
    <n v="58"/>
    <x v="0"/>
  </r>
  <r>
    <n v="6"/>
    <x v="1"/>
    <s v="VLTF-3"/>
    <s v="AAR07448.1"/>
    <s v="PROT:AAR07448.1"/>
    <s v="92L"/>
    <s v="Yaba monkey tumor virus"/>
    <x v="48"/>
    <x v="48"/>
    <n v="59"/>
    <x v="0"/>
  </r>
  <r>
    <n v="6"/>
    <x v="1"/>
    <s v="VLTF-3"/>
    <s v="AAC97623.1"/>
    <s v="PROT:AAC97623.1"/>
    <s v="ORF MSV065 putative late transcription factor VLTF-3 homolog (vaccinia A2L), similar to SW:P07609"/>
    <s v="Melanoplus sanguinipes entomopoxvirus 'O'"/>
    <x v="49"/>
    <x v="49"/>
    <n v="30"/>
    <x v="0"/>
  </r>
  <r>
    <n v="6"/>
    <x v="1"/>
    <s v="VLTF-3"/>
    <s v="BAO49552.1"/>
    <s v="PROT:BAO49552.1"/>
    <s v="late transcription factor VLTF-3"/>
    <s v="Anomala cuprea entomopoxvirus"/>
    <x v="50"/>
    <x v="50"/>
    <n v="2"/>
    <x v="0"/>
  </r>
  <r>
    <n v="6"/>
    <x v="1"/>
    <s v="VLTF-3"/>
    <s v="CCU55463.1"/>
    <s v="PROT:CCU55463.1"/>
    <s v="VLTF-3 late transcription factor 3"/>
    <s v="Adoxophyes honmai entomopoxvirus 'L'"/>
    <x v="51"/>
    <x v="51"/>
    <n v="3"/>
    <x v="0"/>
  </r>
  <r>
    <n v="6"/>
    <x v="1"/>
    <s v="VLTF-3"/>
    <s v="AAG02911.1"/>
    <s v="PROT:AAG02911.1"/>
    <s v="AMV205"/>
    <s v="Amsacta moorei entomopoxvirus"/>
    <x v="52"/>
    <x v="52"/>
    <n v="5"/>
    <x v="0"/>
  </r>
  <r>
    <n v="6"/>
    <x v="1"/>
    <s v="VLTF-3"/>
    <s v="CCU55803.1"/>
    <s v="PROT:CCU55803.1"/>
    <s v="VLTF-3 late transcription factor 3"/>
    <s v="Choristoneura biennis entomopoxvirus"/>
    <x v="53"/>
    <x v="53"/>
    <n v="10"/>
    <x v="0"/>
  </r>
  <r>
    <n v="6"/>
    <x v="1"/>
    <s v="VLTF-3"/>
    <s v="CCU56105.1"/>
    <s v="PROT:CCU56105.1"/>
    <s v="VLTF-3 late transcription factor 3"/>
    <s v="Choristoneura rosaceana entomopoxvirus 'L'"/>
    <x v="54"/>
    <x v="54"/>
    <n v="14"/>
    <x v="0"/>
  </r>
  <r>
    <n v="6"/>
    <x v="1"/>
    <s v="VLTF-3"/>
    <s v="CCU56429.1"/>
    <s v="PROT:CCU56429.1"/>
    <s v="VLTF-3 late transcription factor 3"/>
    <s v="Mythimna separata entomopoxvirus 'L'"/>
    <x v="55"/>
    <x v="55"/>
    <n v="31"/>
    <x v="0"/>
  </r>
  <r>
    <n v="6"/>
    <x v="1"/>
    <s v="VLTF-3"/>
    <s v="NP_659664.1"/>
    <s v="PROT:NP_659664.1"/>
    <s v="Late transcrition factor VLTF-3"/>
    <s v="Sheeppox virus"/>
    <x v="56"/>
    <x v="56"/>
    <n v="44"/>
    <x v="0"/>
  </r>
  <r>
    <n v="6"/>
    <x v="1"/>
    <s v="VLTF-3"/>
    <s v="YP_001293283.1"/>
    <s v="PROT:YP_001293283.1"/>
    <s v="hypothetical protein GTPV_gp088"/>
    <s v="Goatpox virus Pellor"/>
    <x v="57"/>
    <x v="57"/>
    <n v="23"/>
    <x v="0"/>
  </r>
  <r>
    <n v="2"/>
    <x v="2"/>
    <s v="holliday junction resolvase"/>
    <s v="ATI21224.1"/>
    <s v="PROT:ATI21224.1"/>
    <s v="Holliday junction resolvase"/>
    <s v="Eastern grey kangaroopox virus"/>
    <x v="0"/>
    <x v="0"/>
    <n v="18"/>
    <x v="0"/>
  </r>
  <r>
    <n v="2"/>
    <x v="2"/>
    <s v="holliday junction resolvase"/>
    <s v="AWU47157.1"/>
    <s v="PROT:AWU47157.1"/>
    <s v="Holliday junction resolvase"/>
    <s v="Sea otter poxvirus"/>
    <x v="1"/>
    <x v="1"/>
    <n v="47"/>
    <x v="0"/>
  </r>
  <r>
    <n v="2"/>
    <x v="2"/>
    <s v="holliday junction resolvase"/>
    <s v="APG58332.1"/>
    <s v="PROT:APG58332.1"/>
    <s v="resolvase A22"/>
    <s v="BeAn 58058 virus"/>
    <x v="2"/>
    <x v="2"/>
    <n v="7"/>
    <x v="1"/>
  </r>
  <r>
    <n v="2"/>
    <x v="2"/>
    <s v="holliday junction resolvase"/>
    <s v="ADT91141.1"/>
    <s v="PROT:ADT91141.1"/>
    <s v="Holliday junction resolvase"/>
    <s v="Cotia virus SPAn232"/>
    <x v="3"/>
    <x v="3"/>
    <n v="12"/>
    <x v="0"/>
  </r>
  <r>
    <n v="2"/>
    <x v="2"/>
    <s v="holliday junction resolvase"/>
    <s v="ANS71201.1"/>
    <s v="PROT:ANS71201.1"/>
    <s v="holliday junction resolvase"/>
    <s v="Pteropox virus"/>
    <x v="4"/>
    <x v="4"/>
    <n v="40"/>
    <x v="0"/>
  </r>
  <r>
    <n v="2"/>
    <x v="2"/>
    <s v="holliday junction resolvase"/>
    <s v="AKR04248.1"/>
    <s v="PROT:AKR04248.1"/>
    <s v="RuvC"/>
    <s v="Salmon gill poxvirus"/>
    <x v="5"/>
    <x v="5"/>
    <n v="46"/>
    <x v="0"/>
  </r>
  <r>
    <n v="2"/>
    <x v="2"/>
    <s v="holliday junction resolvase"/>
    <s v="CCD83294.1"/>
    <s v="PROT:CCD83294.1"/>
    <s v="Holliday protein resolvase"/>
    <s v="Squirrelpox virus"/>
    <x v="6"/>
    <x v="6"/>
    <n v="48"/>
    <x v="0"/>
  </r>
  <r>
    <n v="2"/>
    <x v="2"/>
    <s v="holliday junction resolvase"/>
    <s v="ASK51320.1"/>
    <s v="PROT:ASK51320.1"/>
    <s v="Holliday junction resolvase"/>
    <s v="Eptesipox virus"/>
    <x v="7"/>
    <x v="7"/>
    <n v="19"/>
    <x v="0"/>
  </r>
  <r>
    <n v="2"/>
    <x v="2"/>
    <s v="holliday junction resolvase"/>
    <s v="AUD40295.1"/>
    <s v="PROT:AUD40295.1"/>
    <s v="Holliday junction resolvase"/>
    <s v="Flamingopox virus FGPVKD09"/>
    <x v="8"/>
    <x v="8"/>
    <n v="20"/>
    <x v="0"/>
  </r>
  <r>
    <n v="2"/>
    <x v="2"/>
    <s v="holliday junction resolvase"/>
    <s v="AID46926.1"/>
    <s v="PROT:AID46926.1"/>
    <s v="hypothetical protein pepv_200"/>
    <s v="Penguinpox virus"/>
    <x v="9"/>
    <x v="9"/>
    <n v="39"/>
    <x v="0"/>
  </r>
  <r>
    <n v="2"/>
    <x v="2"/>
    <s v="holliday junction resolvase"/>
    <s v="AID46694.1"/>
    <s v="PROT:AID46694.1"/>
    <s v="hypothetical protein fep_192"/>
    <s v="Pigeonpox virus"/>
    <x v="10"/>
    <x v="10"/>
    <n v="38"/>
    <x v="0"/>
  </r>
  <r>
    <n v="2"/>
    <x v="2"/>
    <s v="holliday junction resolvase"/>
    <s v="ALA62511.1"/>
    <s v="PROT:ALA62511.1"/>
    <s v="hypothetical protein"/>
    <s v="Turkeypox virus"/>
    <x v="11"/>
    <x v="11"/>
    <n v="51"/>
    <x v="0"/>
  </r>
  <r>
    <n v="2"/>
    <x v="2"/>
    <s v="holliday junction resolvase"/>
    <s v="AAR83607.1"/>
    <s v="PROT:AAR83607.1"/>
    <s v="CNPV261 Holliday junction resolvase protein"/>
    <s v="Canarypox virus"/>
    <x v="12"/>
    <x v="12"/>
    <n v="11"/>
    <x v="0"/>
  </r>
  <r>
    <n v="2"/>
    <x v="2"/>
    <s v="holliday junction resolvase"/>
    <s v="AAF44531.1"/>
    <s v="PROT:AAF44531.1"/>
    <s v="ORF FPV187"/>
    <s v="Fowlpox virus"/>
    <x v="13"/>
    <x v="13"/>
    <n v="21"/>
    <x v="0"/>
  </r>
  <r>
    <n v="2"/>
    <x v="2"/>
    <s v="holliday junction resolvase"/>
    <s v="AAK85075.1"/>
    <s v="PROT:AAK85075.1"/>
    <s v="LSDV114 hypothetical protein"/>
    <s v="Lumpy skin disease virus NI-2490"/>
    <x v="14"/>
    <x v="14"/>
    <n v="25"/>
    <x v="0"/>
  </r>
  <r>
    <n v="2"/>
    <x v="2"/>
    <s v="holliday junction resolvase"/>
    <s v="AST09333.1"/>
    <s v="PROT:AST09333.1"/>
    <s v="holliday junction resolvase"/>
    <s v="Murmansk poxvirus"/>
    <x v="15"/>
    <x v="15"/>
    <n v="27"/>
    <x v="0"/>
  </r>
  <r>
    <n v="2"/>
    <x v="2"/>
    <s v="holliday junction resolvase"/>
    <s v="AEN03715.1"/>
    <s v="PROT:AEN03715.1"/>
    <s v="holliday junction resolvase"/>
    <s v="Yokapox virus"/>
    <x v="16"/>
    <x v="16"/>
    <n v="57"/>
    <x v="0"/>
  </r>
  <r>
    <n v="2"/>
    <x v="2"/>
    <s v="holliday junction resolvase"/>
    <s v="ABI99278.1"/>
    <s v="PROT:ABI99278.1"/>
    <s v="holliday junction resolvase"/>
    <s v="Deerpox virus W-848-83"/>
    <x v="17"/>
    <x v="17"/>
    <n v="15"/>
    <x v="0"/>
  </r>
  <r>
    <n v="2"/>
    <x v="2"/>
    <s v="holliday junction resolvase"/>
    <s v="ABJ09036.1"/>
    <s v="PROT:ABJ09036.1"/>
    <s v="holliday junction resolvase"/>
    <s v="Nile crocodilepox virus"/>
    <x v="18"/>
    <x v="18"/>
    <n v="34"/>
    <x v="0"/>
  </r>
  <r>
    <n v="2"/>
    <x v="2"/>
    <s v="holliday junction resolvase"/>
    <s v="AAF15000.1"/>
    <s v="PROT:AAF15000.1"/>
    <s v="m112R"/>
    <s v="Myxoma virus strain Lausanne"/>
    <x v="19"/>
    <x v="19"/>
    <n v="32"/>
    <x v="0"/>
  </r>
  <r>
    <n v="2"/>
    <x v="2"/>
    <s v="holliday junction resolvase"/>
    <s v="AFU77376.1"/>
    <s v="PROT:AFU77376.1"/>
    <s v="m112R"/>
    <s v="Myxoma virus isolate BRK 897"/>
    <x v="20"/>
    <x v="20"/>
    <n v="33"/>
    <x v="1"/>
  </r>
  <r>
    <n v="2"/>
    <x v="2"/>
    <s v="holliday junction resolvase"/>
    <s v="AAF17995.1"/>
    <s v="PROT:AAF17995.1"/>
    <s v="gp112R"/>
    <s v="Rabbit fibroma virus"/>
    <x v="21"/>
    <x v="21"/>
    <n v="43"/>
    <x v="0"/>
  </r>
  <r>
    <n v="2"/>
    <x v="2"/>
    <s v="holliday junction resolvase"/>
    <s v="AAC55255.1"/>
    <s v="PROT:AAC55255.1"/>
    <s v="MC127R"/>
    <s v="Molluscum contagiosum virus subtype 1"/>
    <x v="22"/>
    <x v="22"/>
    <n v="26"/>
    <x v="0"/>
  </r>
  <r>
    <n v="2"/>
    <x v="2"/>
    <s v="holliday junction resolvase"/>
    <s v="AYN64707.1"/>
    <s v="PROT:AYN64707.1"/>
    <s v="putative A22R protein"/>
    <s v="Orthopoxvirus Abatino"/>
    <x v="23"/>
    <x v="23"/>
    <n v="1"/>
    <x v="0"/>
  </r>
  <r>
    <n v="2"/>
    <x v="2"/>
    <s v="holliday junction resolvase"/>
    <s v="AXN74938.1"/>
    <s v="PROT:AXN74938.1"/>
    <s v="holliday junction endonuclease"/>
    <s v="Akhmeta virus"/>
    <x v="24"/>
    <x v="24"/>
    <n v="4"/>
    <x v="0"/>
  </r>
  <r>
    <n v="2"/>
    <x v="2"/>
    <s v="holliday junction resolvase"/>
    <s v="ABH08249.1"/>
    <s v="PROT:ABH08249.1"/>
    <s v="HSPV143"/>
    <s v="Horsepox virus"/>
    <x v="25"/>
    <x v="25"/>
    <n v="24"/>
    <x v="0"/>
  </r>
  <r>
    <n v="2"/>
    <x v="2"/>
    <s v="holliday junction resolvase"/>
    <s v="AAG37631.1"/>
    <s v="PROT:AAG37631.1"/>
    <s v="CMP139R"/>
    <s v="Camelpox virus CMS"/>
    <x v="26"/>
    <x v="26"/>
    <n v="9"/>
    <x v="1"/>
  </r>
  <r>
    <n v="2"/>
    <x v="2"/>
    <s v="holliday junction resolvase"/>
    <s v="AAL73847.1"/>
    <s v="PROT:AAL73847.1"/>
    <s v="putative DNA processing protein"/>
    <s v="Camelpox virus M-96"/>
    <x v="27"/>
    <x v="27"/>
    <n v="8"/>
    <x v="0"/>
  </r>
  <r>
    <n v="2"/>
    <x v="2"/>
    <s v="holliday junction resolvase"/>
    <s v="AAM13597.1"/>
    <s v="PROT:AAM13597.1"/>
    <s v="CPXV155 protein"/>
    <s v="Cowpox virus"/>
    <x v="28"/>
    <x v="28"/>
    <n v="13"/>
    <x v="0"/>
  </r>
  <r>
    <n v="2"/>
    <x v="2"/>
    <s v="holliday junction resolvase"/>
    <s v="AAM92430.1"/>
    <s v="PROT:AAM92430.1"/>
    <s v="EVM125"/>
    <s v="Ectromelia virus"/>
    <x v="29"/>
    <x v="29"/>
    <n v="16"/>
    <x v="0"/>
  </r>
  <r>
    <n v="2"/>
    <x v="2"/>
    <s v="holliday junction resolvase"/>
    <s v="AFH54689.1"/>
    <s v="PROT:AFH54689.1"/>
    <s v="holliday junction resolvase"/>
    <s v="Ectromelia virus ERPV"/>
    <x v="30"/>
    <x v="30"/>
    <n v="17"/>
    <x v="1"/>
  </r>
  <r>
    <n v="2"/>
    <x v="2"/>
    <s v="holliday junction resolvase"/>
    <s v="AAL40591.1"/>
    <s v="PROT:AAL40591.1"/>
    <s v="A23R"/>
    <s v="Monkeypox virus Zaire-96-I-16 (clade I)"/>
    <x v="31"/>
    <x v="31"/>
    <n v="29"/>
    <x v="0"/>
  </r>
  <r>
    <n v="2"/>
    <x v="2"/>
    <s v="holliday junction resolvase"/>
    <s v="AAX09229.1"/>
    <s v="PROT:AAX09229.1"/>
    <s v="MPXV-COP-128"/>
    <s v="monkeypox virus strain cOP-58 (clade IIa)"/>
    <x v="32"/>
    <x v="32"/>
    <n v="28"/>
    <x v="0"/>
  </r>
  <r>
    <n v="2"/>
    <x v="2"/>
    <s v="holliday junction resolvase"/>
    <s v="AKJ93771.1"/>
    <s v="PROT:AKJ93771.1"/>
    <s v="Holliday junction endonuclease"/>
    <s v="Raccoonpox virus"/>
    <x v="33"/>
    <x v="33"/>
    <n v="41"/>
    <x v="0"/>
  </r>
  <r>
    <n v="2"/>
    <x v="2"/>
    <s v="holliday junction resolvase"/>
    <s v="AOP31620.1"/>
    <s v="PROT:AOP31620.1"/>
    <s v="holliday junction resolvase"/>
    <s v="Skunkpox virus"/>
    <x v="34"/>
    <x v="34"/>
    <n v="45"/>
    <x v="0"/>
  </r>
  <r>
    <n v="2"/>
    <x v="2"/>
    <s v="holliday junction resolvase"/>
    <s v="ABD97710.1"/>
    <s v="PROT:ABD97710.1"/>
    <s v="Holiday junction resolvase palmitylprotein"/>
    <s v="Taterapox virus"/>
    <x v="35"/>
    <x v="35"/>
    <n v="50"/>
    <x v="0"/>
  </r>
  <r>
    <n v="2"/>
    <x v="2"/>
    <s v="holliday junction resolvase"/>
    <s v="AAO89421.1"/>
    <s v="PROT:AAO89421.1"/>
    <s v="palmitylprotein"/>
    <s v="Vaccinia virus WR"/>
    <x v="36"/>
    <x v="36"/>
    <n v="52"/>
    <x v="0"/>
  </r>
  <r>
    <n v="2"/>
    <x v="2"/>
    <s v="holliday junction resolvase"/>
    <s v="CAA49067.1"/>
    <s v="PROT:CAA49067.1"/>
    <s v="A22R"/>
    <s v="Variola virus major"/>
    <x v="37"/>
    <x v="37"/>
    <n v="53"/>
    <x v="0"/>
  </r>
  <r>
    <n v="2"/>
    <x v="2"/>
    <s v="holliday junction resolvase"/>
    <s v="CAB54726.1"/>
    <s v="PROT:CAB54726.1"/>
    <s v="A23R protein"/>
    <s v="Variola minor virus"/>
    <x v="38"/>
    <x v="38"/>
    <n v="54"/>
    <x v="0"/>
  </r>
  <r>
    <n v="2"/>
    <x v="2"/>
    <s v="holliday junction resolvase"/>
    <s v="AOP31831.1"/>
    <s v="PROT:AOP31831.1"/>
    <s v="holliday junction resolvase"/>
    <s v="Volepox virus"/>
    <x v="39"/>
    <x v="39"/>
    <n v="55"/>
    <x v="0"/>
  </r>
  <r>
    <n v="2"/>
    <x v="2"/>
    <s v="holliday junction resolvase"/>
    <s v="ASC55548.1"/>
    <s v="PROT:ASC55548.1"/>
    <s v="Holliday junction resolvase-like protein"/>
    <s v="Seal parapoxvirus"/>
    <x v="40"/>
    <x v="40"/>
    <n v="22"/>
    <x v="0"/>
  </r>
  <r>
    <n v="2"/>
    <x v="2"/>
    <s v="holliday junction resolvase"/>
    <s v="AAR98456.1"/>
    <s v="PROT:AAR98456.1"/>
    <s v="ORF099 Holliday junction resolvase"/>
    <s v="Bovine papular stomatitis virus"/>
    <x v="41"/>
    <x v="41"/>
    <n v="6"/>
    <x v="0"/>
  </r>
  <r>
    <n v="2"/>
    <x v="2"/>
    <s v="holliday junction resolvase"/>
    <s v="AAR98324.1"/>
    <s v="PROT:AAR98324.1"/>
    <s v="ORF099 Holliday junction resolvase"/>
    <s v="Orf virus strain OV-SA00"/>
    <x v="42"/>
    <x v="42"/>
    <n v="35"/>
    <x v="0"/>
  </r>
  <r>
    <n v="2"/>
    <x v="2"/>
    <s v="holliday junction resolvase"/>
    <s v="ABA00616.1"/>
    <s v="PROT:ABA00616.1"/>
    <s v="resolvase"/>
    <s v="Orf virus strain NZ2"/>
    <x v="43"/>
    <x v="43"/>
    <n v="36"/>
    <x v="1"/>
  </r>
  <r>
    <n v="2"/>
    <x v="2"/>
    <s v="holliday junction resolvase"/>
    <s v="AIZ77350.1"/>
    <s v="PROT:AIZ77350.1"/>
    <s v="putative Holliday junction resolvase"/>
    <s v="Parapoxvirus red deer/HL953"/>
    <x v="44"/>
    <x v="44"/>
    <n v="42"/>
    <x v="0"/>
  </r>
  <r>
    <n v="2"/>
    <x v="2"/>
    <s v="holliday junction resolvase"/>
    <s v="ADC54001.1"/>
    <s v="PROT:ADC54001.1"/>
    <s v="resolvase"/>
    <s v="Pseudocowpox virus"/>
    <x v="45"/>
    <x v="45"/>
    <n v="37"/>
    <x v="0"/>
  </r>
  <r>
    <n v="2"/>
    <x v="2"/>
    <s v="holliday junction resolvase"/>
    <s v="AAL69850.1"/>
    <s v="PROT:AAL69850.1"/>
    <s v="SPV111 putative DNA processing protein"/>
    <s v="Swinepox virus"/>
    <x v="46"/>
    <x v="46"/>
    <n v="49"/>
    <x v="0"/>
  </r>
  <r>
    <n v="2"/>
    <x v="2"/>
    <s v="holliday junction resolvase"/>
    <s v="CAC21352.1"/>
    <s v="PROT:CAC21352.1"/>
    <s v="114R protein"/>
    <s v="Yaba-like disease virus"/>
    <x v="47"/>
    <x v="47"/>
    <n v="58"/>
    <x v="0"/>
  </r>
  <r>
    <n v="2"/>
    <x v="2"/>
    <s v="holliday junction resolvase"/>
    <s v="AAR07470.1"/>
    <s v="PROT:AAR07470.1"/>
    <s v="114R"/>
    <s v="Yaba monkey tumor virus"/>
    <x v="48"/>
    <x v="48"/>
    <n v="59"/>
    <x v="0"/>
  </r>
  <r>
    <n v="2"/>
    <x v="2"/>
    <s v="holliday junction resolvase"/>
    <s v="AAC97652.1"/>
    <s v="PROT:AAC97652.1"/>
    <s v="ORF MSV106 putative vaccinia A22R homolog, similar to SW:P20997"/>
    <s v="Melanoplus sanguinipes entomopoxvirus 'O'"/>
    <x v="49"/>
    <x v="49"/>
    <n v="30"/>
    <x v="0"/>
  </r>
  <r>
    <n v="2"/>
    <x v="2"/>
    <s v="holliday junction resolvase"/>
    <s v="BAO49463.1"/>
    <s v="PROT:BAO49463.1"/>
    <s v="holliday junction resolvase"/>
    <s v="Anomala cuprea entomopoxvirus"/>
    <x v="50"/>
    <x v="50"/>
    <n v="2"/>
    <x v="0"/>
  </r>
  <r>
    <n v="2"/>
    <x v="2"/>
    <s v="holliday junction resolvase"/>
    <s v="CCU55493.1"/>
    <s v="PROT:CCU55493.1"/>
    <s v="holliday junction resolvase"/>
    <s v="Adoxophyes honmai entomopoxvirus 'L'"/>
    <x v="51"/>
    <x v="51"/>
    <n v="3"/>
    <x v="0"/>
  </r>
  <r>
    <n v="2"/>
    <x v="2"/>
    <s v="holliday junction resolvase"/>
    <s v="AAG02868.1"/>
    <s v="PROT:AAG02868.1"/>
    <s v="AMV162"/>
    <s v="Amsacta moorei entomopoxvirus"/>
    <x v="52"/>
    <x v="52"/>
    <n v="5"/>
    <x v="0"/>
  </r>
  <r>
    <n v="2"/>
    <x v="2"/>
    <s v="holliday junction resolvase"/>
    <s v="CCU55772.1"/>
    <s v="PROT:CCU55772.1"/>
    <s v="holliday junction resolvase"/>
    <s v="Choristoneura biennis entomopoxvirus"/>
    <x v="53"/>
    <x v="53"/>
    <n v="10"/>
    <x v="0"/>
  </r>
  <r>
    <n v="2"/>
    <x v="2"/>
    <s v="holliday junction resolvase"/>
    <s v="CCU56074.1"/>
    <s v="PROT:CCU56074.1"/>
    <s v="holliday junction resolvase"/>
    <s v="Choristoneura rosaceana entomopoxvirus 'L'"/>
    <x v="54"/>
    <x v="54"/>
    <n v="14"/>
    <x v="0"/>
  </r>
  <r>
    <n v="2"/>
    <x v="2"/>
    <s v="holliday junction resolvase"/>
    <s v="CCU56396.1"/>
    <s v="PROT:CCU56396.1"/>
    <s v="holliday junction resolvase"/>
    <s v="Mythimna separata entomopoxvirus 'L'"/>
    <x v="55"/>
    <x v="55"/>
    <n v="31"/>
    <x v="0"/>
  </r>
  <r>
    <n v="2"/>
    <x v="2"/>
    <s v="holliday junction resolvase"/>
    <s v="NP_659686.1"/>
    <s v="PROT:NP_659686.1"/>
    <s v="Holiday junction resolvase"/>
    <s v="Sheeppox virus"/>
    <x v="56"/>
    <x v="56"/>
    <n v="44"/>
    <x v="0"/>
  </r>
  <r>
    <n v="2"/>
    <x v="2"/>
    <s v="holliday junction resolvase"/>
    <s v="YP_001293305.1"/>
    <s v="PROT:YP_001293305.1"/>
    <s v="hypothetical protein GTPV_gp109"/>
    <s v="Goatpox virus Pellor"/>
    <x v="57"/>
    <x v="57"/>
    <n v="23"/>
    <x v="0"/>
  </r>
  <r>
    <n v="3"/>
    <x v="3"/>
    <s v="VITF-3"/>
    <s v="ATI21225.1"/>
    <s v="PROT:ATI21225.1"/>
    <s v="VITF-3 45kda subuni"/>
    <s v="Eastern grey kangaroopox virus"/>
    <x v="0"/>
    <x v="0"/>
    <n v="18"/>
    <x v="0"/>
  </r>
  <r>
    <n v="3"/>
    <x v="3"/>
    <s v="VITF-3"/>
    <s v="AWU47158.1"/>
    <s v="PROT:AWU47158.1"/>
    <s v="VITF-3"/>
    <s v="Sea otter poxvirus"/>
    <x v="1"/>
    <x v="1"/>
    <n v="47"/>
    <x v="0"/>
  </r>
  <r>
    <n v="3"/>
    <x v="3"/>
    <s v="VITF-3"/>
    <s v="APG58333.1"/>
    <s v="PROT:APG58333.1"/>
    <s v="intermediate transcription factor 3 large subuni"/>
    <s v="BeAn 58058 virus"/>
    <x v="2"/>
    <x v="2"/>
    <n v="7"/>
    <x v="1"/>
  </r>
  <r>
    <n v="3"/>
    <x v="3"/>
    <s v="VITF-3"/>
    <s v="ADT91142.1"/>
    <s v="PROT:ADT91142.1"/>
    <s v="viral intermediate transcription factor VITF-3"/>
    <s v="Cotia virus SPAn232"/>
    <x v="3"/>
    <x v="3"/>
    <n v="12"/>
    <x v="0"/>
  </r>
  <r>
    <n v="3"/>
    <x v="3"/>
    <s v="VITF-3"/>
    <s v="ANS71202.1"/>
    <s v="PROT:ANS71202.1"/>
    <s v="large subunit viral intermediate transcription factor"/>
    <s v="Pteropox virus"/>
    <x v="4"/>
    <x v="4"/>
    <n v="40"/>
    <x v="0"/>
  </r>
  <r>
    <n v="3"/>
    <x v="3"/>
    <s v="VITF-3"/>
    <s v="AKR04249.1"/>
    <s v="PROT:AKR04249.1"/>
    <s v="intermediate transcription factor"/>
    <s v="Salmon gill poxvirus"/>
    <x v="5"/>
    <x v="5"/>
    <n v="46"/>
    <x v="0"/>
  </r>
  <r>
    <n v="3"/>
    <x v="3"/>
    <s v="VITF-3"/>
    <s v="CCD83295.1"/>
    <s v="PROT:CCD83295.1"/>
    <s v="transcription subunit (intermediate) large subuni"/>
    <s v="Squirrelpox virus"/>
    <x v="6"/>
    <x v="6"/>
    <n v="48"/>
    <x v="0"/>
  </r>
  <r>
    <n v="3"/>
    <x v="3"/>
    <s v="VITF-3"/>
    <s v="ASK51321.1"/>
    <s v="PROT:ASK51321.1"/>
    <s v="Intermediate transcription factor (VITF-3L)"/>
    <s v="Eptesipox virus"/>
    <x v="7"/>
    <x v="7"/>
    <n v="19"/>
    <x v="0"/>
  </r>
  <r>
    <n v="3"/>
    <x v="3"/>
    <s v="VITF-3"/>
    <s v="AUD40296.1"/>
    <s v="PROT:AUD40296.1"/>
    <s v="intermediate transcription factor 3"/>
    <s v="Flamingopox virus FGPVKD09"/>
    <x v="8"/>
    <x v="8"/>
    <n v="20"/>
    <x v="0"/>
  </r>
  <r>
    <n v="3"/>
    <x v="3"/>
    <s v="VITF-3"/>
    <s v="AID46927.1"/>
    <s v="PROT:AID46927.1"/>
    <s v="intermediate transcription factor VITF-3"/>
    <s v="Penguinpox virus"/>
    <x v="9"/>
    <x v="9"/>
    <n v="39"/>
    <x v="0"/>
  </r>
  <r>
    <n v="3"/>
    <x v="3"/>
    <s v="VITF-3"/>
    <s v="AID46695.1"/>
    <s v="PROT:AID46695.1"/>
    <s v="intermediate transcription factor VITF-3"/>
    <s v="Pigeonpox virus"/>
    <x v="10"/>
    <x v="10"/>
    <n v="38"/>
    <x v="0"/>
  </r>
  <r>
    <n v="3"/>
    <x v="3"/>
    <s v="VITF-3"/>
    <s v="ALA62512.1"/>
    <s v="PROT:ALA62512.1"/>
    <s v="intermediate transcription factor VITF-3"/>
    <s v="Turkeypox virus"/>
    <x v="11"/>
    <x v="11"/>
    <n v="51"/>
    <x v="0"/>
  </r>
  <r>
    <n v="3"/>
    <x v="3"/>
    <s v="VITF-3"/>
    <s v="AAR83608.1"/>
    <s v="PROT:AAR83608.1"/>
    <s v="CNPV262 intermediate transcription factor VITF-3"/>
    <s v="Canarypox virus"/>
    <x v="12"/>
    <x v="12"/>
    <n v="11"/>
    <x v="0"/>
  </r>
  <r>
    <n v="3"/>
    <x v="3"/>
    <s v="VITF-3"/>
    <s v="AAF44532.1"/>
    <s v="PROT:AAF44532.1"/>
    <s v="ORF FPV188 Intermediate transcription factor, VITF-3"/>
    <s v="Fowlpox virus"/>
    <x v="13"/>
    <x v="13"/>
    <n v="21"/>
    <x v="0"/>
  </r>
  <r>
    <n v="3"/>
    <x v="3"/>
    <s v="VITF-3"/>
    <s v="YP_001293306.1"/>
    <s v="PROT:YP_001293306.1"/>
    <s v="hypothetical protein GTPV_gp110"/>
    <s v="Goatpox virus Pellor"/>
    <x v="57"/>
    <x v="57"/>
    <n v="23"/>
    <x v="0"/>
  </r>
  <r>
    <n v="3"/>
    <x v="3"/>
    <s v="VITF-3"/>
    <s v="AAK85076.1"/>
    <s v="PROT:AAK85076.1"/>
    <s v="LSDV115 putative intermediate transcription factor subuni"/>
    <s v="Lumpy skin disease virus NI-2490"/>
    <x v="14"/>
    <x v="14"/>
    <n v="25"/>
    <x v="0"/>
  </r>
  <r>
    <n v="3"/>
    <x v="3"/>
    <s v="VITF-3"/>
    <s v="NP_659687.1"/>
    <s v="PROT:NP_659687.1"/>
    <s v="Intermediate transcription factor VITF-3"/>
    <s v="Sheeppox virus"/>
    <x v="56"/>
    <x v="56"/>
    <n v="44"/>
    <x v="0"/>
  </r>
  <r>
    <n v="3"/>
    <x v="3"/>
    <s v="VITF-3"/>
    <s v="AST09334.1"/>
    <s v="PROT:AST09334.1"/>
    <s v="intermediate transcription factor"/>
    <s v="Murmansk poxvirus"/>
    <x v="15"/>
    <x v="15"/>
    <n v="27"/>
    <x v="0"/>
  </r>
  <r>
    <n v="3"/>
    <x v="3"/>
    <s v="VITF-3"/>
    <s v="AEN03716.1"/>
    <s v="PROT:AEN03716.1"/>
    <s v="45kDa large subunit of intermediate gene transcription factor VITF-3"/>
    <s v="Yokapox virus"/>
    <x v="16"/>
    <x v="16"/>
    <n v="57"/>
    <x v="0"/>
  </r>
  <r>
    <n v="3"/>
    <x v="3"/>
    <s v="VITF-3"/>
    <s v="ABI99279.1"/>
    <s v="PROT:ABI99279.1"/>
    <s v="intermediate transcription factor VITF-3"/>
    <s v="Deerpox virus W-848-83"/>
    <x v="17"/>
    <x v="17"/>
    <n v="15"/>
    <x v="0"/>
  </r>
  <r>
    <n v="3"/>
    <x v="3"/>
    <s v="VITF-3"/>
    <s v="ABJ09037.1"/>
    <s v="PROT:ABJ09037.1"/>
    <s v="intermediate transcription factor VITF-3"/>
    <s v="Nile crocodilepox virus"/>
    <x v="18"/>
    <x v="18"/>
    <n v="34"/>
    <x v="0"/>
  </r>
  <r>
    <n v="3"/>
    <x v="3"/>
    <s v="VITF-3"/>
    <s v="AAF15001.1"/>
    <s v="PROT:AAF15001.1"/>
    <s v="m113R"/>
    <s v="Myxoma virus strain Lausanne"/>
    <x v="19"/>
    <x v="19"/>
    <n v="32"/>
    <x v="0"/>
  </r>
  <r>
    <n v="3"/>
    <x v="3"/>
    <s v="VITF-3"/>
    <s v="AFU77377.1"/>
    <s v="PROT:AFU77377.1"/>
    <s v="m113R"/>
    <s v="Myxoma virus isolate BRK 897"/>
    <x v="20"/>
    <x v="20"/>
    <n v="33"/>
    <x v="1"/>
  </r>
  <r>
    <n v="3"/>
    <x v="3"/>
    <s v="VITF-3"/>
    <s v="AAF17996.1"/>
    <s v="PROT:AAF17996.1"/>
    <s v="gp113R"/>
    <s v="Rabbit fibroma virus"/>
    <x v="21"/>
    <x v="21"/>
    <n v="43"/>
    <x v="0"/>
  </r>
  <r>
    <n v="3"/>
    <x v="3"/>
    <s v="VITF-3"/>
    <s v="AAC55256.1"/>
    <s v="PROT:AAC55256.1"/>
    <s v="MC128R"/>
    <s v="Molluscum contagiosum virus subtype 1"/>
    <x v="22"/>
    <x v="22"/>
    <n v="26"/>
    <x v="0"/>
  </r>
  <r>
    <n v="3"/>
    <x v="3"/>
    <s v="VITF-3"/>
    <s v="AYN64708.1"/>
    <s v="PROT:AYN64708.1"/>
    <s v="putative A23R protein"/>
    <s v="Orthopoxvirus Abatino"/>
    <x v="23"/>
    <x v="23"/>
    <n v="1"/>
    <x v="0"/>
  </r>
  <r>
    <n v="3"/>
    <x v="3"/>
    <s v="VITF-3"/>
    <s v="AXN74939.1"/>
    <s v="PROT:AXN74939.1"/>
    <s v="VITF-3 large subuni"/>
    <s v="Akhmeta virus"/>
    <x v="24"/>
    <x v="24"/>
    <n v="4"/>
    <x v="0"/>
  </r>
  <r>
    <n v="3"/>
    <x v="3"/>
    <s v="VITF-3"/>
    <s v="ABH08250.1"/>
    <s v="PROT:ABH08250.1"/>
    <s v="HSPV144"/>
    <s v="Horsepox virus"/>
    <x v="25"/>
    <x v="25"/>
    <n v="24"/>
    <x v="0"/>
  </r>
  <r>
    <n v="3"/>
    <x v="3"/>
    <s v="VITF-3"/>
    <s v="AAG37632.1"/>
    <s v="PROT:AAG37632.1"/>
    <s v="CMP140R"/>
    <s v="Camelpox virus CMS"/>
    <x v="26"/>
    <x v="26"/>
    <n v="9"/>
    <x v="1"/>
  </r>
  <r>
    <n v="3"/>
    <x v="3"/>
    <s v="VITF-3"/>
    <s v="AAL73848.1"/>
    <s v="PROT:AAL73848.1"/>
    <s v="putative intermediate transcription factor"/>
    <s v="Camelpox virus M-96"/>
    <x v="27"/>
    <x v="27"/>
    <n v="8"/>
    <x v="0"/>
  </r>
  <r>
    <n v="3"/>
    <x v="3"/>
    <s v="VITF-3"/>
    <s v="AAM13598.1"/>
    <s v="PROT:AAM13598.1"/>
    <s v="CPXV156 protein"/>
    <s v="Cowpox virus"/>
    <x v="28"/>
    <x v="28"/>
    <n v="13"/>
    <x v="0"/>
  </r>
  <r>
    <n v="3"/>
    <x v="3"/>
    <s v="VITF-3"/>
    <s v="AAM92431.1"/>
    <s v="PROT:AAM92431.1"/>
    <s v="EVM126"/>
    <s v="Ectromelia virus"/>
    <x v="29"/>
    <x v="29"/>
    <n v="16"/>
    <x v="0"/>
  </r>
  <r>
    <n v="3"/>
    <x v="3"/>
    <s v="VITF-3"/>
    <s v="AFH54690.1"/>
    <s v="PROT:AFH54690.1"/>
    <s v="viral intermediate transcription factor 3"/>
    <s v="Ectromelia virus ERPV"/>
    <x v="30"/>
    <x v="30"/>
    <n v="17"/>
    <x v="1"/>
  </r>
  <r>
    <n v="3"/>
    <x v="3"/>
    <s v="VITF-3"/>
    <s v="AAL40592.1"/>
    <s v="PROT:AAL40592.1"/>
    <s v="A24R"/>
    <s v="Monkeypox virus Zaire-96-I-16 (clade I)"/>
    <x v="31"/>
    <x v="31"/>
    <n v="29"/>
    <x v="0"/>
  </r>
  <r>
    <n v="3"/>
    <x v="3"/>
    <s v="VITF-3"/>
    <s v="AAX09230.1"/>
    <s v="PROT:AAX09230.1"/>
    <s v="MPXV-COP-129"/>
    <s v="monkeypox virus strain cOP-58 (clade IIa)"/>
    <x v="32"/>
    <x v="32"/>
    <n v="28"/>
    <x v="0"/>
  </r>
  <r>
    <n v="3"/>
    <x v="3"/>
    <s v="VITF-3"/>
    <s v="AKJ93772.1"/>
    <s v="PROT:AKJ93772.1"/>
    <s v="VITF-3 45 kDA large subuni"/>
    <s v="Raccoonpox virus"/>
    <x v="33"/>
    <x v="33"/>
    <n v="41"/>
    <x v="0"/>
  </r>
  <r>
    <n v="3"/>
    <x v="3"/>
    <s v="VITF-3"/>
    <s v="AOP31621.1"/>
    <s v="PROT:AOP31621.1"/>
    <s v="vitf-3 45kDa subuni"/>
    <s v="Skunkpox virus"/>
    <x v="34"/>
    <x v="34"/>
    <n v="45"/>
    <x v="0"/>
  </r>
  <r>
    <n v="3"/>
    <x v="3"/>
    <s v="VITF-3"/>
    <s v="ABD97711.1"/>
    <s v="PROT:ABD97711.1"/>
    <s v="45kDa large subunit of intermediate gene transcription factor VITF-3"/>
    <s v="Taterapox virus"/>
    <x v="35"/>
    <x v="35"/>
    <n v="50"/>
    <x v="0"/>
  </r>
  <r>
    <n v="3"/>
    <x v="3"/>
    <s v="VITF-3"/>
    <s v="AAO89422.1"/>
    <s v="PROT:AAO89422.1"/>
    <s v="45kDa large subunit of intermediate gene transcription factor VITF-3"/>
    <s v="Vaccinia virus WR"/>
    <x v="36"/>
    <x v="36"/>
    <n v="52"/>
    <x v="0"/>
  </r>
  <r>
    <n v="3"/>
    <x v="3"/>
    <s v="VITF-3"/>
    <s v="CAA49068.1"/>
    <s v="PROT:CAA49068.1"/>
    <s v="A23R"/>
    <s v="Variola virus major"/>
    <x v="37"/>
    <x v="37"/>
    <n v="53"/>
    <x v="0"/>
  </r>
  <r>
    <n v="3"/>
    <x v="3"/>
    <s v="VITF-3"/>
    <s v="CAB54727.1"/>
    <s v="PROT:CAB54727.1"/>
    <s v="A24R protein"/>
    <s v="Variola minor virus"/>
    <x v="38"/>
    <x v="38"/>
    <n v="54"/>
    <x v="0"/>
  </r>
  <r>
    <n v="3"/>
    <x v="3"/>
    <s v="VITF-3"/>
    <s v="AOP31832.1"/>
    <s v="PROT:AOP31832.1"/>
    <s v="vitf-3 45kDa subuni"/>
    <s v="Volepox virus"/>
    <x v="39"/>
    <x v="39"/>
    <n v="55"/>
    <x v="0"/>
  </r>
  <r>
    <n v="3"/>
    <x v="3"/>
    <s v="VITF-3"/>
    <s v="ASC55547.1"/>
    <s v="PROT:ASC55547.1"/>
    <s v="intermediate transcription factor VITF-3-like protein"/>
    <s v="Seal parapoxvirus"/>
    <x v="40"/>
    <x v="40"/>
    <n v="22"/>
    <x v="0"/>
  </r>
  <r>
    <n v="3"/>
    <x v="3"/>
    <s v="VITF-3"/>
    <s v="AAR98457.1"/>
    <s v="PROT:AAR98457.1"/>
    <s v="ORF100 intermediate transcription factor VITF-3"/>
    <s v="Bovine papular stomatitis virus"/>
    <x v="41"/>
    <x v="41"/>
    <n v="6"/>
    <x v="0"/>
  </r>
  <r>
    <n v="3"/>
    <x v="3"/>
    <s v="VITF-3"/>
    <s v="AAR98325.1"/>
    <s v="PROT:AAR98325.1"/>
    <s v="ORF100 intermediate transcription factor VITF-3"/>
    <s v="Orf virus strain OV-SA00"/>
    <x v="42"/>
    <x v="42"/>
    <n v="35"/>
    <x v="0"/>
  </r>
  <r>
    <n v="3"/>
    <x v="3"/>
    <s v="VITF-3"/>
    <s v="ABA00617.1"/>
    <s v="PROT:ABA00617.1"/>
    <s v="intermediate transcription factor VITF3"/>
    <s v="Orf virus strain NZ2"/>
    <x v="43"/>
    <x v="43"/>
    <n v="36"/>
    <x v="1"/>
  </r>
  <r>
    <n v="3"/>
    <x v="3"/>
    <s v="VITF-3"/>
    <s v="AIZ77351.1"/>
    <s v="PROT:AIZ77351.1"/>
    <s v="putative intermediate transcription factor VITF-3"/>
    <s v="Parapoxvirus red deer/HL953"/>
    <x v="44"/>
    <x v="44"/>
    <n v="42"/>
    <x v="0"/>
  </r>
  <r>
    <n v="3"/>
    <x v="3"/>
    <s v="VITF-3"/>
    <s v="ADC54002.1"/>
    <s v="PROT:ADC54002.1"/>
    <s v="intermediate transcription factor VITF3"/>
    <s v="Pseudocowpox virus"/>
    <x v="45"/>
    <x v="45"/>
    <n v="37"/>
    <x v="0"/>
  </r>
  <r>
    <n v="3"/>
    <x v="3"/>
    <s v="VITF-3"/>
    <s v="AAL69851.1"/>
    <s v="PROT:AAL69851.1"/>
    <s v="SPV112 putative intermediate transcription factor VITF-3"/>
    <s v="Swinepox virus"/>
    <x v="46"/>
    <x v="46"/>
    <n v="49"/>
    <x v="0"/>
  </r>
  <r>
    <n v="3"/>
    <x v="3"/>
    <s v="VITF-3"/>
    <s v="CAC21353.1"/>
    <s v="PROT:CAC21353.1"/>
    <s v="115R protein"/>
    <s v="Yaba-like disease virus"/>
    <x v="47"/>
    <x v="47"/>
    <n v="58"/>
    <x v="0"/>
  </r>
  <r>
    <n v="3"/>
    <x v="3"/>
    <s v="VITF-3"/>
    <s v="AAR07471.1"/>
    <s v="PROT:AAR07471.1"/>
    <s v="115R"/>
    <s v="Yaba monkey tumor virus"/>
    <x v="48"/>
    <x v="48"/>
    <n v="59"/>
    <x v="0"/>
  </r>
  <r>
    <n v="3"/>
    <x v="3"/>
    <s v="VITF-3"/>
    <s v="AAC97825.1"/>
    <s v="PROT:AAC97825.1"/>
    <s v="ORF MSV052 putative vaccina A23R homolog, similar to SW:P20998"/>
    <s v="Melanoplus sanguinipes entomopoxvirus 'O'"/>
    <x v="49"/>
    <x v="49"/>
    <n v="30"/>
    <x v="0"/>
  </r>
  <r>
    <n v="3"/>
    <x v="3"/>
    <s v="VITF-3"/>
    <s v="BAO49550.1"/>
    <s v="PROT:BAO49550.1"/>
    <s v="DNA-directed RNA polymerase beta chain"/>
    <s v="Anomala cuprea entomopoxvirus"/>
    <x v="50"/>
    <x v="50"/>
    <n v="2"/>
    <x v="0"/>
  </r>
  <r>
    <n v="3"/>
    <x v="3"/>
    <s v="VITF-3"/>
    <s v="CCU55410.1"/>
    <s v="PROT:CCU55410.1"/>
    <s v="VITF-3 45kda subunit (Cop-A23R)"/>
    <s v="Adoxophyes honmai entomopoxvirus 'L'"/>
    <x v="51"/>
    <x v="51"/>
    <n v="3"/>
    <x v="0"/>
  </r>
  <r>
    <n v="3"/>
    <x v="3"/>
    <s v="VITF-3"/>
    <s v="AAG02797.1"/>
    <s v="PROT:AAG02797.1"/>
    <s v="AMV091"/>
    <s v="Amsacta moorei entomopoxvirus"/>
    <x v="52"/>
    <x v="52"/>
    <n v="5"/>
    <x v="0"/>
  </r>
  <r>
    <n v="3"/>
    <x v="3"/>
    <s v="VITF-3"/>
    <s v="CCU55716.1"/>
    <s v="PROT:CCU55716.1"/>
    <s v="VITF-3 45kda subunit (Cop-A23R)"/>
    <s v="Choristoneura biennis entomopoxvirus"/>
    <x v="53"/>
    <x v="53"/>
    <n v="10"/>
    <x v="0"/>
  </r>
  <r>
    <n v="3"/>
    <x v="3"/>
    <s v="VITF-3"/>
    <s v="CCU56018.1"/>
    <s v="PROT:CCU56018.1"/>
    <s v="VITF-3 45kda subunit (Cop-A23R)"/>
    <s v="Choristoneura rosaceana entomopoxvirus 'L'"/>
    <x v="54"/>
    <x v="54"/>
    <n v="14"/>
    <x v="0"/>
  </r>
  <r>
    <n v="3"/>
    <x v="3"/>
    <s v="VITF-3"/>
    <s v="CCU56312.1"/>
    <s v="PROT:CCU56312.1"/>
    <s v="VITF-3 45kda subunit (Cop-A23R)"/>
    <s v="Mythimna separata entomopoxvirus 'L'"/>
    <x v="55"/>
    <x v="55"/>
    <n v="31"/>
    <x v="0"/>
  </r>
  <r>
    <n v="4"/>
    <x v="4"/>
    <s v="RPO132"/>
    <s v="ATI21226.1"/>
    <s v="PROT:ATI21226.1"/>
    <s v="RNA polymerase"/>
    <s v="Eastern grey kangaroopox virus"/>
    <x v="0"/>
    <x v="0"/>
    <n v="18"/>
    <x v="0"/>
  </r>
  <r>
    <n v="4"/>
    <x v="4"/>
    <s v="RPO132"/>
    <s v="AWU47159.1"/>
    <s v="PROT:AWU47159.1"/>
    <s v="RNA polymerase"/>
    <s v="Sea otter poxvirus"/>
    <x v="1"/>
    <x v="1"/>
    <n v="47"/>
    <x v="0"/>
  </r>
  <r>
    <n v="4"/>
    <x v="4"/>
    <s v="RPO132"/>
    <s v="APG58334.1"/>
    <s v="PROT:APG58334.1"/>
    <s v="DNA-directed RNA polymerase 132 kDa polypeptide"/>
    <s v="BeAn 58058 virus"/>
    <x v="2"/>
    <x v="2"/>
    <n v="7"/>
    <x v="1"/>
  </r>
  <r>
    <n v="4"/>
    <x v="4"/>
    <s v="RPO132"/>
    <s v="ADT91143.1"/>
    <s v="PROT:ADT91143.1"/>
    <s v="DNA-dependent RNA polymerase subunit RPO132"/>
    <s v="Cotia virus SPAn232"/>
    <x v="3"/>
    <x v="3"/>
    <n v="12"/>
    <x v="0"/>
  </r>
  <r>
    <n v="4"/>
    <x v="4"/>
    <s v="RPO132"/>
    <s v="ANS71203.1"/>
    <s v="PROT:ANS71203.1"/>
    <s v="RNA polymerase"/>
    <s v="Pteropox virus"/>
    <x v="4"/>
    <x v="4"/>
    <n v="40"/>
    <x v="0"/>
  </r>
  <r>
    <n v="4"/>
    <x v="4"/>
    <s v="RPO132"/>
    <s v="AKR04250.1"/>
    <s v="PROT:AKR04250.1"/>
    <s v="DNA-directed RNA polymerase subunit beta"/>
    <s v="Salmon gill poxvirus"/>
    <x v="5"/>
    <x v="5"/>
    <n v="46"/>
    <x v="0"/>
  </r>
  <r>
    <n v="4"/>
    <x v="4"/>
    <s v="RPO132"/>
    <s v="CCD83296.1"/>
    <s v="PROT:CCD83296.1"/>
    <s v="DNA-dependent RNA polymerase subunit rpo132"/>
    <s v="Squirrelpox virus"/>
    <x v="6"/>
    <x v="6"/>
    <n v="48"/>
    <x v="0"/>
  </r>
  <r>
    <n v="4"/>
    <x v="4"/>
    <s v="RPO132"/>
    <s v="ASK51322.1"/>
    <s v="PROT:ASK51322.1"/>
    <s v="RNA polymerase subunit (RPO132)"/>
    <s v="Eptesipox virus"/>
    <x v="7"/>
    <x v="7"/>
    <n v="19"/>
    <x v="0"/>
  </r>
  <r>
    <n v="4"/>
    <x v="4"/>
    <s v="RPO132"/>
    <s v="AUD40297.1"/>
    <s v="PROT:AUD40297.1"/>
    <s v="RNA polymerase subunit 132"/>
    <s v="Flamingopox virus FGPVKD09"/>
    <x v="8"/>
    <x v="8"/>
    <n v="20"/>
    <x v="0"/>
  </r>
  <r>
    <n v="4"/>
    <x v="4"/>
    <s v="RPO132"/>
    <s v="AID46928.1"/>
    <s v="PROT:AID46928.1"/>
    <s v="RNA polymerase subunit RPO132"/>
    <s v="Penguinpox virus"/>
    <x v="9"/>
    <x v="9"/>
    <n v="39"/>
    <x v="0"/>
  </r>
  <r>
    <n v="4"/>
    <x v="4"/>
    <s v="RPO132"/>
    <s v="AID46696.1"/>
    <s v="PROT:AID46696.1"/>
    <s v="RNA polymerase subunit RPO132"/>
    <s v="Pigeonpox virus"/>
    <x v="10"/>
    <x v="10"/>
    <n v="38"/>
    <x v="0"/>
  </r>
  <r>
    <n v="4"/>
    <x v="4"/>
    <s v="RPO132"/>
    <s v="ALA62513.1"/>
    <s v="PROT:ALA62513.1"/>
    <s v="RNA polymerase subunit RPO132"/>
    <s v="Turkeypox virus"/>
    <x v="11"/>
    <x v="11"/>
    <n v="51"/>
    <x v="0"/>
  </r>
  <r>
    <n v="4"/>
    <x v="4"/>
    <s v="RPO132"/>
    <s v="AAR83609.1"/>
    <s v="PROT:AAR83609.1"/>
    <s v="CNPV263 RNA polymerase subunit RPO132"/>
    <s v="Canarypox virus"/>
    <x v="12"/>
    <x v="12"/>
    <n v="11"/>
    <x v="0"/>
  </r>
  <r>
    <n v="4"/>
    <x v="4"/>
    <s v="RPO132"/>
    <s v="AAF44533.1"/>
    <s v="PROT:AAF44533.1"/>
    <s v="ORF FPV189 RNA polymerase subunit, RPO132"/>
    <s v="Fowlpox virus"/>
    <x v="13"/>
    <x v="13"/>
    <n v="21"/>
    <x v="0"/>
  </r>
  <r>
    <n v="4"/>
    <x v="4"/>
    <s v="RPO132"/>
    <s v="AAK85077.1"/>
    <s v="PROT:AAK85077.1"/>
    <s v="LSDV116 RNA polymerase subunit"/>
    <s v="Lumpy skin disease virus NI-2490"/>
    <x v="14"/>
    <x v="14"/>
    <n v="25"/>
    <x v="0"/>
  </r>
  <r>
    <n v="4"/>
    <x v="4"/>
    <s v="RPO132"/>
    <s v="AST09335.1"/>
    <s v="PROT:AST09335.1"/>
    <s v="DNA-dependent RNA polymerase subunit rpo132"/>
    <s v="Murmansk poxvirus"/>
    <x v="15"/>
    <x v="15"/>
    <n v="27"/>
    <x v="0"/>
  </r>
  <r>
    <n v="4"/>
    <x v="4"/>
    <s v="RPO132"/>
    <s v="AEN03717.1"/>
    <s v="PROT:AEN03717.1"/>
    <s v="DNA-dependent RNA polymerase subunit rpo132"/>
    <s v="Yokapox virus"/>
    <x v="16"/>
    <x v="16"/>
    <n v="57"/>
    <x v="0"/>
  </r>
  <r>
    <n v="4"/>
    <x v="4"/>
    <s v="RPO132"/>
    <s v="ABI99280.1"/>
    <s v="PROT:ABI99280.1"/>
    <s v="RNA polymerase subunit RPO132"/>
    <s v="Deerpox virus W-848-83"/>
    <x v="17"/>
    <x v="17"/>
    <n v="15"/>
    <x v="0"/>
  </r>
  <r>
    <n v="4"/>
    <x v="4"/>
    <s v="RPO132"/>
    <s v="ABJ09038.1"/>
    <s v="PROT:ABJ09038.1"/>
    <s v="RNA polymerase subunit RPO132"/>
    <s v="Nile crocodilepox virus"/>
    <x v="18"/>
    <x v="18"/>
    <n v="34"/>
    <x v="0"/>
  </r>
  <r>
    <n v="4"/>
    <x v="4"/>
    <s v="RPO132"/>
    <s v="AAF15002.1"/>
    <s v="PROT:AAF15002.1"/>
    <s v="m114R"/>
    <s v="Myxoma virus strain Lausanne"/>
    <x v="19"/>
    <x v="19"/>
    <n v="32"/>
    <x v="0"/>
  </r>
  <r>
    <n v="4"/>
    <x v="4"/>
    <s v="RPO132"/>
    <s v="AFU77378.1"/>
    <s v="PROT:AFU77378.1"/>
    <s v="m114R"/>
    <s v="Myxoma virus isolate BRK 897"/>
    <x v="20"/>
    <x v="20"/>
    <n v="33"/>
    <x v="1"/>
  </r>
  <r>
    <n v="4"/>
    <x v="4"/>
    <s v="RPO132"/>
    <s v="AAF17997.1"/>
    <s v="PROT:AAF17997.1"/>
    <s v="gp114R"/>
    <s v="Rabbit fibroma virus"/>
    <x v="21"/>
    <x v="21"/>
    <n v="43"/>
    <x v="0"/>
  </r>
  <r>
    <n v="4"/>
    <x v="4"/>
    <s v="RPO132"/>
    <s v="AAC55257.1"/>
    <s v="PROT:AAC55257.1"/>
    <s v="MC129R"/>
    <s v="Molluscum contagiosum virus subtype 1"/>
    <x v="22"/>
    <x v="22"/>
    <n v="26"/>
    <x v="0"/>
  </r>
  <r>
    <n v="4"/>
    <x v="4"/>
    <s v="RPO132"/>
    <s v="AYN64709.1"/>
    <s v="PROT:AYN64709.1"/>
    <s v="putative A24R protein"/>
    <s v="Orthopoxvirus Abatino"/>
    <x v="23"/>
    <x v="23"/>
    <n v="1"/>
    <x v="0"/>
  </r>
  <r>
    <n v="4"/>
    <x v="4"/>
    <s v="RPO132"/>
    <s v="AXN74940.1"/>
    <s v="PROT:AXN74940.1"/>
    <s v="DNA-directed RNA polymerase"/>
    <s v="Akhmeta virus"/>
    <x v="24"/>
    <x v="24"/>
    <n v="4"/>
    <x v="0"/>
  </r>
  <r>
    <n v="4"/>
    <x v="4"/>
    <s v="RPO132"/>
    <s v="ABH08251.1"/>
    <s v="PROT:ABH08251.1"/>
    <s v="HSPV145"/>
    <s v="Horsepox virus"/>
    <x v="25"/>
    <x v="25"/>
    <n v="24"/>
    <x v="0"/>
  </r>
  <r>
    <n v="4"/>
    <x v="4"/>
    <s v="RPO132"/>
    <s v="AAG37633.1"/>
    <s v="PROT:AAG37633.1"/>
    <s v="CMP141R"/>
    <s v="Camelpox virus CMS"/>
    <x v="26"/>
    <x v="26"/>
    <n v="9"/>
    <x v="1"/>
  </r>
  <r>
    <n v="4"/>
    <x v="4"/>
    <s v="RPO132"/>
    <s v="AAL73849.1"/>
    <s v="PROT:AAL73849.1"/>
    <s v="RNA polymerase subunit RPO132"/>
    <s v="Camelpox virus M-96"/>
    <x v="27"/>
    <x v="27"/>
    <n v="8"/>
    <x v="0"/>
  </r>
  <r>
    <n v="4"/>
    <x v="4"/>
    <s v="RPO132"/>
    <s v="AAM13599.1"/>
    <s v="PROT:AAM13599.1"/>
    <s v="Rpo132 or CPXV157 protein"/>
    <s v="Cowpox virus"/>
    <x v="28"/>
    <x v="28"/>
    <n v="13"/>
    <x v="0"/>
  </r>
  <r>
    <n v="4"/>
    <x v="4"/>
    <s v="RPO132"/>
    <s v="AAM92432.1"/>
    <s v="PROT:AAM92432.1"/>
    <s v="EVM127"/>
    <s v="Ectromelia virus"/>
    <x v="29"/>
    <x v="29"/>
    <n v="16"/>
    <x v="0"/>
  </r>
  <r>
    <n v="4"/>
    <x v="4"/>
    <s v="RPO132"/>
    <s v="AFH54691.1"/>
    <s v="PROT:AFH54691.1"/>
    <s v="RNA polymerase 132 subuni"/>
    <s v="Ectromelia virus ERPV"/>
    <x v="30"/>
    <x v="30"/>
    <n v="17"/>
    <x v="1"/>
  </r>
  <r>
    <n v="4"/>
    <x v="4"/>
    <s v="RPO132"/>
    <s v="AAL40593.1"/>
    <s v="PROT:AAL40593.1"/>
    <s v="A25R"/>
    <s v="Monkeypox virus Zaire-96-I-16 (clade I)"/>
    <x v="31"/>
    <x v="31"/>
    <n v="29"/>
    <x v="0"/>
  </r>
  <r>
    <n v="4"/>
    <x v="4"/>
    <s v="RPO132"/>
    <s v="AAX09231.1"/>
    <s v="PROT:AAX09231.1"/>
    <s v="MPXV-COP-130"/>
    <s v="monkeypox virus strain cOP-58 (clade IIa)"/>
    <x v="32"/>
    <x v="32"/>
    <n v="28"/>
    <x v="0"/>
  </r>
  <r>
    <n v="4"/>
    <x v="4"/>
    <s v="RPO132"/>
    <s v="AKJ93773.1"/>
    <s v="PROT:AKJ93773.1"/>
    <s v="RNA polymerase subunit RPO132 protein"/>
    <s v="Raccoonpox virus"/>
    <x v="33"/>
    <x v="33"/>
    <n v="41"/>
    <x v="0"/>
  </r>
  <r>
    <n v="4"/>
    <x v="4"/>
    <s v="RPO132"/>
    <s v="AOP31622.1"/>
    <s v="PROT:AOP31622.1"/>
    <s v="RNA polymerase"/>
    <s v="Skunkpox virus"/>
    <x v="34"/>
    <x v="34"/>
    <n v="45"/>
    <x v="0"/>
  </r>
  <r>
    <n v="4"/>
    <x v="4"/>
    <s v="RPO132"/>
    <s v="ABD97712.1"/>
    <s v="PROT:ABD97712.1"/>
    <s v="DNA-dependent RNA polymerase subunit rpo132"/>
    <s v="Taterapox virus"/>
    <x v="35"/>
    <x v="35"/>
    <n v="50"/>
    <x v="0"/>
  </r>
  <r>
    <n v="4"/>
    <x v="4"/>
    <s v="RPO132"/>
    <s v="AAO89423.1"/>
    <s v="PROT:AAO89423.1"/>
    <s v="DNA-dependent RNA polymerase subunit rpo132"/>
    <s v="Vaccinia virus WR"/>
    <x v="36"/>
    <x v="36"/>
    <n v="52"/>
    <x v="0"/>
  </r>
  <r>
    <n v="4"/>
    <x v="4"/>
    <s v="RPO132"/>
    <s v="CAA49069.1"/>
    <s v="PROT:CAA49069.1"/>
    <s v="A24R"/>
    <s v="Variola virus major"/>
    <x v="37"/>
    <x v="37"/>
    <n v="53"/>
    <x v="0"/>
  </r>
  <r>
    <n v="4"/>
    <x v="4"/>
    <s v="RPO132"/>
    <s v="CAB54728.1"/>
    <s v="PROT:CAB54728.1"/>
    <s v="A25R protein"/>
    <s v="Variola minor virus"/>
    <x v="38"/>
    <x v="38"/>
    <n v="54"/>
    <x v="0"/>
  </r>
  <r>
    <n v="4"/>
    <x v="4"/>
    <s v="RPO132"/>
    <s v="AOP31833.1"/>
    <s v="PROT:AOP31833.1"/>
    <s v="RNA polymerase"/>
    <s v="Volepox virus"/>
    <x v="39"/>
    <x v="39"/>
    <n v="55"/>
    <x v="0"/>
  </r>
  <r>
    <n v="4"/>
    <x v="4"/>
    <s v="RPO132"/>
    <s v="ASC55546.1"/>
    <s v="PROT:ASC55546.1"/>
    <s v="RNA polymerase subunit RPO132-like protein"/>
    <s v="Seal parapoxvirus"/>
    <x v="40"/>
    <x v="40"/>
    <n v="22"/>
    <x v="0"/>
  </r>
  <r>
    <n v="4"/>
    <x v="4"/>
    <s v="RPO132"/>
    <s v="AAR98458.1"/>
    <s v="PROT:AAR98458.1"/>
    <s v="ORF101 RNA polymerase subunit RPO132"/>
    <s v="Bovine papular stomatitis virus"/>
    <x v="41"/>
    <x v="41"/>
    <n v="6"/>
    <x v="0"/>
  </r>
  <r>
    <n v="4"/>
    <x v="4"/>
    <s v="RPO132"/>
    <s v="AAR98326.1"/>
    <s v="PROT:AAR98326.1"/>
    <s v="ORF101 RNA polymerase subunit RPO132"/>
    <s v="Orf virus strain OV-SA00"/>
    <x v="42"/>
    <x v="42"/>
    <n v="35"/>
    <x v="0"/>
  </r>
  <r>
    <n v="4"/>
    <x v="4"/>
    <s v="RPO132"/>
    <s v="ABA00618.1"/>
    <s v="PROT:ABA00618.1"/>
    <s v="RNA polymerase RPO132"/>
    <s v="Orf virus strain NZ2"/>
    <x v="43"/>
    <x v="43"/>
    <n v="36"/>
    <x v="1"/>
  </r>
  <r>
    <n v="4"/>
    <x v="4"/>
    <s v="RPO132"/>
    <s v="AIZ77352.1"/>
    <s v="PROT:AIZ77352.1"/>
    <s v="putative RNA polymerase subunit RPO132"/>
    <s v="Parapoxvirus red deer/HL953"/>
    <x v="44"/>
    <x v="44"/>
    <n v="42"/>
    <x v="0"/>
  </r>
  <r>
    <n v="4"/>
    <x v="4"/>
    <s v="RPO132"/>
    <s v="ADC54003.1"/>
    <s v="PROT:ADC54003.1"/>
    <s v="RNA-polymerase RPO132"/>
    <s v="Pseudocowpox virus"/>
    <x v="45"/>
    <x v="45"/>
    <n v="37"/>
    <x v="0"/>
  </r>
  <r>
    <n v="4"/>
    <x v="4"/>
    <s v="RPO132"/>
    <s v="AAL69852.1"/>
    <s v="PROT:AAL69852.1"/>
    <s v="SPV113 RNA polymerase subunit RPO132"/>
    <s v="Swinepox virus"/>
    <x v="46"/>
    <x v="46"/>
    <n v="49"/>
    <x v="0"/>
  </r>
  <r>
    <n v="4"/>
    <x v="4"/>
    <s v="RPO132"/>
    <s v="CAC21354.1"/>
    <s v="PROT:CAC21354.1"/>
    <s v="116R protein"/>
    <s v="Yaba-like disease virus"/>
    <x v="47"/>
    <x v="47"/>
    <n v="58"/>
    <x v="0"/>
  </r>
  <r>
    <n v="4"/>
    <x v="4"/>
    <s v="RPO132"/>
    <s v="AAR07472.1"/>
    <s v="PROT:AAR07472.1"/>
    <s v="116R"/>
    <s v="Yaba monkey tumor virus"/>
    <x v="48"/>
    <x v="48"/>
    <n v="59"/>
    <x v="0"/>
  </r>
  <r>
    <n v="4"/>
    <x v="4"/>
    <s v="RPO132"/>
    <s v="AAC97782.1"/>
    <s v="PROT:AAC97782.1"/>
    <s v="ORF MSV155 putative RNA polymerase second largest subunit cowpox RPO132 homolog (vaccinia A24R), similar to SW:P17474"/>
    <s v="Melanoplus sanguinipes entomopoxvirus 'O'"/>
    <x v="49"/>
    <x v="49"/>
    <n v="30"/>
    <x v="0"/>
  </r>
  <r>
    <n v="4"/>
    <x v="4"/>
    <s v="RPO132"/>
    <s v="BAO49445.1"/>
    <s v="PROT:BAO49445.1"/>
    <s v="DNA-directed RNA polymerase subunit RPO132"/>
    <s v="Anomala cuprea entomopoxvirus"/>
    <x v="50"/>
    <x v="50"/>
    <n v="2"/>
    <x v="0"/>
  </r>
  <r>
    <n v="4"/>
    <x v="4"/>
    <s v="RPO132"/>
    <s v="CCU55389.1"/>
    <s v="PROT:CCU55389.1"/>
    <s v="RNA polymerase RPO132"/>
    <s v="Adoxophyes honmai entomopoxvirus 'L'"/>
    <x v="51"/>
    <x v="51"/>
    <n v="3"/>
    <x v="0"/>
  </r>
  <r>
    <n v="4"/>
    <x v="4"/>
    <s v="RPO132"/>
    <s v="AAG02772.1"/>
    <s v="PROT:AAG02772.1"/>
    <s v="AMV066"/>
    <s v="Amsacta moorei entomopoxvirus"/>
    <x v="52"/>
    <x v="52"/>
    <n v="5"/>
    <x v="0"/>
  </r>
  <r>
    <n v="4"/>
    <x v="4"/>
    <s v="RPO132"/>
    <s v="CCU55697.1"/>
    <s v="PROT:CCU55697.1"/>
    <s v="RNA polymerase RPO132"/>
    <s v="Choristoneura biennis entomopoxvirus"/>
    <x v="53"/>
    <x v="53"/>
    <n v="10"/>
    <x v="0"/>
  </r>
  <r>
    <n v="4"/>
    <x v="4"/>
    <s v="RPO132"/>
    <s v="CCU55999.1"/>
    <s v="PROT:CCU55999.1"/>
    <s v="RNA polymerase RPO132"/>
    <s v="Choristoneura rosaceana entomopoxvirus 'L'"/>
    <x v="54"/>
    <x v="54"/>
    <n v="14"/>
    <x v="0"/>
  </r>
  <r>
    <n v="4"/>
    <x v="4"/>
    <s v="RPO132"/>
    <s v="CCU56292.1"/>
    <s v="PROT:CCU56292.1"/>
    <s v="RNA polymerase RPO132"/>
    <s v="Mythimna separata entomopoxvirus 'L'"/>
    <x v="55"/>
    <x v="55"/>
    <n v="31"/>
    <x v="0"/>
  </r>
  <r>
    <n v="4"/>
    <x v="4"/>
    <s v="RPO132"/>
    <s v="NP_659688.1"/>
    <s v="PROT:NP_659688.1"/>
    <s v="RNA polymerase subunit RPO132"/>
    <s v="Sheeppox virus"/>
    <x v="56"/>
    <x v="56"/>
    <n v="44"/>
    <x v="0"/>
  </r>
  <r>
    <n v="4"/>
    <x v="4"/>
    <s v="RPO132"/>
    <s v="YP_001293307.1"/>
    <s v="PROT:YP_001293307.1"/>
    <s v="hypothetical protein GTPV_gp111"/>
    <s v="Goatpox virus Pellor"/>
    <x v="57"/>
    <x v="57"/>
    <n v="23"/>
    <x v="0"/>
  </r>
  <r>
    <n v="5"/>
    <x v="5"/>
    <s v="IMV-MP"/>
    <s v="ATI21231.1"/>
    <s v="PROT:ATI21231.1"/>
    <s v="IMV MP/virus entry"/>
    <s v="Eastern grey kangaroopox virus"/>
    <x v="0"/>
    <x v="0"/>
    <n v="18"/>
    <x v="0"/>
  </r>
  <r>
    <n v="5"/>
    <x v="5"/>
    <s v="IMV-MP"/>
    <s v="AWU47163.1"/>
    <s v="PROT:AWU47163.1"/>
    <s v="IMV MP/virus entry"/>
    <s v="Sea otter poxvirus"/>
    <x v="1"/>
    <x v="1"/>
    <n v="47"/>
    <x v="0"/>
  </r>
  <r>
    <n v="5"/>
    <x v="5"/>
    <s v="IMV-MP"/>
    <s v="APG58336.1"/>
    <s v="PROT:APG58336.1"/>
    <s v="envelope protein A28-like protein"/>
    <s v="BeAn 58058 virus"/>
    <x v="2"/>
    <x v="2"/>
    <n v="7"/>
    <x v="1"/>
  </r>
  <r>
    <n v="5"/>
    <x v="5"/>
    <s v="IMV-MP"/>
    <s v="ADT91145.1"/>
    <s v="PROT:ADT91145.1"/>
    <s v="MV entry-fusion complex protein"/>
    <s v="Cotia virus SPAn232"/>
    <x v="3"/>
    <x v="3"/>
    <n v="12"/>
    <x v="0"/>
  </r>
  <r>
    <n v="5"/>
    <x v="5"/>
    <s v="IMV-MP"/>
    <s v="ANS71207.1"/>
    <s v="PROT:ANS71207.1"/>
    <s v="imv mp/virus entry"/>
    <s v="Pteropox virus"/>
    <x v="4"/>
    <x v="4"/>
    <n v="40"/>
    <x v="0"/>
  </r>
  <r>
    <n v="5"/>
    <x v="5"/>
    <s v="IMV-MP"/>
    <s v="AKR04251.1"/>
    <s v="PROT:AKR04251.1"/>
    <s v="A28R protein"/>
    <s v="Salmon gill poxvirus"/>
    <x v="5"/>
    <x v="5"/>
    <n v="46"/>
    <x v="0"/>
  </r>
  <r>
    <n v="5"/>
    <x v="5"/>
    <s v="IMV-MP"/>
    <s v="CCD83300.1"/>
    <s v="PROT:CCD83300.1"/>
    <s v="IMV surface protein"/>
    <s v="Squirrelpox virus"/>
    <x v="6"/>
    <x v="6"/>
    <n v="48"/>
    <x v="0"/>
  </r>
  <r>
    <n v="5"/>
    <x v="5"/>
    <s v="IMV-MP"/>
    <s v="ASK51326.1"/>
    <s v="PROT:ASK51326.1"/>
    <s v="IMV membrane protein, entry"/>
    <s v="Eptesipox virus"/>
    <x v="7"/>
    <x v="7"/>
    <n v="19"/>
    <x v="0"/>
  </r>
  <r>
    <n v="5"/>
    <x v="5"/>
    <s v="IMV-MP"/>
    <s v="AUD40300.1"/>
    <s v="PROT:AUD40300.1"/>
    <s v="hypothetical protein fgpv_206"/>
    <s v="Flamingopox virus FGPVKD09"/>
    <x v="8"/>
    <x v="8"/>
    <n v="20"/>
    <x v="0"/>
  </r>
  <r>
    <n v="5"/>
    <x v="5"/>
    <s v="IMV-MP"/>
    <s v="AID46931.1"/>
    <s v="PROT:AID46931.1"/>
    <s v="hypothetical protein pepv_205"/>
    <s v="Penguinpox virus"/>
    <x v="9"/>
    <x v="9"/>
    <n v="39"/>
    <x v="0"/>
  </r>
  <r>
    <n v="5"/>
    <x v="5"/>
    <s v="IMV-MP"/>
    <s v="AID46699.1"/>
    <s v="PROT:AID46699.1"/>
    <s v="hypothetical protein fep_197"/>
    <s v="Pigeonpox virus"/>
    <x v="10"/>
    <x v="10"/>
    <n v="38"/>
    <x v="0"/>
  </r>
  <r>
    <n v="5"/>
    <x v="5"/>
    <s v="IMV-MP"/>
    <s v="ALA62516.1"/>
    <s v="PROT:ALA62516.1"/>
    <s v="hypothetical protein"/>
    <s v="Turkeypox virus"/>
    <x v="11"/>
    <x v="11"/>
    <n v="51"/>
    <x v="0"/>
  </r>
  <r>
    <n v="5"/>
    <x v="5"/>
    <s v="IMV-MP"/>
    <s v="AAR83612.1"/>
    <s v="PROT:AAR83612.1"/>
    <s v="CNPV266 conserved hypothetical protein"/>
    <s v="Canarypox virus"/>
    <x v="12"/>
    <x v="12"/>
    <n v="11"/>
    <x v="0"/>
  </r>
  <r>
    <n v="5"/>
    <x v="5"/>
    <s v="IMV-MP"/>
    <s v="AAF44536.1"/>
    <s v="PROT:AAF44536.1"/>
    <s v="ORF FPV192"/>
    <s v="Fowlpox virus"/>
    <x v="13"/>
    <x v="13"/>
    <n v="21"/>
    <x v="0"/>
  </r>
  <r>
    <n v="5"/>
    <x v="5"/>
    <s v="IMV-MP"/>
    <s v="AAK85079.1"/>
    <s v="PROT:AAK85079.1"/>
    <s v="LSDV118 hypothetical protein"/>
    <s v="Lumpy skin disease virus NI-2490"/>
    <x v="14"/>
    <x v="14"/>
    <n v="25"/>
    <x v="0"/>
  </r>
  <r>
    <n v="5"/>
    <x v="5"/>
    <s v="IMV-MP"/>
    <s v="AST09339.1"/>
    <s v="PROT:AST09339.1"/>
    <s v="virion surface protein"/>
    <s v="Murmansk poxvirus"/>
    <x v="15"/>
    <x v="15"/>
    <n v="27"/>
    <x v="0"/>
  </r>
  <r>
    <n v="5"/>
    <x v="5"/>
    <s v="IMV-MP"/>
    <s v="AEN03721.1"/>
    <s v="PROT:AEN03721.1"/>
    <s v="virion surface protein"/>
    <s v="Yokapox virus"/>
    <x v="16"/>
    <x v="16"/>
    <n v="57"/>
    <x v="0"/>
  </r>
  <r>
    <n v="5"/>
    <x v="5"/>
    <s v="IMV-MP"/>
    <s v="ABI99282.1"/>
    <s v="PROT:ABI99282.1"/>
    <s v="hypothetical protein DpV83gp127"/>
    <s v="Deerpox virus W-848-83"/>
    <x v="17"/>
    <x v="17"/>
    <n v="15"/>
    <x v="0"/>
  </r>
  <r>
    <n v="5"/>
    <x v="5"/>
    <s v="IMV-MP"/>
    <s v="ABJ09040.1"/>
    <s v="PROT:ABJ09040.1"/>
    <s v="IMV membrane protein"/>
    <s v="Nile crocodilepox virus"/>
    <x v="18"/>
    <x v="18"/>
    <n v="34"/>
    <x v="0"/>
  </r>
  <r>
    <n v="5"/>
    <x v="5"/>
    <s v="IMV-MP"/>
    <s v="AAF15004.1"/>
    <s v="PROT:AAF15004.1"/>
    <s v="m116L"/>
    <s v="Myxoma virus strain Lausanne"/>
    <x v="19"/>
    <x v="19"/>
    <n v="32"/>
    <x v="0"/>
  </r>
  <r>
    <n v="5"/>
    <x v="5"/>
    <s v="IMV-MP"/>
    <s v="AFU77380.1"/>
    <s v="PROT:AFU77380.1"/>
    <s v="m116L"/>
    <s v="Myxoma virus isolate BRK 897"/>
    <x v="20"/>
    <x v="20"/>
    <n v="33"/>
    <x v="1"/>
  </r>
  <r>
    <n v="5"/>
    <x v="5"/>
    <s v="IMV-MP"/>
    <s v="AAF17999.1"/>
    <s v="PROT:AAF17999.1"/>
    <s v="gp116L"/>
    <s v="Rabbit fibroma virus"/>
    <x v="21"/>
    <x v="21"/>
    <n v="43"/>
    <x v="0"/>
  </r>
  <r>
    <n v="5"/>
    <x v="5"/>
    <s v="IMV-MP"/>
    <s v="AAC55262.1"/>
    <s v="PROT:AAC55262.1"/>
    <s v="MC134L"/>
    <s v="Molluscum contagiosum virus subtype 1"/>
    <x v="22"/>
    <x v="22"/>
    <n v="26"/>
    <x v="0"/>
  </r>
  <r>
    <n v="5"/>
    <x v="5"/>
    <s v="IMV-MP"/>
    <s v="AYN64714.1"/>
    <s v="PROT:AYN64714.1"/>
    <s v="putative A28L protein"/>
    <s v="Orthopoxvirus Abatino"/>
    <x v="23"/>
    <x v="23"/>
    <n v="1"/>
    <x v="0"/>
  </r>
  <r>
    <n v="5"/>
    <x v="5"/>
    <s v="IMV-MP"/>
    <s v="AXN74944.1"/>
    <s v="PROT:AXN74944.1"/>
    <s v="IMV membrane protein"/>
    <s v="Akhmeta virus"/>
    <x v="24"/>
    <x v="24"/>
    <n v="4"/>
    <x v="0"/>
  </r>
  <r>
    <n v="5"/>
    <x v="5"/>
    <s v="IMV-MP"/>
    <s v="ABH08258.1"/>
    <s v="PROT:ABH08258.1"/>
    <s v="HSPV149"/>
    <s v="Horsepox virus"/>
    <x v="25"/>
    <x v="25"/>
    <n v="24"/>
    <x v="0"/>
  </r>
  <r>
    <n v="5"/>
    <x v="5"/>
    <s v="IMV-MP"/>
    <s v="AAG37639.1"/>
    <s v="PROT:AAG37639.1"/>
    <s v="CMP145L"/>
    <s v="Camelpox virus CMS"/>
    <x v="26"/>
    <x v="26"/>
    <n v="9"/>
    <x v="1"/>
  </r>
  <r>
    <n v="5"/>
    <x v="5"/>
    <s v="IMV-MP"/>
    <s v="AAL73854.1"/>
    <s v="PROT:AAL73854.1"/>
    <s v="hypothetical protein"/>
    <s v="Camelpox virus M-96"/>
    <x v="27"/>
    <x v="27"/>
    <n v="8"/>
    <x v="0"/>
  </r>
  <r>
    <n v="5"/>
    <x v="5"/>
    <s v="IMV-MP"/>
    <s v="AAM13605.1"/>
    <s v="PROT:AAM13605.1"/>
    <s v="CPXV163 Protein"/>
    <s v="Cowpox virus"/>
    <x v="28"/>
    <x v="28"/>
    <n v="13"/>
    <x v="0"/>
  </r>
  <r>
    <n v="5"/>
    <x v="5"/>
    <s v="IMV-MP"/>
    <s v="AAM92435.1"/>
    <s v="PROT:AAM92435.1"/>
    <s v="EVM130"/>
    <s v="Ectromelia virus"/>
    <x v="29"/>
    <x v="29"/>
    <n v="16"/>
    <x v="0"/>
  </r>
  <r>
    <n v="5"/>
    <x v="5"/>
    <s v="IMV-MP"/>
    <s v="AFH54696.1"/>
    <s v="PROT:AFH54696.1"/>
    <s v="IMV virus entry"/>
    <s v="Ectromelia virus ERPV"/>
    <x v="30"/>
    <x v="30"/>
    <n v="17"/>
    <x v="1"/>
  </r>
  <r>
    <n v="5"/>
    <x v="5"/>
    <s v="IMV-MP"/>
    <s v="AAL40598.1"/>
    <s v="PROT:AAL40598.1"/>
    <s v="A30L"/>
    <s v="Monkeypox virus Zaire-96-I-16 (clade I)"/>
    <x v="31"/>
    <x v="31"/>
    <n v="29"/>
    <x v="0"/>
  </r>
  <r>
    <n v="5"/>
    <x v="5"/>
    <s v="IMV-MP"/>
    <s v="AAX09234.1"/>
    <s v="PROT:AAX09234.1"/>
    <s v="MPXV-COP-133"/>
    <s v="monkeypox virus strain cOP-58 (clade IIa)"/>
    <x v="32"/>
    <x v="32"/>
    <n v="28"/>
    <x v="0"/>
  </r>
  <r>
    <n v="5"/>
    <x v="5"/>
    <s v="IMV-MP"/>
    <s v="AKJ93777.1"/>
    <s v="PROT:AKJ93777.1"/>
    <s v="IMV membrane protein/virus entry"/>
    <s v="Raccoonpox virus"/>
    <x v="33"/>
    <x v="33"/>
    <n v="41"/>
    <x v="0"/>
  </r>
  <r>
    <n v="5"/>
    <x v="5"/>
    <s v="IMV-MP"/>
    <s v="AOP31626.1"/>
    <s v="PROT:AOP31626.1"/>
    <s v="imv mp/virus entry protein"/>
    <s v="Skunkpox virus"/>
    <x v="34"/>
    <x v="34"/>
    <n v="45"/>
    <x v="0"/>
  </r>
  <r>
    <n v="5"/>
    <x v="5"/>
    <s v="IMV-MP"/>
    <s v="ABD97718.1"/>
    <s v="PROT:ABD97718.1"/>
    <s v="IMV membrane protein"/>
    <s v="Taterapox virus"/>
    <x v="35"/>
    <x v="35"/>
    <n v="50"/>
    <x v="0"/>
  </r>
  <r>
    <n v="5"/>
    <x v="5"/>
    <s v="IMV-MP"/>
    <s v="AAO89430.1"/>
    <s v="PROT:AAO89430.1"/>
    <s v="unknown"/>
    <s v="Vaccinia virus WR"/>
    <x v="36"/>
    <x v="36"/>
    <n v="52"/>
    <x v="0"/>
  </r>
  <r>
    <n v="5"/>
    <x v="5"/>
    <s v="IMV-MP"/>
    <s v="CAA49076.1"/>
    <s v="PROT:CAA49076.1"/>
    <s v="A31L"/>
    <s v="Variola virus major"/>
    <x v="37"/>
    <x v="37"/>
    <n v="53"/>
    <x v="0"/>
  </r>
  <r>
    <n v="5"/>
    <x v="5"/>
    <s v="IMV-MP"/>
    <s v="CAB54735.1"/>
    <s v="PROT:CAB54735.1"/>
    <s v="A32L protein"/>
    <s v="Variola minor virus"/>
    <x v="38"/>
    <x v="38"/>
    <n v="54"/>
    <x v="0"/>
  </r>
  <r>
    <n v="5"/>
    <x v="5"/>
    <s v="IMV-MP"/>
    <s v="AOP31837.1"/>
    <s v="PROT:AOP31837.1"/>
    <s v="imv mp/virus entry protein"/>
    <s v="Volepox virus"/>
    <x v="39"/>
    <x v="39"/>
    <n v="55"/>
    <x v="0"/>
  </r>
  <r>
    <n v="5"/>
    <x v="5"/>
    <s v="IMV-MP"/>
    <s v="ASC55543.1"/>
    <s v="PROT:ASC55543.1"/>
    <s v="hypothetical protein SePPVgORF095"/>
    <s v="Seal parapoxvirus"/>
    <x v="40"/>
    <x v="40"/>
    <n v="22"/>
    <x v="0"/>
  </r>
  <r>
    <n v="5"/>
    <x v="5"/>
    <s v="IMV-MP"/>
    <s v="AAR98462.1"/>
    <s v="PROT:AAR98462.1"/>
    <s v="ORF105 hypothetical protein"/>
    <s v="Bovine papular stomatitis virus"/>
    <x v="41"/>
    <x v="41"/>
    <n v="6"/>
    <x v="0"/>
  </r>
  <r>
    <n v="5"/>
    <x v="5"/>
    <s v="IMV-MP"/>
    <s v="AAR98330.1"/>
    <s v="PROT:AAR98330.1"/>
    <s v="ORF105 hypothetical protein"/>
    <s v="Orf virus strain OV-SA00"/>
    <x v="42"/>
    <x v="42"/>
    <n v="35"/>
    <x v="0"/>
  </r>
  <r>
    <n v="5"/>
    <x v="5"/>
    <s v="IMV-MP"/>
    <s v="ABA00622.1"/>
    <s v="PROT:ABA00622.1"/>
    <s v="IMV surface protein"/>
    <s v="Orf virus strain NZ2"/>
    <x v="43"/>
    <x v="43"/>
    <n v="36"/>
    <x v="1"/>
  </r>
  <r>
    <n v="5"/>
    <x v="5"/>
    <s v="IMV-MP"/>
    <s v="AIZ77356.1"/>
    <s v="PROT:AIZ77356.1"/>
    <s v="putative IMV surface protein"/>
    <s v="Parapoxvirus red deer/HL953"/>
    <x v="44"/>
    <x v="44"/>
    <n v="42"/>
    <x v="0"/>
  </r>
  <r>
    <n v="5"/>
    <x v="5"/>
    <s v="IMV-MP"/>
    <s v="ADC54007.1"/>
    <s v="PROT:ADC54007.1"/>
    <s v="IMV surface protein"/>
    <s v="Pseudocowpox virus"/>
    <x v="45"/>
    <x v="45"/>
    <n v="37"/>
    <x v="0"/>
  </r>
  <r>
    <n v="5"/>
    <x v="5"/>
    <s v="IMV-MP"/>
    <s v="AAL69854.1"/>
    <s v="PROT:AAL69854.1"/>
    <s v="SPV115 hypothetical protein"/>
    <s v="Swinepox virus"/>
    <x v="46"/>
    <x v="46"/>
    <n v="49"/>
    <x v="0"/>
  </r>
  <r>
    <n v="5"/>
    <x v="5"/>
    <s v="IMV-MP"/>
    <s v="CAC21356.1"/>
    <s v="PROT:CAC21356.1"/>
    <s v="118L protein"/>
    <s v="Yaba-like disease virus"/>
    <x v="47"/>
    <x v="47"/>
    <n v="58"/>
    <x v="0"/>
  </r>
  <r>
    <n v="5"/>
    <x v="5"/>
    <s v="IMV-MP"/>
    <s v="AAR07474.1"/>
    <s v="PROT:AAR07474.1"/>
    <s v="118L"/>
    <s v="Yaba monkey tumor virus"/>
    <x v="48"/>
    <x v="48"/>
    <n v="59"/>
    <x v="0"/>
  </r>
  <r>
    <n v="5"/>
    <x v="5"/>
    <s v="IMV-MP"/>
    <s v="AAC97666.1"/>
    <s v="PROT:AAC97666.1"/>
    <s v="ORF MSV132 putative Amsacta moorei entomopoxvirus G4R homolog (vaccinia A28L), similar to SW:P29816"/>
    <s v="Melanoplus sanguinipes entomopoxvirus 'O'"/>
    <x v="49"/>
    <x v="49"/>
    <n v="30"/>
    <x v="0"/>
  </r>
  <r>
    <n v="5"/>
    <x v="5"/>
    <s v="IMV-MP"/>
    <s v="BAO49431.1"/>
    <s v="PROT:BAO49431.1"/>
    <s v="membrane protein"/>
    <s v="Anomala cuprea entomopoxvirus"/>
    <x v="50"/>
    <x v="50"/>
    <n v="2"/>
    <x v="0"/>
  </r>
  <r>
    <n v="5"/>
    <x v="5"/>
    <s v="IMV-MP"/>
    <s v="CCU55473.1"/>
    <s v="PROT:CCU55473.1"/>
    <s v="IMV MP/virus entry (Cop-A28L)"/>
    <s v="Adoxophyes honmai entomopoxvirus 'L'"/>
    <x v="51"/>
    <x v="51"/>
    <n v="3"/>
    <x v="0"/>
  </r>
  <r>
    <n v="5"/>
    <x v="5"/>
    <s v="IMV-MP"/>
    <s v="AAG02892.1"/>
    <s v="PROT:AAG02892.1"/>
    <s v="AMV186"/>
    <s v="Amsacta moorei entomopoxvirus"/>
    <x v="52"/>
    <x v="52"/>
    <n v="5"/>
    <x v="0"/>
  </r>
  <r>
    <n v="5"/>
    <x v="5"/>
    <s v="IMV-MP"/>
    <s v="CCU55794.1"/>
    <s v="PROT:CCU55794.1"/>
    <s v="IMV MP/virus entry (Cop-A28L)"/>
    <s v="Choristoneura biennis entomopoxvirus"/>
    <x v="53"/>
    <x v="53"/>
    <n v="10"/>
    <x v="0"/>
  </r>
  <r>
    <n v="5"/>
    <x v="5"/>
    <s v="IMV-MP"/>
    <s v="CCU56096.1"/>
    <s v="PROT:CCU56096.1"/>
    <s v="IMV MP/virus entry (Cop-A28L)"/>
    <s v="Choristoneura rosaceana entomopoxvirus 'L'"/>
    <x v="54"/>
    <x v="54"/>
    <n v="14"/>
    <x v="0"/>
  </r>
  <r>
    <n v="5"/>
    <x v="5"/>
    <s v="IMV-MP"/>
    <s v="CCU56418.1"/>
    <s v="PROT:CCU56418.1"/>
    <s v="IMV MP/virus entry (Cop-A28L)"/>
    <s v="Mythimna separata entomopoxvirus 'L'"/>
    <x v="55"/>
    <x v="55"/>
    <n v="31"/>
    <x v="0"/>
  </r>
  <r>
    <n v="5"/>
    <x v="5"/>
    <s v="IMV-MP"/>
    <s v="NP_659690.1"/>
    <s v="PROT:NP_659690.1"/>
    <s v="hypothetical protein SPPV_113"/>
    <s v="Sheeppox virus"/>
    <x v="56"/>
    <x v="56"/>
    <n v="44"/>
    <x v="0"/>
  </r>
  <r>
    <n v="5"/>
    <x v="5"/>
    <s v="IMV-MP"/>
    <s v="YP_001293309.1"/>
    <s v="PROT:YP_001293309.1"/>
    <s v="hypothetical protein GTPV_gp113"/>
    <s v="Goatpox virus Pellor"/>
    <x v="57"/>
    <x v="57"/>
    <n v="23"/>
    <x v="0"/>
  </r>
  <r>
    <n v="8"/>
    <x v="6"/>
    <s v="P4b"/>
    <s v="ATI21203.1"/>
    <s v="PROT:ATI21203.1"/>
    <s v="P4b precursor"/>
    <s v="Eastern grey kangaroopox virus"/>
    <x v="0"/>
    <x v="0"/>
    <n v="18"/>
    <x v="0"/>
  </r>
  <r>
    <n v="8"/>
    <x v="6"/>
    <s v="P4b"/>
    <s v="AWU47137.1"/>
    <s v="PROT:AWU47137.1"/>
    <s v="P4b precursor"/>
    <s v="Sea otter poxvirus"/>
    <x v="1"/>
    <x v="1"/>
    <n v="47"/>
    <x v="0"/>
  </r>
  <r>
    <n v="8"/>
    <x v="6"/>
    <s v="P4b"/>
    <s v="APG58313.1"/>
    <s v="PROT:APG58313.1"/>
    <s v="major core protein 4b"/>
    <s v="BeAn 58058 virus"/>
    <x v="2"/>
    <x v="2"/>
    <n v="7"/>
    <x v="1"/>
  </r>
  <r>
    <n v="8"/>
    <x v="6"/>
    <s v="P4b"/>
    <s v="ADT91123.1"/>
    <s v="PROT:ADT91123.1"/>
    <s v="core wall protein"/>
    <s v="Cotia virus SPAn232"/>
    <x v="3"/>
    <x v="3"/>
    <n v="12"/>
    <x v="0"/>
  </r>
  <r>
    <n v="8"/>
    <x v="6"/>
    <s v="P4b"/>
    <s v="ANS71181.1"/>
    <s v="PROT:ANS71181.1"/>
    <s v="p4b precursor"/>
    <s v="Pteropox virus"/>
    <x v="4"/>
    <x v="4"/>
    <n v="40"/>
    <x v="0"/>
  </r>
  <r>
    <n v="8"/>
    <x v="6"/>
    <s v="P4b"/>
    <s v="AKR04225.1"/>
    <s v="PROT:AKR04225.1"/>
    <s v="P4B major core protein"/>
    <s v="Salmon gill poxvirus"/>
    <x v="5"/>
    <x v="5"/>
    <n v="46"/>
    <x v="0"/>
  </r>
  <r>
    <n v="8"/>
    <x v="6"/>
    <s v="P4b"/>
    <s v="CCD83274.1"/>
    <s v="PROT:CCD83274.1"/>
    <s v="precursor of core protein 4b"/>
    <s v="Squirrelpox virus"/>
    <x v="6"/>
    <x v="6"/>
    <n v="48"/>
    <x v="0"/>
  </r>
  <r>
    <n v="8"/>
    <x v="6"/>
    <s v="P4b"/>
    <s v="ASK51300.1"/>
    <s v="PROT:ASK51300.1"/>
    <s v="P4b precursor"/>
    <s v="Eptesipox virus"/>
    <x v="7"/>
    <x v="7"/>
    <n v="19"/>
    <x v="0"/>
  </r>
  <r>
    <n v="8"/>
    <x v="6"/>
    <s v="P4b"/>
    <s v="AUD40274.1"/>
    <s v="PROT:AUD40274.1"/>
    <s v="virion core protein P4b"/>
    <s v="Flamingopox virus FGPVKD09"/>
    <x v="8"/>
    <x v="8"/>
    <n v="20"/>
    <x v="0"/>
  </r>
  <r>
    <n v="8"/>
    <x v="6"/>
    <s v="P4b"/>
    <s v="AID46905.1"/>
    <s v="PROT:AID46905.1"/>
    <s v="virion core protein P4b"/>
    <s v="Penguinpox virus"/>
    <x v="9"/>
    <x v="9"/>
    <n v="39"/>
    <x v="0"/>
  </r>
  <r>
    <n v="8"/>
    <x v="6"/>
    <s v="P4b"/>
    <s v="AID46674.1"/>
    <s v="PROT:AID46674.1"/>
    <s v="virion core protein P4b"/>
    <s v="Pigeonpox virus"/>
    <x v="10"/>
    <x v="10"/>
    <n v="38"/>
    <x v="0"/>
  </r>
  <r>
    <n v="8"/>
    <x v="6"/>
    <s v="P4b"/>
    <s v="ALA62496.1"/>
    <s v="PROT:ALA62496.1"/>
    <s v="virion core protein P4b"/>
    <s v="Turkeypox virus"/>
    <x v="11"/>
    <x v="11"/>
    <n v="51"/>
    <x v="0"/>
  </r>
  <r>
    <n v="8"/>
    <x v="6"/>
    <s v="P4b"/>
    <s v="AAR83586.1"/>
    <s v="PROT:AAR83586.1"/>
    <s v="CNPV240 virion core protein P4b"/>
    <s v="Canarypox virus"/>
    <x v="12"/>
    <x v="12"/>
    <n v="11"/>
    <x v="0"/>
  </r>
  <r>
    <n v="8"/>
    <x v="6"/>
    <s v="P4b"/>
    <s v="AAF44511.1"/>
    <s v="PROT:AAF44511.1"/>
    <s v="ORF FPV167 Virion core protein P4b"/>
    <s v="Fowlpox virus"/>
    <x v="13"/>
    <x v="13"/>
    <n v="21"/>
    <x v="0"/>
  </r>
  <r>
    <n v="8"/>
    <x v="6"/>
    <s v="P4b"/>
    <s v="AAK85055.1"/>
    <s v="PROT:AAK85055.1"/>
    <s v="LSDV094 putative virion core protein"/>
    <s v="Lumpy skin disease virus NI-2490"/>
    <x v="14"/>
    <x v="14"/>
    <n v="25"/>
    <x v="0"/>
  </r>
  <r>
    <n v="8"/>
    <x v="6"/>
    <s v="P4b"/>
    <s v="AST09313.1"/>
    <s v="PROT:AST09313.1"/>
    <s v="p4b precursor of essential virion protein 4b"/>
    <s v="Murmansk poxvirus"/>
    <x v="15"/>
    <x v="15"/>
    <n v="27"/>
    <x v="0"/>
  </r>
  <r>
    <n v="8"/>
    <x v="6"/>
    <s v="P4b"/>
    <s v="AEN03693.1"/>
    <s v="PROT:AEN03693.1"/>
    <s v="p4b precursor of essential virion protein 4b"/>
    <s v="Yokapox virus"/>
    <x v="16"/>
    <x v="16"/>
    <n v="57"/>
    <x v="0"/>
  </r>
  <r>
    <n v="8"/>
    <x v="6"/>
    <s v="P4b"/>
    <s v="ABI99258.1"/>
    <s v="PROT:ABI99258.1"/>
    <s v="virion core protein P4b"/>
    <s v="Deerpox virus W-848-83"/>
    <x v="17"/>
    <x v="17"/>
    <n v="15"/>
    <x v="0"/>
  </r>
  <r>
    <n v="8"/>
    <x v="6"/>
    <s v="P4b"/>
    <s v="ABJ09015.1"/>
    <s v="PROT:ABJ09015.1"/>
    <s v="virion core protein P4b"/>
    <s v="Nile crocodilepox virus"/>
    <x v="18"/>
    <x v="18"/>
    <n v="34"/>
    <x v="0"/>
  </r>
  <r>
    <n v="8"/>
    <x v="6"/>
    <s v="P4b"/>
    <s v="AAF14980.1"/>
    <s v="PROT:AAF14980.1"/>
    <s v="m92L"/>
    <s v="Myxoma virus strain Lausanne"/>
    <x v="19"/>
    <x v="19"/>
    <n v="32"/>
    <x v="0"/>
  </r>
  <r>
    <n v="8"/>
    <x v="6"/>
    <s v="P4b"/>
    <s v="AFU77356.1"/>
    <s v="PROT:AFU77356.1"/>
    <s v="m92L"/>
    <s v="Myxoma virus isolate BRK 897"/>
    <x v="20"/>
    <x v="20"/>
    <n v="33"/>
    <x v="1"/>
  </r>
  <r>
    <n v="8"/>
    <x v="6"/>
    <s v="P4b"/>
    <s v="AAF17976.1"/>
    <s v="PROT:AAF17976.1"/>
    <s v="gp092L"/>
    <s v="Rabbit fibroma virus"/>
    <x v="21"/>
    <x v="21"/>
    <n v="43"/>
    <x v="0"/>
  </r>
  <r>
    <n v="8"/>
    <x v="6"/>
    <s v="P4b"/>
    <s v="AAC55234.1"/>
    <s v="PROT:AAC55234.1"/>
    <s v="MC106L"/>
    <s v="Molluscum contagiosum virus subtype 1"/>
    <x v="22"/>
    <x v="22"/>
    <n v="26"/>
    <x v="0"/>
  </r>
  <r>
    <n v="8"/>
    <x v="6"/>
    <s v="P4b"/>
    <s v="AYN64688.1"/>
    <s v="PROT:AYN64688.1"/>
    <s v="putative A3L protein"/>
    <s v="Orthopoxvirus Abatino"/>
    <x v="23"/>
    <x v="23"/>
    <n v="1"/>
    <x v="0"/>
  </r>
  <r>
    <n v="8"/>
    <x v="6"/>
    <s v="P4b"/>
    <s v="AXN74917.1"/>
    <s v="PROT:AXN74917.1"/>
    <s v="P4b precursor"/>
    <s v="Akhmeta virus"/>
    <x v="24"/>
    <x v="24"/>
    <n v="4"/>
    <x v="0"/>
  </r>
  <r>
    <n v="8"/>
    <x v="6"/>
    <s v="P4b"/>
    <s v="ABH08229.1"/>
    <s v="PROT:ABH08229.1"/>
    <s v="HSPV123"/>
    <s v="Horsepox virus"/>
    <x v="25"/>
    <x v="25"/>
    <n v="24"/>
    <x v="0"/>
  </r>
  <r>
    <n v="8"/>
    <x v="6"/>
    <s v="P4b"/>
    <s v="AAG37602.1"/>
    <s v="PROT:AAG37602.1"/>
    <s v="CMP119L"/>
    <s v="Camelpox virus CMS"/>
    <x v="26"/>
    <x v="26"/>
    <n v="9"/>
    <x v="1"/>
  </r>
  <r>
    <n v="8"/>
    <x v="6"/>
    <s v="P4b"/>
    <s v="AAL73827.1"/>
    <s v="PROT:AAL73827.1"/>
    <s v="putative virion core protein P4b"/>
    <s v="Camelpox virus M-96"/>
    <x v="27"/>
    <x v="27"/>
    <n v="8"/>
    <x v="0"/>
  </r>
  <r>
    <n v="8"/>
    <x v="6"/>
    <s v="P4b"/>
    <s v="AAM13576.1"/>
    <s v="PROT:AAM13576.1"/>
    <s v="CPXV135 protein"/>
    <s v="Cowpox virus"/>
    <x v="28"/>
    <x v="28"/>
    <n v="13"/>
    <x v="0"/>
  </r>
  <r>
    <n v="8"/>
    <x v="6"/>
    <s v="P4b"/>
    <s v="AAM92410.1"/>
    <s v="PROT:AAM92410.1"/>
    <s v="EVM106"/>
    <s v="Ectromelia virus"/>
    <x v="29"/>
    <x v="29"/>
    <n v="16"/>
    <x v="0"/>
  </r>
  <r>
    <n v="8"/>
    <x v="6"/>
    <s v="P4b"/>
    <s v="AFH54669.1"/>
    <s v="PROT:AFH54669.1"/>
    <s v="P4B precursor"/>
    <s v="Ectromelia virus ERPV"/>
    <x v="30"/>
    <x v="30"/>
    <n v="17"/>
    <x v="1"/>
  </r>
  <r>
    <n v="8"/>
    <x v="6"/>
    <s v="P4b"/>
    <s v="AAL40572.1"/>
    <s v="PROT:AAL40572.1"/>
    <s v="A4L"/>
    <s v="Monkeypox virus Zaire-96-I-16 (clade I)"/>
    <x v="31"/>
    <x v="31"/>
    <n v="29"/>
    <x v="0"/>
  </r>
  <r>
    <n v="8"/>
    <x v="6"/>
    <s v="P4b"/>
    <s v="AAX09209.1"/>
    <s v="PROT:AAX09209.1"/>
    <s v="MPXV-COP-108"/>
    <s v="monkeypox virus strain cOP-58 (clade IIa)"/>
    <x v="32"/>
    <x v="32"/>
    <n v="28"/>
    <x v="0"/>
  </r>
  <r>
    <n v="8"/>
    <x v="6"/>
    <s v="P4b"/>
    <s v="AKJ93751.1"/>
    <s v="PROT:AKJ93751.1"/>
    <s v="P4b precursor"/>
    <s v="Raccoonpox virus"/>
    <x v="33"/>
    <x v="33"/>
    <n v="41"/>
    <x v="0"/>
  </r>
  <r>
    <n v="8"/>
    <x v="6"/>
    <s v="P4b"/>
    <s v="AOP31600.1"/>
    <s v="PROT:AOP31600.1"/>
    <s v="p4b precursor"/>
    <s v="Skunkpox virus"/>
    <x v="34"/>
    <x v="34"/>
    <n v="45"/>
    <x v="0"/>
  </r>
  <r>
    <n v="8"/>
    <x v="6"/>
    <s v="P4b"/>
    <s v="ABD97690.1"/>
    <s v="PROT:ABD97690.1"/>
    <s v="p4b precursor of core protein 4b"/>
    <s v="Taterapox virus"/>
    <x v="35"/>
    <x v="35"/>
    <n v="50"/>
    <x v="0"/>
  </r>
  <r>
    <n v="8"/>
    <x v="6"/>
    <s v="P4b"/>
    <s v="AAO89401.1"/>
    <s v="PROT:AAO89401.1"/>
    <s v="p4b precursor of core protein 4b"/>
    <s v="Vaccinia virus WR"/>
    <x v="36"/>
    <x v="36"/>
    <n v="52"/>
    <x v="0"/>
  </r>
  <r>
    <n v="8"/>
    <x v="6"/>
    <s v="P4b"/>
    <s v="CAA49048.1"/>
    <s v="PROT:CAA49048.1"/>
    <s v="A3L"/>
    <s v="Variola virus major"/>
    <x v="37"/>
    <x v="37"/>
    <n v="53"/>
    <x v="0"/>
  </r>
  <r>
    <n v="8"/>
    <x v="6"/>
    <s v="P4b"/>
    <s v="CAB54707.1"/>
    <s v="PROT:CAB54707.1"/>
    <s v="A4L protein"/>
    <s v="Variola minor virus"/>
    <x v="38"/>
    <x v="38"/>
    <n v="54"/>
    <x v="0"/>
  </r>
  <r>
    <n v="8"/>
    <x v="6"/>
    <s v="P4b"/>
    <s v="AOP31811.1"/>
    <s v="PROT:AOP31811.1"/>
    <s v="p4b precursor"/>
    <s v="Volepox virus"/>
    <x v="39"/>
    <x v="39"/>
    <n v="55"/>
    <x v="0"/>
  </r>
  <r>
    <n v="8"/>
    <x v="6"/>
    <s v="P4b"/>
    <s v="ASC55562.1"/>
    <s v="PROT:ASC55562.1"/>
    <s v="virion core protein P4b precursor-like protein"/>
    <s v="Seal parapoxvirus"/>
    <x v="40"/>
    <x v="40"/>
    <n v="22"/>
    <x v="0"/>
  </r>
  <r>
    <n v="8"/>
    <x v="6"/>
    <s v="P4b"/>
    <s v="AAR98436.1"/>
    <s v="PROT:AAR98436.1"/>
    <s v="ORF079 virion core protein P4b precursor"/>
    <s v="Bovine papular stomatitis virus"/>
    <x v="41"/>
    <x v="41"/>
    <n v="6"/>
    <x v="0"/>
  </r>
  <r>
    <n v="8"/>
    <x v="6"/>
    <s v="P4b"/>
    <s v="AAR98304.1"/>
    <s v="PROT:AAR98304.1"/>
    <s v="ORF079 virion core protein P4b precursor"/>
    <s v="Orf virus strain OV-SA00"/>
    <x v="42"/>
    <x v="42"/>
    <n v="35"/>
    <x v="0"/>
  </r>
  <r>
    <n v="8"/>
    <x v="6"/>
    <s v="P4b"/>
    <s v="ABA00596.1"/>
    <s v="PROT:ABA00596.1"/>
    <s v="virion core, P4b precursor"/>
    <s v="Orf virus strain NZ2"/>
    <x v="43"/>
    <x v="43"/>
    <n v="36"/>
    <x v="1"/>
  </r>
  <r>
    <n v="8"/>
    <x v="6"/>
    <s v="P4b"/>
    <s v="AIZ77330.1"/>
    <s v="PROT:AIZ77330.1"/>
    <s v="putative virion core protein P4b precursor"/>
    <s v="Parapoxvirus red deer/HL953"/>
    <x v="44"/>
    <x v="44"/>
    <n v="42"/>
    <x v="0"/>
  </r>
  <r>
    <n v="8"/>
    <x v="6"/>
    <s v="P4b"/>
    <s v="ADC53981.1"/>
    <s v="PROT:ADC53981.1"/>
    <s v="virion core protein P4b precursor"/>
    <s v="Pseudocowpox virus"/>
    <x v="45"/>
    <x v="45"/>
    <n v="37"/>
    <x v="0"/>
  </r>
  <r>
    <n v="8"/>
    <x v="6"/>
    <s v="P4b"/>
    <s v="AAL69830.1"/>
    <s v="PROT:AAL69830.1"/>
    <s v="SPV091 putative virion core protein P4b"/>
    <s v="Swinepox virus"/>
    <x v="46"/>
    <x v="46"/>
    <n v="49"/>
    <x v="0"/>
  </r>
  <r>
    <n v="8"/>
    <x v="6"/>
    <s v="P4b"/>
    <s v="CAC21332.1"/>
    <s v="PROT:CAC21332.1"/>
    <s v="94L protein"/>
    <s v="Yaba-like disease virus"/>
    <x v="47"/>
    <x v="47"/>
    <n v="58"/>
    <x v="0"/>
  </r>
  <r>
    <n v="8"/>
    <x v="6"/>
    <s v="P4b"/>
    <s v="AAR07450.1"/>
    <s v="PROT:AAR07450.1"/>
    <s v="94L"/>
    <s v="Yaba monkey tumor virus"/>
    <x v="48"/>
    <x v="48"/>
    <n v="59"/>
    <x v="0"/>
  </r>
  <r>
    <n v="8"/>
    <x v="6"/>
    <s v="P4b"/>
    <s v="AAC97680.1"/>
    <s v="PROT:AAC97680.1"/>
    <s v="ORF MSV164 putative core protein, fowlpox virus P4b homolog (vaccinia A3L), similar to SW:P17355"/>
    <s v="Melanoplus sanguinipes entomopoxvirus 'O'"/>
    <x v="49"/>
    <x v="49"/>
    <n v="30"/>
    <x v="0"/>
  </r>
  <r>
    <n v="8"/>
    <x v="6"/>
    <s v="P4b"/>
    <s v="BAO49491.1"/>
    <s v="PROT:BAO49491.1"/>
    <s v="putative core protein"/>
    <s v="Anomala cuprea entomopoxvirus"/>
    <x v="50"/>
    <x v="50"/>
    <n v="2"/>
    <x v="0"/>
  </r>
  <r>
    <n v="8"/>
    <x v="6"/>
    <s v="P4b"/>
    <s v="CCU55503.1"/>
    <s v="PROT:CCU55503.1"/>
    <s v="P4b precursor"/>
    <s v="Adoxophyes honmai entomopoxvirus 'L'"/>
    <x v="51"/>
    <x v="51"/>
    <n v="3"/>
    <x v="0"/>
  </r>
  <r>
    <n v="8"/>
    <x v="6"/>
    <s v="P4b"/>
    <s v="AAG02853.1"/>
    <s v="PROT:AAG02853.1"/>
    <s v="AMV147"/>
    <s v="Amsacta moorei entomopoxvirus"/>
    <x v="52"/>
    <x v="52"/>
    <n v="5"/>
    <x v="0"/>
  </r>
  <r>
    <n v="8"/>
    <x v="6"/>
    <s v="P4b"/>
    <s v="CCU55762.1"/>
    <s v="PROT:CCU55762.1"/>
    <s v="P4b precursor"/>
    <s v="Choristoneura biennis entomopoxvirus"/>
    <x v="53"/>
    <x v="53"/>
    <n v="10"/>
    <x v="0"/>
  </r>
  <r>
    <n v="8"/>
    <x v="6"/>
    <s v="P4b"/>
    <s v="CCU56064.1"/>
    <s v="PROT:CCU56064.1"/>
    <s v="P4b precursor"/>
    <s v="Choristoneura rosaceana entomopoxvirus 'L'"/>
    <x v="54"/>
    <x v="54"/>
    <n v="14"/>
    <x v="0"/>
  </r>
  <r>
    <n v="8"/>
    <x v="6"/>
    <s v="P4b"/>
    <s v="CCU56384.1"/>
    <s v="PROT:CCU56384.1"/>
    <s v="P4b precursor"/>
    <s v="Mythimna separata entomopoxvirus 'L'"/>
    <x v="55"/>
    <x v="55"/>
    <n v="31"/>
    <x v="0"/>
  </r>
  <r>
    <n v="8"/>
    <x v="6"/>
    <s v="P4b"/>
    <s v="NP_659666.1"/>
    <s v="PROT:NP_659666.1"/>
    <s v="Virion core protein P4b"/>
    <s v="Sheeppox virus"/>
    <x v="56"/>
    <x v="56"/>
    <n v="44"/>
    <x v="0"/>
  </r>
  <r>
    <n v="8"/>
    <x v="6"/>
    <s v="P4b"/>
    <s v="YP_001293285.1"/>
    <s v="PROT:YP_001293285.1"/>
    <s v="hypothetical protein GTPV_gp090"/>
    <s v="Goatpox virus Pellor"/>
    <x v="57"/>
    <x v="57"/>
    <n v="23"/>
    <x v="0"/>
  </r>
  <r>
    <n v="7"/>
    <x v="7"/>
    <s v="ATPase DNA packaging protein"/>
    <s v="ATI21237.1"/>
    <s v="PROT:ATI21237.1"/>
    <s v="ATPase/DNA packaging protein"/>
    <s v="Eastern grey kangaroopox virus"/>
    <x v="0"/>
    <x v="0"/>
    <n v="18"/>
    <x v="0"/>
  </r>
  <r>
    <n v="7"/>
    <x v="7"/>
    <s v="ATPase DNA packaging protein"/>
    <s v="AWU47167.1"/>
    <s v="PROT:AWU47167.1"/>
    <s v="ATPase/DNA packaging protein"/>
    <s v="Sea otter poxvirus"/>
    <x v="1"/>
    <x v="1"/>
    <n v="47"/>
    <x v="0"/>
  </r>
  <r>
    <n v="7"/>
    <x v="7"/>
    <s v="ATPase DNA packaging protein"/>
    <s v="APG58340.1"/>
    <s v="PROT:APG58340.1"/>
    <s v="protein A32"/>
    <s v="BeAn 58058 virus"/>
    <x v="2"/>
    <x v="2"/>
    <n v="7"/>
    <x v="1"/>
  </r>
  <r>
    <n v="7"/>
    <x v="7"/>
    <s v="ATPase DNA packaging protein"/>
    <s v="ADT91147.1"/>
    <s v="PROT:ADT91147.1"/>
    <s v="DNA packaging protein"/>
    <s v="Cotia virus SPAn232"/>
    <x v="3"/>
    <x v="3"/>
    <n v="12"/>
    <x v="0"/>
  </r>
  <r>
    <n v="7"/>
    <x v="7"/>
    <s v="ATPase DNA packaging protein"/>
    <s v="ANS71211.1"/>
    <s v="PROT:ANS71211.1"/>
    <s v="ATPase/DNA packaging protein"/>
    <s v="Pteropox virus"/>
    <x v="4"/>
    <x v="4"/>
    <n v="40"/>
    <x v="0"/>
  </r>
  <r>
    <n v="7"/>
    <x v="7"/>
    <s v="ATPase DNA packaging protein"/>
    <s v="AKR04192.1"/>
    <s v="PROT:AKR04192.1"/>
    <s v="packaging ATPase A32"/>
    <s v="Salmon gill poxvirus"/>
    <x v="5"/>
    <x v="5"/>
    <n v="46"/>
    <x v="0"/>
  </r>
  <r>
    <n v="7"/>
    <x v="7"/>
    <s v="ATPase DNA packaging protein"/>
    <s v="CCD83304.1"/>
    <s v="PROT:CCD83304.1"/>
    <s v="DNA packaging protein ATPase"/>
    <s v="Squirrelpox virus"/>
    <x v="6"/>
    <x v="6"/>
    <n v="48"/>
    <x v="0"/>
  </r>
  <r>
    <n v="7"/>
    <x v="7"/>
    <s v="ATPase DNA packaging protein"/>
    <s v="ASK51330.1"/>
    <s v="PROT:ASK51330.1"/>
    <s v="ATPase/DNA packaging protein"/>
    <s v="Eptesipox virus"/>
    <x v="7"/>
    <x v="7"/>
    <n v="19"/>
    <x v="0"/>
  </r>
  <r>
    <n v="7"/>
    <x v="7"/>
    <s v="ATPase DNA packaging protein"/>
    <s v="AUD40306.1"/>
    <s v="PROT:AUD40306.1"/>
    <s v="virion assembly protein"/>
    <s v="Flamingopox virus FGPVKD09"/>
    <x v="8"/>
    <x v="8"/>
    <n v="20"/>
    <x v="0"/>
  </r>
  <r>
    <n v="7"/>
    <x v="7"/>
    <s v="ATPase DNA packaging protein"/>
    <s v="AID46937.1"/>
    <s v="PROT:AID46937.1"/>
    <s v="virion assembly protein"/>
    <s v="Penguinpox virus"/>
    <x v="9"/>
    <x v="9"/>
    <n v="39"/>
    <x v="0"/>
  </r>
  <r>
    <n v="7"/>
    <x v="7"/>
    <s v="ATPase DNA packaging protein"/>
    <s v="AID46705.1"/>
    <s v="PROT:AID46705.1"/>
    <s v="virion assembly protein"/>
    <s v="Pigeonpox virus"/>
    <x v="10"/>
    <x v="10"/>
    <n v="38"/>
    <x v="0"/>
  </r>
  <r>
    <n v="7"/>
    <x v="7"/>
    <s v="ATPase DNA packaging protein"/>
    <s v="ALA62519.1"/>
    <s v="PROT:ALA62519.1"/>
    <s v="virion assembly protein"/>
    <s v="Turkeypox virus"/>
    <x v="11"/>
    <x v="11"/>
    <n v="51"/>
    <x v="0"/>
  </r>
  <r>
    <n v="7"/>
    <x v="7"/>
    <s v="ATPase DNA packaging protein"/>
    <s v="AAR83617.1"/>
    <s v="PROT:AAR83617.1"/>
    <s v="CNPV271 DNA packaging protein"/>
    <s v="Canarypox virus"/>
    <x v="12"/>
    <x v="12"/>
    <n v="11"/>
    <x v="0"/>
  </r>
  <r>
    <n v="7"/>
    <x v="7"/>
    <s v="ATPase DNA packaging protein"/>
    <s v="AAF44541.1"/>
    <s v="PROT:AAF44541.1"/>
    <s v="ORF FPV197 Virion assembly protein"/>
    <s v="Fowlpox virus"/>
    <x v="13"/>
    <x v="13"/>
    <n v="21"/>
    <x v="0"/>
  </r>
  <r>
    <n v="7"/>
    <x v="7"/>
    <s v="ATPase DNA packaging protein"/>
    <s v="AAK85082.1"/>
    <s v="PROT:AAK85082.1"/>
    <s v="LSDV121 putative DNA packaging protein"/>
    <s v="Lumpy skin disease virus NI-2490"/>
    <x v="14"/>
    <x v="14"/>
    <n v="25"/>
    <x v="0"/>
  </r>
  <r>
    <n v="7"/>
    <x v="7"/>
    <s v="ATPase DNA packaging protein"/>
    <s v="AST09344.1"/>
    <s v="PROT:AST09344.1"/>
    <s v="virion protein"/>
    <s v="Murmansk poxvirus"/>
    <x v="15"/>
    <x v="15"/>
    <n v="27"/>
    <x v="0"/>
  </r>
  <r>
    <n v="7"/>
    <x v="7"/>
    <s v="ATPase DNA packaging protein"/>
    <s v="AEN03726.1"/>
    <s v="PROT:AEN03726.1"/>
    <s v="virion protein"/>
    <s v="Yokapox virus"/>
    <x v="16"/>
    <x v="16"/>
    <n v="57"/>
    <x v="0"/>
  </r>
  <r>
    <n v="7"/>
    <x v="7"/>
    <s v="ATPase DNA packaging protein"/>
    <s v="ABI99286.1"/>
    <s v="PROT:ABI99286.1"/>
    <s v="DNA packaging protein"/>
    <s v="Deerpox virus W-848-83"/>
    <x v="17"/>
    <x v="17"/>
    <n v="15"/>
    <x v="0"/>
  </r>
  <r>
    <n v="7"/>
    <x v="7"/>
    <s v="ATPase DNA packaging protein"/>
    <s v="ABJ09045.1"/>
    <s v="PROT:ABJ09045.1"/>
    <s v="ATPase"/>
    <s v="Nile crocodilepox virus"/>
    <x v="18"/>
    <x v="18"/>
    <n v="34"/>
    <x v="0"/>
  </r>
  <r>
    <n v="7"/>
    <x v="7"/>
    <s v="ATPase DNA packaging protein"/>
    <s v="AAF15008.1"/>
    <s v="PROT:AAF15008.1"/>
    <s v="m120L"/>
    <s v="Myxoma virus strain Lausanne"/>
    <x v="19"/>
    <x v="19"/>
    <n v="32"/>
    <x v="0"/>
  </r>
  <r>
    <n v="7"/>
    <x v="7"/>
    <s v="ATPase DNA packaging protein"/>
    <s v="AFU77384.1"/>
    <s v="PROT:AFU77384.1"/>
    <s v="m120L"/>
    <s v="Myxoma virus isolate BRK 897"/>
    <x v="20"/>
    <x v="20"/>
    <n v="33"/>
    <x v="1"/>
  </r>
  <r>
    <n v="7"/>
    <x v="7"/>
    <s v="ATPase DNA packaging protein"/>
    <s v="AAF18002.1"/>
    <s v="PROT:AAF18002.1"/>
    <s v="gp120L"/>
    <s v="Rabbit fibroma virus"/>
    <x v="21"/>
    <x v="21"/>
    <n v="43"/>
    <x v="0"/>
  </r>
  <r>
    <n v="7"/>
    <x v="7"/>
    <s v="ATPase DNA packaging protein"/>
    <s v="AAC55268.1"/>
    <s v="PROT:AAC55268.1"/>
    <s v="MC140L"/>
    <s v="Molluscum contagiosum virus subtype 1"/>
    <x v="22"/>
    <x v="22"/>
    <n v="26"/>
    <x v="0"/>
  </r>
  <r>
    <n v="7"/>
    <x v="7"/>
    <s v="ATPase DNA packaging protein"/>
    <s v="AYN64719.1"/>
    <s v="PROT:AYN64719.1"/>
    <s v="putative A32L protein"/>
    <s v="Orthopoxvirus Abatino"/>
    <x v="23"/>
    <x v="23"/>
    <n v="1"/>
    <x v="0"/>
  </r>
  <r>
    <n v="7"/>
    <x v="7"/>
    <s v="ATPase DNA packaging protein"/>
    <s v="AXN74948.1"/>
    <s v="PROT:AXN74948.1"/>
    <s v="ATPase"/>
    <s v="Akhmeta virus"/>
    <x v="24"/>
    <x v="24"/>
    <n v="4"/>
    <x v="0"/>
  </r>
  <r>
    <n v="7"/>
    <x v="7"/>
    <s v="ATPase DNA packaging protein"/>
    <s v="ABH08262.1"/>
    <s v="PROT:ABH08262.1"/>
    <s v="HSPV153"/>
    <s v="Horsepox virus"/>
    <x v="25"/>
    <x v="25"/>
    <n v="24"/>
    <x v="0"/>
  </r>
  <r>
    <n v="7"/>
    <x v="7"/>
    <s v="ATPase DNA packaging protein"/>
    <s v="AAG37644.1"/>
    <s v="PROT:AAG37644.1"/>
    <s v="CMP149L"/>
    <s v="Camelpox virus CMS"/>
    <x v="26"/>
    <x v="26"/>
    <n v="9"/>
    <x v="1"/>
  </r>
  <r>
    <n v="7"/>
    <x v="7"/>
    <s v="ATPase DNA packaging protein"/>
    <s v="AAL73858.1"/>
    <s v="PROT:AAL73858.1"/>
    <s v="putative DNA packaging protein"/>
    <s v="Camelpox virus M-96"/>
    <x v="27"/>
    <x v="27"/>
    <n v="8"/>
    <x v="0"/>
  </r>
  <r>
    <n v="7"/>
    <x v="7"/>
    <s v="ATPase DNA packaging protein"/>
    <s v="AAM13609.1"/>
    <s v="PROT:AAM13609.1"/>
    <s v="CPXV167 protein"/>
    <s v="Cowpox virus"/>
    <x v="28"/>
    <x v="28"/>
    <n v="13"/>
    <x v="0"/>
  </r>
  <r>
    <n v="7"/>
    <x v="7"/>
    <s v="ATPase DNA packaging protein"/>
    <s v="AAM92439.1"/>
    <s v="PROT:AAM92439.1"/>
    <s v="EVM134"/>
    <s v="Ectromelia virus"/>
    <x v="29"/>
    <x v="29"/>
    <n v="16"/>
    <x v="0"/>
  </r>
  <r>
    <n v="7"/>
    <x v="7"/>
    <s v="ATPase DNA packaging protein"/>
    <s v="AFH54701.1"/>
    <s v="PROT:AFH54701.1"/>
    <s v="DNA packaging and ATPase protein"/>
    <s v="Ectromelia virus ERPV"/>
    <x v="30"/>
    <x v="30"/>
    <n v="17"/>
    <x v="1"/>
  </r>
  <r>
    <n v="7"/>
    <x v="7"/>
    <s v="ATPase DNA packaging protein"/>
    <s v="AAL40602.1"/>
    <s v="PROT:AAL40602.1"/>
    <s v="A34L"/>
    <s v="Monkeypox virus Zaire-96-I-16 (clade I)"/>
    <x v="31"/>
    <x v="31"/>
    <n v="29"/>
    <x v="0"/>
  </r>
  <r>
    <n v="7"/>
    <x v="7"/>
    <s v="ATPase DNA packaging protein"/>
    <s v="AAX09239.1"/>
    <s v="PROT:AAX09239.1"/>
    <s v="MPXV-COP-138"/>
    <s v="monkeypox virus strain cOP-58 (clade IIa)"/>
    <x v="32"/>
    <x v="32"/>
    <n v="28"/>
    <x v="0"/>
  </r>
  <r>
    <n v="7"/>
    <x v="7"/>
    <s v="ATPase DNA packaging protein"/>
    <s v="AKJ93782.1"/>
    <s v="PROT:AKJ93782.1"/>
    <s v="ATPase"/>
    <s v="Raccoonpox virus"/>
    <x v="33"/>
    <x v="33"/>
    <n v="41"/>
    <x v="0"/>
  </r>
  <r>
    <n v="7"/>
    <x v="7"/>
    <s v="ATPase DNA packaging protein"/>
    <s v="AOP31631.1"/>
    <s v="PROT:AOP31631.1"/>
    <s v="ATPase/DNA packaging protein"/>
    <s v="Skunkpox virus"/>
    <x v="34"/>
    <x v="34"/>
    <n v="45"/>
    <x v="0"/>
  </r>
  <r>
    <n v="7"/>
    <x v="7"/>
    <s v="ATPase DNA packaging protein"/>
    <s v="ABD97722.1"/>
    <s v="PROT:ABD97722.1"/>
    <s v="ATPase"/>
    <s v="Taterapox virus"/>
    <x v="35"/>
    <x v="35"/>
    <n v="50"/>
    <x v="0"/>
  </r>
  <r>
    <n v="7"/>
    <x v="7"/>
    <s v="ATPase DNA packaging protein"/>
    <s v="AAO89434.1"/>
    <s v="PROT:AAO89434.1"/>
    <s v="putative ATPase"/>
    <s v="Vaccinia virus WR"/>
    <x v="36"/>
    <x v="36"/>
    <n v="52"/>
    <x v="0"/>
  </r>
  <r>
    <n v="7"/>
    <x v="7"/>
    <s v="ATPase DNA packaging protein"/>
    <s v="CAA49080.1"/>
    <s v="PROT:CAA49080.1"/>
    <s v="A35L"/>
    <s v="Variola virus major"/>
    <x v="37"/>
    <x v="37"/>
    <n v="53"/>
    <x v="0"/>
  </r>
  <r>
    <n v="7"/>
    <x v="7"/>
    <s v="ATPase DNA packaging protein"/>
    <s v="CAB54739.1"/>
    <s v="PROT:CAB54739.1"/>
    <s v="A36L protein"/>
    <s v="Variola minor virus"/>
    <x v="38"/>
    <x v="38"/>
    <n v="54"/>
    <x v="0"/>
  </r>
  <r>
    <n v="7"/>
    <x v="7"/>
    <s v="ATPase DNA packaging protein"/>
    <s v="AOP31842.1"/>
    <s v="PROT:AOP31842.1"/>
    <s v="ATPase/DNA packaging protein"/>
    <s v="Volepox virus"/>
    <x v="39"/>
    <x v="39"/>
    <n v="55"/>
    <x v="0"/>
  </r>
  <r>
    <n v="7"/>
    <x v="7"/>
    <s v="ATPase DNA packaging protein"/>
    <s v="ASC55541.1"/>
    <s v="PROT:ASC55541.1"/>
    <s v="putative DNA packaging protein-like protein"/>
    <s v="Seal parapoxvirus"/>
    <x v="40"/>
    <x v="40"/>
    <n v="22"/>
    <x v="0"/>
  </r>
  <r>
    <n v="7"/>
    <x v="7"/>
    <s v="ATPase DNA packaging protein"/>
    <s v="AAR98465.1"/>
    <s v="PROT:AAR98465.1"/>
    <s v="ORF108 DNA packaging protein/ATPase"/>
    <s v="Bovine papular stomatitis virus"/>
    <x v="41"/>
    <x v="41"/>
    <n v="6"/>
    <x v="0"/>
  </r>
  <r>
    <n v="7"/>
    <x v="7"/>
    <s v="ATPase DNA packaging protein"/>
    <s v="AAR98333.1"/>
    <s v="PROT:AAR98333.1"/>
    <s v="ORF108 DNA packaging protein/ATPase"/>
    <s v="Orf virus strain OV-SA00"/>
    <x v="42"/>
    <x v="42"/>
    <n v="35"/>
    <x v="0"/>
  </r>
  <r>
    <n v="7"/>
    <x v="7"/>
    <s v="ATPase DNA packaging protein"/>
    <s v="ABA00626.1"/>
    <s v="PROT:ABA00626.1"/>
    <s v="ATPase, DNA packaging"/>
    <s v="Orf virus strain NZ2"/>
    <x v="43"/>
    <x v="43"/>
    <n v="36"/>
    <x v="1"/>
  </r>
  <r>
    <n v="7"/>
    <x v="7"/>
    <s v="ATPase DNA packaging protein"/>
    <s v="AIZ77360.1"/>
    <s v="PROT:AIZ77360.1"/>
    <s v="putative DNA packaging protein"/>
    <s v="Parapoxvirus red deer/HL953"/>
    <x v="44"/>
    <x v="44"/>
    <n v="42"/>
    <x v="0"/>
  </r>
  <r>
    <n v="7"/>
    <x v="7"/>
    <s v="ATPase DNA packaging protein"/>
    <s v="ADC54011.1"/>
    <s v="PROT:ADC54011.1"/>
    <s v="DNA packaging protein/ATPase"/>
    <s v="Pseudocowpox virus"/>
    <x v="45"/>
    <x v="45"/>
    <n v="37"/>
    <x v="0"/>
  </r>
  <r>
    <n v="7"/>
    <x v="7"/>
    <s v="ATPase DNA packaging protein"/>
    <s v="AAL69857.1"/>
    <s v="PROT:AAL69857.1"/>
    <s v="SPV118 DNA packaging protein"/>
    <s v="Swinepox virus"/>
    <x v="46"/>
    <x v="46"/>
    <n v="49"/>
    <x v="0"/>
  </r>
  <r>
    <n v="7"/>
    <x v="7"/>
    <s v="ATPase DNA packaging protein"/>
    <s v="CAC21359.1"/>
    <s v="PROT:CAC21359.1"/>
    <s v="121L protin"/>
    <s v="Yaba-like disease virus"/>
    <x v="47"/>
    <x v="47"/>
    <n v="58"/>
    <x v="0"/>
  </r>
  <r>
    <n v="7"/>
    <x v="7"/>
    <s v="ATPase DNA packaging protein"/>
    <s v="AAR07478.1"/>
    <s v="PROT:AAR07478.1"/>
    <s v="121L"/>
    <s v="Yaba monkey tumor virus"/>
    <x v="48"/>
    <x v="48"/>
    <n v="59"/>
    <x v="0"/>
  </r>
  <r>
    <n v="7"/>
    <x v="7"/>
    <s v="ATPase DNA packaging protein"/>
    <s v="AAC97775.1"/>
    <s v="PROT:AAC97775.1"/>
    <s v="ORF MSV171 ATP/GTP binding motif homolog (vaccinia A32L), similar to GB:D11079"/>
    <s v="Melanoplus sanguinipes entomopoxvirus 'O'"/>
    <x v="49"/>
    <x v="49"/>
    <n v="30"/>
    <x v="0"/>
  </r>
  <r>
    <n v="7"/>
    <x v="7"/>
    <s v="ATPase DNA packaging protein"/>
    <s v="BAO49495.1"/>
    <s v="PROT:BAO49495.1"/>
    <s v="putative ATP/GTP-binding protein"/>
    <s v="Anomala cuprea entomopoxvirus"/>
    <x v="50"/>
    <x v="50"/>
    <n v="2"/>
    <x v="0"/>
  </r>
  <r>
    <n v="7"/>
    <x v="7"/>
    <s v="ATPase DNA packaging protein"/>
    <s v="CCU55501.1"/>
    <s v="PROT:CCU55501.1"/>
    <s v="ATPase/DNA packaging protein"/>
    <s v="Adoxophyes honmai entomopoxvirus 'L'"/>
    <x v="51"/>
    <x v="51"/>
    <n v="3"/>
    <x v="0"/>
  </r>
  <r>
    <n v="7"/>
    <x v="7"/>
    <s v="ATPase DNA packaging protein"/>
    <s v="AAG02856.1"/>
    <s v="PROT:AAG02856.1"/>
    <s v="AMV150"/>
    <s v="Amsacta moorei entomopoxvirus"/>
    <x v="52"/>
    <x v="52"/>
    <n v="5"/>
    <x v="0"/>
  </r>
  <r>
    <n v="7"/>
    <x v="7"/>
    <s v="ATPase DNA packaging protein"/>
    <s v="CCU55764.1"/>
    <s v="PROT:CCU55764.1"/>
    <s v="ATPase/DNA packaging protein"/>
    <s v="Choristoneura biennis entomopoxvirus"/>
    <x v="53"/>
    <x v="53"/>
    <n v="10"/>
    <x v="0"/>
  </r>
  <r>
    <n v="7"/>
    <x v="7"/>
    <s v="ATPase DNA packaging protein"/>
    <s v="CCU56066.1"/>
    <s v="PROT:CCU56066.1"/>
    <s v="ATPase/DNA packaging protein"/>
    <s v="Choristoneura rosaceana entomopoxvirus 'L'"/>
    <x v="54"/>
    <x v="54"/>
    <n v="14"/>
    <x v="0"/>
  </r>
  <r>
    <n v="7"/>
    <x v="7"/>
    <s v="ATPase DNA packaging protein"/>
    <s v="CCU56388.1"/>
    <s v="PROT:CCU56388.1"/>
    <s v="ATPase/DNA packaging protein"/>
    <s v="Mythimna separata entomopoxvirus 'L'"/>
    <x v="55"/>
    <x v="55"/>
    <n v="31"/>
    <x v="0"/>
  </r>
  <r>
    <n v="7"/>
    <x v="7"/>
    <s v="ATPase DNA packaging protein"/>
    <s v="NP_659693.1"/>
    <s v="PROT:NP_659693.1"/>
    <s v="DNA packaging, virus assembly"/>
    <s v="Sheeppox virus"/>
    <x v="56"/>
    <x v="56"/>
    <n v="44"/>
    <x v="0"/>
  </r>
  <r>
    <n v="7"/>
    <x v="7"/>
    <s v="ATPase DNA packaging protein"/>
    <s v="YP_001293313.1"/>
    <s v="PROT:YP_001293313.1"/>
    <s v="hypothetical protein GTPV_gp116"/>
    <s v="Goatpox virus Pellor"/>
    <x v="57"/>
    <x v="57"/>
    <n v="23"/>
    <x v="0"/>
  </r>
  <r>
    <n v="9"/>
    <x v="8"/>
    <s v="VETF-L"/>
    <s v="ATI21207.1"/>
    <s v="PROT:ATI21207.1"/>
    <s v="VETF-L"/>
    <s v="Eastern grey kangaroopox virus"/>
    <x v="0"/>
    <x v="0"/>
    <n v="18"/>
    <x v="0"/>
  </r>
  <r>
    <n v="9"/>
    <x v="8"/>
    <s v="VETF-L"/>
    <s v="AWU47141.1"/>
    <s v="PROT:AWU47141.1"/>
    <s v="VETF-large subuni"/>
    <s v="Sea otter poxvirus"/>
    <x v="1"/>
    <x v="1"/>
    <n v="47"/>
    <x v="0"/>
  </r>
  <r>
    <n v="9"/>
    <x v="8"/>
    <s v="VETF-L"/>
    <s v="APG58317.1"/>
    <s v="PROT:APG58317.1"/>
    <s v="early transcription factor 82 kDa subuni"/>
    <s v="BeAn 58058 virus"/>
    <x v="2"/>
    <x v="2"/>
    <n v="7"/>
    <x v="1"/>
  </r>
  <r>
    <n v="9"/>
    <x v="8"/>
    <s v="VETF-L"/>
    <s v="ADT91126.1"/>
    <s v="PROT:ADT91126.1"/>
    <s v="viral early transcription factor large subuni"/>
    <s v="Cotia virus SPAn232"/>
    <x v="3"/>
    <x v="3"/>
    <n v="12"/>
    <x v="0"/>
  </r>
  <r>
    <n v="9"/>
    <x v="8"/>
    <s v="VETF-L"/>
    <s v="ANS71185.1"/>
    <s v="PROT:ANS71185.1"/>
    <s v="large subunit viral early transcription factor"/>
    <s v="Pteropox virus"/>
    <x v="4"/>
    <x v="4"/>
    <n v="40"/>
    <x v="0"/>
  </r>
  <r>
    <n v="9"/>
    <x v="8"/>
    <s v="VETF-L"/>
    <s v="AKR04229.1"/>
    <s v="PROT:AKR04229.1"/>
    <s v="early transcription factor (VETF) large subuni"/>
    <s v="Salmon gill poxvirus"/>
    <x v="5"/>
    <x v="5"/>
    <n v="46"/>
    <x v="0"/>
  </r>
  <r>
    <n v="9"/>
    <x v="8"/>
    <s v="VETF-L"/>
    <s v="CCD83278.1"/>
    <s v="PROT:CCD83278.1"/>
    <s v="early transcription factor"/>
    <s v="Squirrelpox virus"/>
    <x v="6"/>
    <x v="6"/>
    <n v="48"/>
    <x v="0"/>
  </r>
  <r>
    <n v="9"/>
    <x v="8"/>
    <s v="VETF-L"/>
    <s v="ASK51304.1"/>
    <s v="PROT:ASK51304.1"/>
    <s v="Early transcription factor large subunit (VETF-L)"/>
    <s v="Eptesipox virus"/>
    <x v="7"/>
    <x v="7"/>
    <n v="19"/>
    <x v="0"/>
  </r>
  <r>
    <n v="9"/>
    <x v="8"/>
    <s v="VETF-L"/>
    <s v="AUD40278.1"/>
    <s v="PROT:AUD40278.1"/>
    <s v="early transcription factor large subuni"/>
    <s v="Flamingopox virus FGPVKD09"/>
    <x v="8"/>
    <x v="8"/>
    <n v="20"/>
    <x v="0"/>
  </r>
  <r>
    <n v="9"/>
    <x v="8"/>
    <s v="VETF-L"/>
    <s v="AID46909.1"/>
    <s v="PROT:AID46909.1"/>
    <s v="early transcription factor large subunit VETF-L"/>
    <s v="Penguinpox virus"/>
    <x v="9"/>
    <x v="9"/>
    <n v="39"/>
    <x v="0"/>
  </r>
  <r>
    <n v="9"/>
    <x v="8"/>
    <s v="VETF-L"/>
    <s v="AID46678.1"/>
    <s v="PROT:AID46678.1"/>
    <s v="early transcription factor large subunit VETF-L"/>
    <s v="Pigeonpox virus"/>
    <x v="10"/>
    <x v="10"/>
    <n v="38"/>
    <x v="0"/>
  </r>
  <r>
    <n v="9"/>
    <x v="8"/>
    <s v="VETF-L"/>
    <s v="ALA62500.1"/>
    <s v="PROT:ALA62500.1"/>
    <s v="early transcription factor large subunit VETF-L"/>
    <s v="Turkeypox virus"/>
    <x v="11"/>
    <x v="11"/>
    <n v="51"/>
    <x v="0"/>
  </r>
  <r>
    <n v="9"/>
    <x v="8"/>
    <s v="VETF-L"/>
    <s v="AAR83590.1"/>
    <s v="PROT:AAR83590.1"/>
    <s v="CNPV244 early transcription factor large subunit VETFL"/>
    <s v="Canarypox virus"/>
    <x v="12"/>
    <x v="12"/>
    <n v="11"/>
    <x v="0"/>
  </r>
  <r>
    <n v="9"/>
    <x v="8"/>
    <s v="VETF-L"/>
    <s v="AAF44515.1"/>
    <s v="PROT:AAF44515.1"/>
    <s v="ORF FPV171 Early transcription factor large subunit, VETF-L"/>
    <s v="Fowlpox virus"/>
    <x v="13"/>
    <x v="13"/>
    <n v="21"/>
    <x v="0"/>
  </r>
  <r>
    <n v="9"/>
    <x v="8"/>
    <s v="VETF-L"/>
    <s v="AAK85059.1"/>
    <s v="PROT:AAK85059.1"/>
    <s v="LSDV098 putative early transcription factor large subuni"/>
    <s v="Lumpy skin disease virus NI-2490"/>
    <x v="14"/>
    <x v="14"/>
    <n v="25"/>
    <x v="0"/>
  </r>
  <r>
    <n v="9"/>
    <x v="8"/>
    <s v="VETF-L"/>
    <s v="AST09317.1"/>
    <s v="PROT:AST09317.1"/>
    <s v="early gene transcription factor"/>
    <s v="Murmansk poxvirus"/>
    <x v="15"/>
    <x v="15"/>
    <n v="27"/>
    <x v="0"/>
  </r>
  <r>
    <n v="9"/>
    <x v="8"/>
    <s v="VETF-L"/>
    <s v="AEN03697.1"/>
    <s v="PROT:AEN03697.1"/>
    <s v="VETFL early gene transcription factor 82kDa large subuni"/>
    <s v="Yokapox virus"/>
    <x v="16"/>
    <x v="16"/>
    <n v="57"/>
    <x v="0"/>
  </r>
  <r>
    <n v="9"/>
    <x v="8"/>
    <s v="VETF-L"/>
    <s v="ABI99262.1"/>
    <s v="PROT:ABI99262.1"/>
    <s v="early transcription factor VETFL"/>
    <s v="Deerpox virus W-848-83"/>
    <x v="17"/>
    <x v="17"/>
    <n v="15"/>
    <x v="0"/>
  </r>
  <r>
    <n v="9"/>
    <x v="8"/>
    <s v="VETF-L"/>
    <s v="ABJ09019.1"/>
    <s v="PROT:ABJ09019.1"/>
    <s v="early transcription factor large subuni"/>
    <s v="Nile crocodilepox virus"/>
    <x v="18"/>
    <x v="18"/>
    <n v="34"/>
    <x v="0"/>
  </r>
  <r>
    <n v="9"/>
    <x v="8"/>
    <s v="VETF-L"/>
    <s v="AAF14984.1"/>
    <s v="PROT:AAF14984.1"/>
    <s v="m96L"/>
    <s v="Myxoma virus strain Lausanne"/>
    <x v="19"/>
    <x v="19"/>
    <n v="32"/>
    <x v="0"/>
  </r>
  <r>
    <n v="9"/>
    <x v="8"/>
    <s v="VETF-L"/>
    <s v="AFU77360.1"/>
    <s v="PROT:AFU77360.1"/>
    <s v="m96L"/>
    <s v="Myxoma virus isolate BRK 897"/>
    <x v="20"/>
    <x v="20"/>
    <n v="33"/>
    <x v="1"/>
  </r>
  <r>
    <n v="9"/>
    <x v="8"/>
    <s v="VETF-L"/>
    <s v="AAF17979.1"/>
    <s v="PROT:AAF17979.1"/>
    <s v="gp096L"/>
    <s v="Rabbit fibroma virus"/>
    <x v="21"/>
    <x v="21"/>
    <n v="43"/>
    <x v="0"/>
  </r>
  <r>
    <n v="9"/>
    <x v="8"/>
    <s v="VETF-L"/>
    <s v="AAC55238.1"/>
    <s v="PROT:AAC55238.1"/>
    <s v="MC110L"/>
    <s v="Molluscum contagiosum virus subtype 1"/>
    <x v="22"/>
    <x v="22"/>
    <n v="26"/>
    <x v="0"/>
  </r>
  <r>
    <n v="9"/>
    <x v="8"/>
    <s v="VETF-L"/>
    <s v="AYN64692.1"/>
    <s v="PROT:AYN64692.1"/>
    <s v="putative A7L protein"/>
    <s v="Orthopoxvirus Abatino"/>
    <x v="23"/>
    <x v="23"/>
    <n v="1"/>
    <x v="0"/>
  </r>
  <r>
    <n v="9"/>
    <x v="8"/>
    <s v="VETF-L"/>
    <s v="AXN74921.1"/>
    <s v="PROT:AXN74921.1"/>
    <s v="early gene transcription factor"/>
    <s v="Akhmeta virus"/>
    <x v="24"/>
    <x v="24"/>
    <n v="4"/>
    <x v="0"/>
  </r>
  <r>
    <n v="9"/>
    <x v="8"/>
    <s v="VETF-L"/>
    <s v="ABH08233.1"/>
    <s v="PROT:ABH08233.1"/>
    <s v="HSPV127"/>
    <s v="Horsepox virus"/>
    <x v="25"/>
    <x v="25"/>
    <n v="24"/>
    <x v="0"/>
  </r>
  <r>
    <n v="9"/>
    <x v="8"/>
    <s v="VETF-L"/>
    <s v="AAG37608.1"/>
    <s v="PROT:AAG37608.1"/>
    <s v="CMP123L"/>
    <s v="Camelpox virus CMS"/>
    <x v="26"/>
    <x v="26"/>
    <n v="9"/>
    <x v="1"/>
  </r>
  <r>
    <n v="9"/>
    <x v="8"/>
    <s v="VETF-L"/>
    <s v="AAL73831.1"/>
    <s v="PROT:AAL73831.1"/>
    <s v="putative early transcription factor VETFL"/>
    <s v="Camelpox virus M-96"/>
    <x v="27"/>
    <x v="27"/>
    <n v="8"/>
    <x v="0"/>
  </r>
  <r>
    <n v="9"/>
    <x v="8"/>
    <s v="VETF-L"/>
    <s v="AAM13580.1"/>
    <s v="PROT:AAM13580.1"/>
    <s v="CPXV139 protein"/>
    <s v="Cowpox virus"/>
    <x v="28"/>
    <x v="28"/>
    <n v="13"/>
    <x v="0"/>
  </r>
  <r>
    <n v="9"/>
    <x v="8"/>
    <s v="VETF-L"/>
    <s v="AAM92414.1"/>
    <s v="PROT:AAM92414.1"/>
    <s v="EVM110"/>
    <s v="Ectromelia virus"/>
    <x v="29"/>
    <x v="29"/>
    <n v="16"/>
    <x v="0"/>
  </r>
  <r>
    <n v="9"/>
    <x v="8"/>
    <s v="VETF-L"/>
    <s v="AFH54673.1"/>
    <s v="PROT:AFH54673.1"/>
    <s v="viral early transcription factor large subuni"/>
    <s v="Ectromelia virus ERPV"/>
    <x v="30"/>
    <x v="30"/>
    <n v="17"/>
    <x v="1"/>
  </r>
  <r>
    <n v="9"/>
    <x v="8"/>
    <s v="VETF-L"/>
    <s v="AAL40576.1"/>
    <s v="PROT:AAL40576.1"/>
    <s v="A8L"/>
    <s v="Monkeypox virus Zaire-96-I-16 (clade I)"/>
    <x v="31"/>
    <x v="31"/>
    <n v="29"/>
    <x v="0"/>
  </r>
  <r>
    <n v="9"/>
    <x v="8"/>
    <s v="VETF-L"/>
    <s v="AAX09213.1"/>
    <s v="PROT:AAX09213.1"/>
    <s v="MPXV-COP-112"/>
    <s v="monkeypox virus strain cOP-58 (clade IIa)"/>
    <x v="32"/>
    <x v="32"/>
    <n v="28"/>
    <x v="0"/>
  </r>
  <r>
    <n v="9"/>
    <x v="8"/>
    <s v="VETF-L"/>
    <s v="AKJ93755.1"/>
    <s v="PROT:AKJ93755.1"/>
    <s v="VETF-L"/>
    <s v="Raccoonpox virus"/>
    <x v="33"/>
    <x v="33"/>
    <n v="41"/>
    <x v="0"/>
  </r>
  <r>
    <n v="9"/>
    <x v="8"/>
    <s v="VETF-L"/>
    <s v="AOP31604.1"/>
    <s v="PROT:AOP31604.1"/>
    <s v="vetf-l"/>
    <s v="Skunkpox virus"/>
    <x v="34"/>
    <x v="34"/>
    <n v="45"/>
    <x v="0"/>
  </r>
  <r>
    <n v="9"/>
    <x v="8"/>
    <s v="VETF-L"/>
    <s v="ABD97694.1"/>
    <s v="PROT:ABD97694.1"/>
    <s v="82kDa large subunit of early gene transcription factor VETF"/>
    <s v="Taterapox virus"/>
    <x v="35"/>
    <x v="35"/>
    <n v="50"/>
    <x v="0"/>
  </r>
  <r>
    <n v="9"/>
    <x v="8"/>
    <s v="VETF-L"/>
    <s v="AAO89405.1"/>
    <s v="PROT:AAO89405.1"/>
    <s v="82kDa large subunit of early gene transcription factor VETF"/>
    <s v="Vaccinia virus WR"/>
    <x v="36"/>
    <x v="36"/>
    <n v="52"/>
    <x v="0"/>
  </r>
  <r>
    <n v="9"/>
    <x v="8"/>
    <s v="VETF-L"/>
    <s v="CAA49052.1"/>
    <s v="PROT:CAA49052.1"/>
    <s v="A7L"/>
    <s v="Variola virus major"/>
    <x v="37"/>
    <x v="37"/>
    <n v="53"/>
    <x v="0"/>
  </r>
  <r>
    <n v="9"/>
    <x v="8"/>
    <s v="VETF-L"/>
    <s v="CAB54711.1"/>
    <s v="PROT:CAB54711.1"/>
    <s v="A8L protein"/>
    <s v="Variola minor virus"/>
    <x v="38"/>
    <x v="38"/>
    <n v="54"/>
    <x v="0"/>
  </r>
  <r>
    <n v="9"/>
    <x v="8"/>
    <s v="VETF-L"/>
    <s v="AOP31815.1"/>
    <s v="PROT:AOP31815.1"/>
    <s v="vetf-l"/>
    <s v="Volepox virus"/>
    <x v="39"/>
    <x v="39"/>
    <n v="55"/>
    <x v="0"/>
  </r>
  <r>
    <n v="9"/>
    <x v="8"/>
    <s v="VETF-L"/>
    <s v="ASC55558.1"/>
    <s v="PROT:ASC55558.1"/>
    <s v="early transcription factor VETFL-like protein"/>
    <s v="Seal parapoxvirus"/>
    <x v="40"/>
    <x v="40"/>
    <n v="22"/>
    <x v="0"/>
  </r>
  <r>
    <n v="9"/>
    <x v="8"/>
    <s v="VETF-L"/>
    <s v="AAR98440.1"/>
    <s v="PROT:AAR98440.1"/>
    <s v="ORF083 early transcription factor VETFL"/>
    <s v="Bovine papular stomatitis virus"/>
    <x v="41"/>
    <x v="41"/>
    <n v="6"/>
    <x v="0"/>
  </r>
  <r>
    <n v="9"/>
    <x v="8"/>
    <s v="VETF-L"/>
    <s v="AAR98308.1"/>
    <s v="PROT:AAR98308.1"/>
    <s v="ORF083 early transcription factor VETFL"/>
    <s v="Orf virus strain OV-SA00"/>
    <x v="42"/>
    <x v="42"/>
    <n v="35"/>
    <x v="0"/>
  </r>
  <r>
    <n v="9"/>
    <x v="8"/>
    <s v="VETF-L"/>
    <s v="ABA00600.1"/>
    <s v="PROT:ABA00600.1"/>
    <s v="early transcription factor"/>
    <s v="Orf virus strain NZ2"/>
    <x v="43"/>
    <x v="43"/>
    <n v="36"/>
    <x v="1"/>
  </r>
  <r>
    <n v="9"/>
    <x v="8"/>
    <s v="VETF-L"/>
    <s v="AIZ77334.1"/>
    <s v="PROT:AIZ77334.1"/>
    <s v="putative early transcription factor VETFL"/>
    <s v="Parapoxvirus red deer/HL953"/>
    <x v="44"/>
    <x v="44"/>
    <n v="42"/>
    <x v="0"/>
  </r>
  <r>
    <n v="9"/>
    <x v="8"/>
    <s v="VETF-L"/>
    <s v="ADC53985.1"/>
    <s v="PROT:ADC53985.1"/>
    <s v="early transcription factor"/>
    <s v="Pseudocowpox virus"/>
    <x v="45"/>
    <x v="45"/>
    <n v="37"/>
    <x v="0"/>
  </r>
  <r>
    <n v="9"/>
    <x v="8"/>
    <s v="VETF-L"/>
    <s v="AAL69834.1"/>
    <s v="PROT:AAL69834.1"/>
    <s v="SPV095 putative early transcription factor VETFL"/>
    <s v="Swinepox virus"/>
    <x v="46"/>
    <x v="46"/>
    <n v="49"/>
    <x v="0"/>
  </r>
  <r>
    <n v="9"/>
    <x v="8"/>
    <s v="VETF-L"/>
    <s v="CAC21336.1"/>
    <s v="PROT:CAC21336.1"/>
    <s v="98L protein"/>
    <s v="Yaba-like disease virus"/>
    <x v="47"/>
    <x v="47"/>
    <n v="58"/>
    <x v="0"/>
  </r>
  <r>
    <n v="9"/>
    <x v="8"/>
    <s v="VETF-L"/>
    <s v="AAR07454.1"/>
    <s v="PROT:AAR07454.1"/>
    <s v="98L"/>
    <s v="Yaba monkey tumor virus"/>
    <x v="48"/>
    <x v="48"/>
    <n v="59"/>
    <x v="0"/>
  </r>
  <r>
    <n v="9"/>
    <x v="8"/>
    <s v="VETF-L"/>
    <s v="AAC97622.1"/>
    <s v="PROT:AAC97622.1"/>
    <s v="ORF MSV063 putative early transcription factor large subunit homolog VETF-L (vaccinia A7L), similar to GB:X76265"/>
    <s v="Melanoplus sanguinipes entomopoxvirus 'O'"/>
    <x v="49"/>
    <x v="49"/>
    <n v="30"/>
    <x v="0"/>
  </r>
  <r>
    <n v="9"/>
    <x v="8"/>
    <s v="VETF-L"/>
    <s v="BAO49547.1"/>
    <s v="PROT:BAO49547.1"/>
    <s v="putative early transcription factor large subuni"/>
    <s v="Anomala cuprea entomopoxvirus"/>
    <x v="50"/>
    <x v="50"/>
    <n v="2"/>
    <x v="0"/>
  </r>
  <r>
    <n v="9"/>
    <x v="8"/>
    <s v="VETF-L"/>
    <s v="CCU55427.1"/>
    <s v="PROT:CCU55427.1"/>
    <s v="VETF-L early transcription factor large"/>
    <s v="Adoxophyes honmai entomopoxvirus 'L'"/>
    <x v="51"/>
    <x v="51"/>
    <n v="3"/>
    <x v="0"/>
  </r>
  <r>
    <n v="9"/>
    <x v="8"/>
    <s v="VETF-L"/>
    <s v="AAG02811.1"/>
    <s v="PROT:AAG02811.1"/>
    <s v="AMV105"/>
    <s v="Amsacta moorei entomopoxvirus"/>
    <x v="52"/>
    <x v="52"/>
    <n v="5"/>
    <x v="0"/>
  </r>
  <r>
    <n v="9"/>
    <x v="8"/>
    <s v="VETF-L"/>
    <s v="CCU55727.1"/>
    <s v="PROT:CCU55727.1"/>
    <s v="VETF-L early transcription factor large"/>
    <s v="Choristoneura biennis entomopoxvirus"/>
    <x v="53"/>
    <x v="53"/>
    <n v="10"/>
    <x v="0"/>
  </r>
  <r>
    <n v="9"/>
    <x v="8"/>
    <s v="VETF-L"/>
    <s v="CCU56029.1"/>
    <s v="PROT:CCU56029.1"/>
    <s v="VETF-L early transcription factor large"/>
    <s v="Choristoneura rosaceana entomopoxvirus 'L'"/>
    <x v="54"/>
    <x v="54"/>
    <n v="14"/>
    <x v="0"/>
  </r>
  <r>
    <n v="9"/>
    <x v="8"/>
    <s v="VETF-L"/>
    <s v="CCU56319.1"/>
    <s v="PROT:CCU56319.1"/>
    <s v="VETF-L early transcription factor large"/>
    <s v="Mythimna separata entomopoxvirus 'L'"/>
    <x v="55"/>
    <x v="55"/>
    <n v="31"/>
    <x v="0"/>
  </r>
  <r>
    <n v="9"/>
    <x v="8"/>
    <s v="VETF-L"/>
    <s v="NP_659670.1"/>
    <s v="PROT:NP_659670.1"/>
    <s v="Early transcrition factor VETFl"/>
    <s v="Sheeppox virus"/>
    <x v="56"/>
    <x v="56"/>
    <n v="44"/>
    <x v="0"/>
  </r>
  <r>
    <n v="9"/>
    <x v="8"/>
    <s v="VETF-L"/>
    <s v="YP_001293289.1"/>
    <s v="PROT:YP_001293289.1"/>
    <s v="hypothetical protein GTPV_gp094"/>
    <s v="Goatpox virus Pellor"/>
    <x v="57"/>
    <x v="57"/>
    <n v="23"/>
    <x v="0"/>
  </r>
  <r>
    <n v="12"/>
    <x v="9"/>
    <s v="large capping enzyme"/>
    <s v="ATI21188.1"/>
    <s v="PROT:ATI21188.1"/>
    <s v="mRNA capping enzyme large subuni"/>
    <s v="Eastern grey kangaroopox virus"/>
    <x v="0"/>
    <x v="0"/>
    <n v="18"/>
    <x v="0"/>
  </r>
  <r>
    <n v="12"/>
    <x v="9"/>
    <s v="large capping enzyme"/>
    <s v="AWU47122.1"/>
    <s v="PROT:AWU47122.1"/>
    <s v="mRNA capping enzyme"/>
    <s v="Sea otter poxvirus"/>
    <x v="1"/>
    <x v="1"/>
    <n v="47"/>
    <x v="0"/>
  </r>
  <r>
    <n v="12"/>
    <x v="9"/>
    <s v="large capping enzyme"/>
    <s v="APG58298.1"/>
    <s v="PROT:APG58298.1"/>
    <s v="mRNA-capping enzyme catalytic subuni"/>
    <s v="BeAn 58058 virus"/>
    <x v="2"/>
    <x v="2"/>
    <n v="7"/>
    <x v="1"/>
  </r>
  <r>
    <n v="12"/>
    <x v="9"/>
    <s v="large capping enzyme"/>
    <s v="ADT91109.1"/>
    <s v="PROT:ADT91109.1"/>
    <s v="capping enzyme large subuni"/>
    <s v="Cotia virus SPAn232"/>
    <x v="3"/>
    <x v="3"/>
    <n v="12"/>
    <x v="0"/>
  </r>
  <r>
    <n v="12"/>
    <x v="9"/>
    <s v="large capping enzyme"/>
    <s v="ANS71166.1"/>
    <s v="PROT:ANS71166.1"/>
    <s v="large subunit mRNA capping enzyme"/>
    <s v="Pteropox virus"/>
    <x v="4"/>
    <x v="4"/>
    <n v="40"/>
    <x v="0"/>
  </r>
  <r>
    <n v="12"/>
    <x v="9"/>
    <s v="large capping enzyme"/>
    <s v="AKR04297.1"/>
    <s v="PROT:AKR04297.1"/>
    <s v="m-RNA capping enzyme large subuni"/>
    <s v="Salmon gill poxvirus"/>
    <x v="5"/>
    <x v="5"/>
    <n v="46"/>
    <x v="0"/>
  </r>
  <r>
    <n v="12"/>
    <x v="9"/>
    <s v="large capping enzyme"/>
    <s v="CCD83255.1"/>
    <s v="PROT:CCD83255.1"/>
    <s v="large subunit of mRNA capping enzyme,transcription termination factor VTF"/>
    <s v="Squirrelpox virus"/>
    <x v="6"/>
    <x v="6"/>
    <n v="48"/>
    <x v="0"/>
  </r>
  <r>
    <n v="12"/>
    <x v="9"/>
    <s v="large capping enzyme"/>
    <s v="ASK51284.1"/>
    <s v="PROT:ASK51284.1"/>
    <s v="mRNA capping enzyme large subuni"/>
    <s v="Eptesipox virus"/>
    <x v="7"/>
    <x v="7"/>
    <n v="19"/>
    <x v="0"/>
  </r>
  <r>
    <n v="12"/>
    <x v="9"/>
    <s v="large capping enzyme"/>
    <s v="AUD40250.1"/>
    <s v="PROT:AUD40250.1"/>
    <s v="mRNA capping enzyme large subuni"/>
    <s v="Flamingopox virus FGPVKD09"/>
    <x v="8"/>
    <x v="8"/>
    <n v="20"/>
    <x v="0"/>
  </r>
  <r>
    <n v="12"/>
    <x v="9"/>
    <s v="large capping enzyme"/>
    <s v="AID46882.1"/>
    <s v="PROT:AID46882.1"/>
    <s v="mRNA capping enzyme, large subuni"/>
    <s v="Penguinpox virus"/>
    <x v="9"/>
    <x v="9"/>
    <n v="39"/>
    <x v="0"/>
  </r>
  <r>
    <n v="12"/>
    <x v="9"/>
    <s v="large capping enzyme"/>
    <s v="AID46653.1"/>
    <s v="PROT:AID46653.1"/>
    <s v="mRNA capping enzyme, large subuni"/>
    <s v="Pigeonpox virus"/>
    <x v="10"/>
    <x v="10"/>
    <n v="38"/>
    <x v="0"/>
  </r>
  <r>
    <n v="12"/>
    <x v="9"/>
    <s v="large capping enzyme"/>
    <s v="ALA62484.1"/>
    <s v="PROT:ALA62484.1"/>
    <s v="mRNA-capping enzyme large subuni"/>
    <s v="Turkeypox virus"/>
    <x v="11"/>
    <x v="11"/>
    <n v="51"/>
    <x v="0"/>
  </r>
  <r>
    <n v="12"/>
    <x v="9"/>
    <s v="large capping enzyme"/>
    <s v="AAR83538.1"/>
    <s v="PROT:AAR83538.1"/>
    <s v="CNPV192 mRNA capping enzyme large subuni"/>
    <s v="Canarypox virus"/>
    <x v="12"/>
    <x v="12"/>
    <n v="11"/>
    <x v="0"/>
  </r>
  <r>
    <n v="12"/>
    <x v="9"/>
    <s v="large capping enzyme"/>
    <s v="AAF44490.1"/>
    <s v="PROT:AAF44490.1"/>
    <s v="ORF FPV146 mRNA Capping enzyme, large subuni"/>
    <s v="Fowlpox virus"/>
    <x v="13"/>
    <x v="13"/>
    <n v="21"/>
    <x v="0"/>
  </r>
  <r>
    <n v="12"/>
    <x v="9"/>
    <s v="large capping enzyme"/>
    <s v="AAK85040.1"/>
    <s v="PROT:AAK85040.1"/>
    <s v="LSDV079 mRNA capping enzyme large subuni"/>
    <s v="Lumpy skin disease virus NI-2490"/>
    <x v="14"/>
    <x v="14"/>
    <n v="25"/>
    <x v="0"/>
  </r>
  <r>
    <n v="12"/>
    <x v="9"/>
    <s v="large capping enzyme"/>
    <s v="AST09297.1"/>
    <s v="PROT:AST09297.1"/>
    <s v="mRNA capping enzyme large subuni"/>
    <s v="Murmansk poxvirus"/>
    <x v="15"/>
    <x v="15"/>
    <n v="27"/>
    <x v="0"/>
  </r>
  <r>
    <n v="12"/>
    <x v="9"/>
    <s v="large capping enzyme"/>
    <s v="AEN03675.1"/>
    <s v="PROT:AEN03675.1"/>
    <s v="large subunit of mRNA capping enzyme"/>
    <s v="Yokapox virus"/>
    <x v="16"/>
    <x v="16"/>
    <n v="57"/>
    <x v="0"/>
  </r>
  <r>
    <n v="12"/>
    <x v="9"/>
    <s v="large capping enzyme"/>
    <s v="ABI99243.1"/>
    <s v="PROT:ABI99243.1"/>
    <s v="MRNA capping enzyme large subuni"/>
    <s v="Deerpox virus W-848-83"/>
    <x v="17"/>
    <x v="17"/>
    <n v="15"/>
    <x v="0"/>
  </r>
  <r>
    <n v="12"/>
    <x v="9"/>
    <s v="large capping enzyme"/>
    <s v="ABJ09000.1"/>
    <s v="PROT:ABJ09000.1"/>
    <s v="mRNA capping enzyme large subuni"/>
    <s v="Nile crocodilepox virus"/>
    <x v="18"/>
    <x v="18"/>
    <n v="34"/>
    <x v="0"/>
  </r>
  <r>
    <n v="12"/>
    <x v="9"/>
    <s v="large capping enzyme"/>
    <s v="AAF14964.1"/>
    <s v="PROT:AAF14964.1"/>
    <s v="m76R"/>
    <s v="Myxoma virus strain Lausanne"/>
    <x v="19"/>
    <x v="19"/>
    <n v="32"/>
    <x v="0"/>
  </r>
  <r>
    <n v="12"/>
    <x v="9"/>
    <s v="large capping enzyme"/>
    <s v="AFU77340.1"/>
    <s v="PROT:AFU77340.1"/>
    <s v="m76R"/>
    <s v="Myxoma virus isolate BRK 897"/>
    <x v="20"/>
    <x v="20"/>
    <n v="33"/>
    <x v="1"/>
  </r>
  <r>
    <n v="12"/>
    <x v="9"/>
    <s v="large capping enzyme"/>
    <s v="AAF17958.1"/>
    <s v="PROT:AAF17958.1"/>
    <s v="gp076R"/>
    <s v="Rabbit fibroma virus"/>
    <x v="21"/>
    <x v="21"/>
    <n v="43"/>
    <x v="0"/>
  </r>
  <r>
    <n v="12"/>
    <x v="9"/>
    <s v="large capping enzyme"/>
    <s v="AAC55218.1"/>
    <s v="PROT:AAC55218.1"/>
    <s v="MC090R"/>
    <s v="Molluscum contagiosum virus subtype 1"/>
    <x v="22"/>
    <x v="22"/>
    <n v="26"/>
    <x v="0"/>
  </r>
  <r>
    <n v="12"/>
    <x v="9"/>
    <s v="large capping enzyme"/>
    <s v="AYN64672.1"/>
    <s v="PROT:AYN64672.1"/>
    <s v="putative D1R protein"/>
    <s v="Orthopoxvirus Abatino"/>
    <x v="23"/>
    <x v="23"/>
    <n v="1"/>
    <x v="0"/>
  </r>
  <r>
    <n v="12"/>
    <x v="9"/>
    <s v="large capping enzyme"/>
    <s v="AXN74900.1"/>
    <s v="PROT:AXN74900.1"/>
    <s v="mRNA capping enzyme large subuni"/>
    <s v="Akhmeta virus"/>
    <x v="24"/>
    <x v="24"/>
    <n v="4"/>
    <x v="0"/>
  </r>
  <r>
    <n v="12"/>
    <x v="9"/>
    <s v="large capping enzyme"/>
    <s v="ABH08213.1"/>
    <s v="PROT:ABH08213.1"/>
    <s v="HSPV107"/>
    <s v="Horsepox virus"/>
    <x v="25"/>
    <x v="25"/>
    <n v="24"/>
    <x v="0"/>
  </r>
  <r>
    <n v="12"/>
    <x v="9"/>
    <s v="large capping enzyme"/>
    <s v="AAG37576.1"/>
    <s v="PROT:AAG37576.1"/>
    <s v="CMP103R"/>
    <s v="Camelpox virus CMS"/>
    <x v="26"/>
    <x v="26"/>
    <n v="9"/>
    <x v="1"/>
  </r>
  <r>
    <n v="12"/>
    <x v="9"/>
    <s v="large capping enzyme"/>
    <s v="AAL73811.1"/>
    <s v="PROT:AAL73811.1"/>
    <s v="mRNA capping enzyme large subuni"/>
    <s v="Camelpox virus M-96"/>
    <x v="27"/>
    <x v="27"/>
    <n v="8"/>
    <x v="0"/>
  </r>
  <r>
    <n v="12"/>
    <x v="9"/>
    <s v="large capping enzyme"/>
    <s v="AAM13560.1"/>
    <s v="PROT:AAM13560.1"/>
    <s v="CPXV118 protein"/>
    <s v="Cowpox virus"/>
    <x v="28"/>
    <x v="28"/>
    <n v="13"/>
    <x v="0"/>
  </r>
  <r>
    <n v="12"/>
    <x v="9"/>
    <s v="large capping enzyme"/>
    <s v="AAM92394.1"/>
    <s v="PROT:AAM92394.1"/>
    <s v="EVM090"/>
    <s v="Ectromelia virus"/>
    <x v="29"/>
    <x v="29"/>
    <n v="16"/>
    <x v="0"/>
  </r>
  <r>
    <n v="12"/>
    <x v="9"/>
    <s v="large capping enzyme"/>
    <s v="AFH54653.1"/>
    <s v="PROT:AFH54653.1"/>
    <s v="large capping enzyme"/>
    <s v="Ectromelia virus ERPV"/>
    <x v="30"/>
    <x v="30"/>
    <n v="17"/>
    <x v="1"/>
  </r>
  <r>
    <n v="12"/>
    <x v="9"/>
    <s v="large capping enzyme"/>
    <s v="AAL40556.1"/>
    <s v="PROT:AAL40556.1"/>
    <s v="E1R"/>
    <s v="Monkeypox virus Zaire-96-I-16 (clade I)"/>
    <x v="31"/>
    <x v="31"/>
    <n v="29"/>
    <x v="0"/>
  </r>
  <r>
    <n v="12"/>
    <x v="9"/>
    <s v="large capping enzyme"/>
    <s v="AAX09193.1"/>
    <s v="PROT:AAX09193.1"/>
    <s v="MPXV-COP-092"/>
    <s v="monkeypox virus strain cOP-58 (clade IIa)"/>
    <x v="32"/>
    <x v="32"/>
    <n v="28"/>
    <x v="0"/>
  </r>
  <r>
    <n v="12"/>
    <x v="9"/>
    <s v="large capping enzyme"/>
    <s v="AKJ93735.1"/>
    <s v="PROT:AKJ93735.1"/>
    <s v="mRNA capping enzyme large subuni"/>
    <s v="Raccoonpox virus"/>
    <x v="33"/>
    <x v="33"/>
    <n v="41"/>
    <x v="0"/>
  </r>
  <r>
    <n v="12"/>
    <x v="9"/>
    <s v="large capping enzyme"/>
    <s v="AOP31584.1"/>
    <s v="PROT:AOP31584.1"/>
    <s v="mRNA capping enzyme large subuni"/>
    <s v="Skunkpox virus"/>
    <x v="34"/>
    <x v="34"/>
    <n v="45"/>
    <x v="0"/>
  </r>
  <r>
    <n v="12"/>
    <x v="9"/>
    <s v="large capping enzyme"/>
    <s v="ABD97674.1"/>
    <s v="PROT:ABD97674.1"/>
    <s v="large subunit of mRNA capping enzyme"/>
    <s v="Taterapox virus"/>
    <x v="35"/>
    <x v="35"/>
    <n v="50"/>
    <x v="0"/>
  </r>
  <r>
    <n v="12"/>
    <x v="9"/>
    <s v="large capping enzyme"/>
    <s v="AAO89385.1"/>
    <s v="PROT:AAO89385.1"/>
    <s v="large subunit of mRNA capping enzyme"/>
    <s v="Vaccinia virus WR"/>
    <x v="36"/>
    <x v="36"/>
    <n v="52"/>
    <x v="0"/>
  </r>
  <r>
    <n v="12"/>
    <x v="9"/>
    <s v="large capping enzyme"/>
    <s v="CAA49032.1"/>
    <s v="PROT:CAA49032.1"/>
    <s v="F1R"/>
    <s v="Variola virus major"/>
    <x v="37"/>
    <x v="37"/>
    <n v="53"/>
    <x v="0"/>
  </r>
  <r>
    <n v="12"/>
    <x v="9"/>
    <s v="large capping enzyme"/>
    <s v="CAB54691.1"/>
    <s v="PROT:CAB54691.1"/>
    <s v="F1R protein"/>
    <s v="Variola minor virus"/>
    <x v="38"/>
    <x v="38"/>
    <n v="54"/>
    <x v="0"/>
  </r>
  <r>
    <n v="12"/>
    <x v="9"/>
    <s v="large capping enzyme"/>
    <s v="AOP31795.1"/>
    <s v="PROT:AOP31795.1"/>
    <s v="mRNA capping enzyme large subuni"/>
    <s v="Volepox virus"/>
    <x v="39"/>
    <x v="39"/>
    <n v="55"/>
    <x v="0"/>
  </r>
  <r>
    <n v="12"/>
    <x v="9"/>
    <s v="large capping enzyme"/>
    <s v="ASC55576.1"/>
    <s v="PROT:ASC55576.1"/>
    <s v="putative mRNA capping enzyme large subunit-like protein"/>
    <s v="Seal parapoxvirus"/>
    <x v="40"/>
    <x v="40"/>
    <n v="22"/>
    <x v="0"/>
  </r>
  <r>
    <n v="12"/>
    <x v="9"/>
    <s v="large capping enzyme"/>
    <s v="AAR98421.1"/>
    <s v="PROT:AAR98421.1"/>
    <s v="ORF064 mRNA capping enzyme large subuni"/>
    <s v="Bovine papular stomatitis virus"/>
    <x v="41"/>
    <x v="41"/>
    <n v="6"/>
    <x v="0"/>
  </r>
  <r>
    <n v="12"/>
    <x v="9"/>
    <s v="large capping enzyme"/>
    <s v="AAR98289.1"/>
    <s v="PROT:AAR98289.1"/>
    <s v="ORF064 mRNA capping enzyme large subuni"/>
    <s v="Orf virus strain OV-SA00"/>
    <x v="42"/>
    <x v="42"/>
    <n v="35"/>
    <x v="0"/>
  </r>
  <r>
    <n v="12"/>
    <x v="9"/>
    <s v="large capping enzyme"/>
    <s v="ABA00581.1"/>
    <s v="PROT:ABA00581.1"/>
    <s v="mRNA capping enzyme subuni"/>
    <s v="Orf virus strain NZ2"/>
    <x v="43"/>
    <x v="43"/>
    <n v="36"/>
    <x v="1"/>
  </r>
  <r>
    <n v="12"/>
    <x v="9"/>
    <s v="large capping enzyme"/>
    <s v="AIZ77315.1"/>
    <s v="PROT:AIZ77315.1"/>
    <s v="putative mRNA capping enzyme large subuni"/>
    <s v="Parapoxvirus red deer/HL953"/>
    <x v="44"/>
    <x v="44"/>
    <n v="42"/>
    <x v="0"/>
  </r>
  <r>
    <n v="12"/>
    <x v="9"/>
    <s v="large capping enzyme"/>
    <s v="ADC53965.1"/>
    <s v="PROT:ADC53965.1"/>
    <s v="mRNA capping enzyme subuni"/>
    <s v="Pseudocowpox virus"/>
    <x v="45"/>
    <x v="45"/>
    <n v="37"/>
    <x v="0"/>
  </r>
  <r>
    <n v="12"/>
    <x v="9"/>
    <s v="large capping enzyme"/>
    <s v="AAL69815.1"/>
    <s v="PROT:AAL69815.1"/>
    <s v="SPV076 mRNA capping enzyme large subuni"/>
    <s v="Swinepox virus"/>
    <x v="46"/>
    <x v="46"/>
    <n v="49"/>
    <x v="0"/>
  </r>
  <r>
    <n v="12"/>
    <x v="9"/>
    <s v="large capping enzyme"/>
    <s v="CAC21317.1"/>
    <s v="PROT:CAC21317.1"/>
    <s v="79R protein"/>
    <s v="Yaba-like disease virus"/>
    <x v="47"/>
    <x v="47"/>
    <n v="58"/>
    <x v="0"/>
  </r>
  <r>
    <n v="12"/>
    <x v="9"/>
    <s v="large capping enzyme"/>
    <s v="AAR07435.1"/>
    <s v="PROT:AAR07435.1"/>
    <s v="79R"/>
    <s v="Yaba monkey tumor virus"/>
    <x v="48"/>
    <x v="48"/>
    <n v="59"/>
    <x v="0"/>
  </r>
  <r>
    <n v="12"/>
    <x v="9"/>
    <s v="large capping enzyme"/>
    <s v="AAC97815.1"/>
    <s v="PROT:AAC97815.1"/>
    <s v="ORF MSV067 putative mRNA capping enzyme large subunit homolog (vaccinia D1R), similar to SW:P20979"/>
    <s v="Melanoplus sanguinipes entomopoxvirus 'O'"/>
    <x v="49"/>
    <x v="49"/>
    <n v="30"/>
    <x v="0"/>
  </r>
  <r>
    <n v="12"/>
    <x v="9"/>
    <s v="large capping enzyme"/>
    <s v="BAO49500.1"/>
    <s v="PROT:BAO49500.1"/>
    <s v="putative mRNA capping enzyme large subuni"/>
    <s v="Anomala cuprea entomopoxvirus"/>
    <x v="50"/>
    <x v="50"/>
    <n v="2"/>
    <x v="0"/>
  </r>
  <r>
    <n v="12"/>
    <x v="9"/>
    <s v="large capping enzyme"/>
    <s v="CCU55511.1"/>
    <s v="PROT:CCU55511.1"/>
    <s v="mRNA capping enzyme large subuni"/>
    <s v="Adoxophyes honmai entomopoxvirus 'L'"/>
    <x v="51"/>
    <x v="51"/>
    <n v="3"/>
    <x v="0"/>
  </r>
  <r>
    <n v="12"/>
    <x v="9"/>
    <s v="large capping enzyme"/>
    <s v="AAG02841.1"/>
    <s v="PROT:AAG02841.1"/>
    <s v="AMV135"/>
    <s v="Amsacta moorei entomopoxvirus"/>
    <x v="52"/>
    <x v="52"/>
    <n v="5"/>
    <x v="0"/>
  </r>
  <r>
    <n v="12"/>
    <x v="9"/>
    <s v="large capping enzyme"/>
    <s v="CCU55754.1"/>
    <s v="PROT:CCU55754.1"/>
    <s v="mRNA capping enzyme large subuni"/>
    <s v="Choristoneura biennis entomopoxvirus"/>
    <x v="53"/>
    <x v="53"/>
    <n v="10"/>
    <x v="0"/>
  </r>
  <r>
    <n v="12"/>
    <x v="9"/>
    <s v="large capping enzyme"/>
    <s v="CCU56056.1"/>
    <s v="PROT:CCU56056.1"/>
    <s v="mRNA capping enzyme large subuni"/>
    <s v="Choristoneura rosaceana entomopoxvirus 'L'"/>
    <x v="54"/>
    <x v="54"/>
    <n v="14"/>
    <x v="0"/>
  </r>
  <r>
    <n v="12"/>
    <x v="9"/>
    <s v="large capping enzyme"/>
    <s v="CCU56376.1"/>
    <s v="PROT:CCU56376.1"/>
    <s v="mRNA capping enzyme large subuni"/>
    <s v="Mythimna separata entomopoxvirus 'L'"/>
    <x v="55"/>
    <x v="55"/>
    <n v="31"/>
    <x v="0"/>
  </r>
  <r>
    <n v="12"/>
    <x v="9"/>
    <s v="large capping enzyme"/>
    <s v="NP_659651.1"/>
    <s v="PROT:NP_659651.1"/>
    <s v="mRNA capping enzyme, large subuni"/>
    <s v="Sheeppox virus"/>
    <x v="56"/>
    <x v="56"/>
    <n v="44"/>
    <x v="0"/>
  </r>
  <r>
    <n v="12"/>
    <x v="9"/>
    <s v="large capping enzyme"/>
    <s v="YP_001293270.1"/>
    <s v="PROT:YP_001293270.1"/>
    <s v="hypothetical protein GTPV_gp075"/>
    <s v="Goatpox virus Pellor"/>
    <x v="57"/>
    <x v="57"/>
    <n v="23"/>
    <x v="0"/>
  </r>
  <r>
    <n v="10"/>
    <x v="10"/>
    <s v="NPH-I"/>
    <s v="ATI21197.1"/>
    <s v="PROT:ATI21197.1"/>
    <s v="ATPase NPH1"/>
    <s v="Eastern grey kangaroopox virus"/>
    <x v="0"/>
    <x v="0"/>
    <n v="18"/>
    <x v="0"/>
  </r>
  <r>
    <n v="10"/>
    <x v="10"/>
    <s v="NPH-I"/>
    <s v="AWU47131.1"/>
    <s v="PROT:AWU47131.1"/>
    <s v="ATPase"/>
    <s v="Sea otter poxvirus"/>
    <x v="1"/>
    <x v="1"/>
    <n v="47"/>
    <x v="0"/>
  </r>
  <r>
    <n v="10"/>
    <x v="10"/>
    <s v="NPH-I"/>
    <s v="APG58306.1"/>
    <s v="PROT:APG58306.1"/>
    <s v="nucleoside triphosphatase I"/>
    <s v="BeAn 58058 virus"/>
    <x v="2"/>
    <x v="2"/>
    <n v="7"/>
    <x v="1"/>
  </r>
  <r>
    <n v="10"/>
    <x v="10"/>
    <s v="NPH-I"/>
    <s v="ADT91117.1"/>
    <s v="PROT:ADT91117.1"/>
    <s v="NPH-I"/>
    <s v="Cotia virus SPAn232"/>
    <x v="3"/>
    <x v="3"/>
    <n v="12"/>
    <x v="0"/>
  </r>
  <r>
    <n v="10"/>
    <x v="10"/>
    <s v="NPH-I"/>
    <s v="ANS71175.1"/>
    <s v="PROT:ANS71175.1"/>
    <s v="ATPase"/>
    <s v="Pteropox virus"/>
    <x v="4"/>
    <x v="4"/>
    <n v="40"/>
    <x v="0"/>
  </r>
  <r>
    <n v="10"/>
    <x v="10"/>
    <s v="NPH-I"/>
    <s v="AKR04262.1"/>
    <s v="PROT:AKR04262.1"/>
    <s v="DEAD-like helicases superfamily D11"/>
    <s v="Salmon gill poxvirus"/>
    <x v="5"/>
    <x v="5"/>
    <n v="46"/>
    <x v="0"/>
  </r>
  <r>
    <n v="10"/>
    <x v="10"/>
    <s v="NPH-I"/>
    <s v="CCD83265.1"/>
    <s v="PROT:CCD83265.1"/>
    <s v="ATPase/ transcription termination factor"/>
    <s v="Squirrelpox virus"/>
    <x v="6"/>
    <x v="6"/>
    <n v="48"/>
    <x v="0"/>
  </r>
  <r>
    <n v="10"/>
    <x v="10"/>
    <s v="NPH-I"/>
    <s v="ASK51294.1"/>
    <s v="PROT:ASK51294.1"/>
    <s v="ATPase, NPH1"/>
    <s v="Eptesipox virus"/>
    <x v="7"/>
    <x v="7"/>
    <n v="19"/>
    <x v="0"/>
  </r>
  <r>
    <n v="10"/>
    <x v="10"/>
    <s v="NPH-I"/>
    <s v="AUD40154.1"/>
    <s v="PROT:AUD40154.1"/>
    <s v="NPH-1 transcription termination factor"/>
    <s v="Flamingopox virus FGPVKD09"/>
    <x v="8"/>
    <x v="8"/>
    <n v="20"/>
    <x v="0"/>
  </r>
  <r>
    <n v="10"/>
    <x v="10"/>
    <s v="NPH-I"/>
    <s v="AID46794.1"/>
    <s v="PROT:AID46794.1"/>
    <s v="NPH-1 transcription termination factor"/>
    <s v="Penguinpox virus"/>
    <x v="9"/>
    <x v="9"/>
    <n v="39"/>
    <x v="0"/>
  </r>
  <r>
    <n v="10"/>
    <x v="10"/>
    <s v="NPH-I"/>
    <s v="AID46565.1"/>
    <s v="PROT:AID46565.1"/>
    <s v="NPH-1 transcription termination factor"/>
    <s v="Pigeonpox virus"/>
    <x v="10"/>
    <x v="10"/>
    <n v="38"/>
    <x v="0"/>
  </r>
  <r>
    <n v="10"/>
    <x v="10"/>
    <s v="NPH-I"/>
    <s v="ALA62404.1"/>
    <s v="PROT:ALA62404.1"/>
    <s v="transcription termination factor NPH-I"/>
    <s v="Turkeypox virus"/>
    <x v="11"/>
    <x v="11"/>
    <n v="51"/>
    <x v="0"/>
  </r>
  <r>
    <n v="10"/>
    <x v="10"/>
    <s v="NPH-I"/>
    <s v="AAR83420.1"/>
    <s v="PROT:AAR83420.1"/>
    <s v="CNPV074 NPH-I, transcription termination factor"/>
    <s v="Canarypox virus"/>
    <x v="12"/>
    <x v="12"/>
    <n v="11"/>
    <x v="0"/>
  </r>
  <r>
    <n v="10"/>
    <x v="10"/>
    <s v="NPH-I"/>
    <s v="AAF44396.1"/>
    <s v="PROT:AAF44396.1"/>
    <s v="ORF FPV052 NPH-I, trancription termination factor"/>
    <s v="Fowlpox virus"/>
    <x v="13"/>
    <x v="13"/>
    <n v="21"/>
    <x v="0"/>
  </r>
  <r>
    <n v="10"/>
    <x v="10"/>
    <s v="NPH-I"/>
    <s v="YP_001293279.1"/>
    <s v="PROT:YP_001293279.1"/>
    <s v="hypothetical protein GTPV_gp084"/>
    <s v="Goatpox virus Pellor"/>
    <x v="57"/>
    <x v="57"/>
    <n v="23"/>
    <x v="0"/>
  </r>
  <r>
    <n v="10"/>
    <x v="10"/>
    <s v="NPH-I"/>
    <s v="AAK85049.1"/>
    <s v="PROT:AAK85049.1"/>
    <s v="LSDV088 putative transcription termination factor"/>
    <s v="Lumpy skin disease virus NI-2490"/>
    <x v="14"/>
    <x v="14"/>
    <n v="25"/>
    <x v="0"/>
  </r>
  <r>
    <n v="10"/>
    <x v="10"/>
    <s v="NPH-I"/>
    <s v="NP_659660.1"/>
    <s v="PROT:NP_659660.1"/>
    <s v="NPH-I, transcription termination factor"/>
    <s v="Sheeppox virus"/>
    <x v="56"/>
    <x v="56"/>
    <n v="44"/>
    <x v="0"/>
  </r>
  <r>
    <n v="10"/>
    <x v="10"/>
    <s v="NPH-I"/>
    <s v="AST09307.1"/>
    <s v="PROT:AST09307.1"/>
    <s v="ATPase nucleoside triphosphate phosphohydrolase-I NPH-I"/>
    <s v="Murmansk poxvirus"/>
    <x v="15"/>
    <x v="15"/>
    <n v="27"/>
    <x v="0"/>
  </r>
  <r>
    <n v="10"/>
    <x v="10"/>
    <s v="NPH-I"/>
    <s v="AEN03686.1"/>
    <s v="PROT:AEN03686.1"/>
    <s v="ATPase nucleoside triphosphate phosphohydrolase-I NPH-I"/>
    <s v="Yokapox virus"/>
    <x v="16"/>
    <x v="16"/>
    <n v="57"/>
    <x v="0"/>
  </r>
  <r>
    <n v="10"/>
    <x v="10"/>
    <s v="NPH-I"/>
    <s v="ABI99252.1"/>
    <s v="PROT:ABI99252.1"/>
    <s v="transcription termination factor NPH-I"/>
    <s v="Deerpox virus W-848-83"/>
    <x v="17"/>
    <x v="17"/>
    <n v="15"/>
    <x v="0"/>
  </r>
  <r>
    <n v="10"/>
    <x v="10"/>
    <s v="NPH-I"/>
    <s v="ABJ09009.1"/>
    <s v="PROT:ABJ09009.1"/>
    <s v="NPH-1"/>
    <s v="Nile crocodilepox virus"/>
    <x v="18"/>
    <x v="18"/>
    <n v="34"/>
    <x v="0"/>
  </r>
  <r>
    <n v="10"/>
    <x v="10"/>
    <s v="NPH-I"/>
    <s v="AAF14974.1"/>
    <s v="PROT:AAF14974.1"/>
    <s v="m86L"/>
    <s v="Myxoma virus strain Lausanne"/>
    <x v="19"/>
    <x v="19"/>
    <n v="32"/>
    <x v="0"/>
  </r>
  <r>
    <n v="10"/>
    <x v="10"/>
    <s v="NPH-I"/>
    <s v="AFU77350.1"/>
    <s v="PROT:AFU77350.1"/>
    <s v="m86L"/>
    <s v="Myxoma virus isolate BRK 897"/>
    <x v="20"/>
    <x v="20"/>
    <n v="33"/>
    <x v="1"/>
  </r>
  <r>
    <n v="10"/>
    <x v="10"/>
    <s v="NPH-I"/>
    <s v="AAF17970.1"/>
    <s v="PROT:AAF17970.1"/>
    <s v="gp086L"/>
    <s v="Rabbit fibroma virus"/>
    <x v="21"/>
    <x v="21"/>
    <n v="43"/>
    <x v="0"/>
  </r>
  <r>
    <n v="10"/>
    <x v="10"/>
    <s v="NPH-I"/>
    <s v="AAC55228.1"/>
    <s v="PROT:AAC55228.1"/>
    <s v="MC100R"/>
    <s v="Molluscum contagiosum virus subtype 1"/>
    <x v="22"/>
    <x v="22"/>
    <n v="26"/>
    <x v="0"/>
  </r>
  <r>
    <n v="10"/>
    <x v="10"/>
    <s v="NPH-I"/>
    <s v="AYN64682.1"/>
    <s v="PROT:AYN64682.1"/>
    <s v="putative D11L protein"/>
    <s v="Orthopoxvirus Abatino"/>
    <x v="23"/>
    <x v="23"/>
    <n v="1"/>
    <x v="0"/>
  </r>
  <r>
    <n v="10"/>
    <x v="10"/>
    <s v="NPH-I"/>
    <s v="AXN74910.1"/>
    <s v="PROT:AXN74910.1"/>
    <s v="helicase"/>
    <s v="Akhmeta virus"/>
    <x v="24"/>
    <x v="24"/>
    <n v="4"/>
    <x v="0"/>
  </r>
  <r>
    <n v="10"/>
    <x v="10"/>
    <s v="NPH-I"/>
    <s v="ABH08223.1"/>
    <s v="PROT:ABH08223.1"/>
    <s v="HSPV117"/>
    <s v="Horsepox virus"/>
    <x v="25"/>
    <x v="25"/>
    <n v="24"/>
    <x v="0"/>
  </r>
  <r>
    <n v="10"/>
    <x v="10"/>
    <s v="NPH-I"/>
    <s v="AAL73821.1"/>
    <s v="PROT:AAL73821.1"/>
    <s v="putative NPH-I transcription termination factor"/>
    <s v="Camelpox virus M-96"/>
    <x v="27"/>
    <x v="27"/>
    <n v="8"/>
    <x v="0"/>
  </r>
  <r>
    <n v="10"/>
    <x v="10"/>
    <s v="NPH-I"/>
    <s v="AAG37591.1"/>
    <s v="PROT:AAG37591.1"/>
    <s v="CMP113L"/>
    <s v="Camelpox virus CMS"/>
    <x v="26"/>
    <x v="26"/>
    <n v="9"/>
    <x v="1"/>
  </r>
  <r>
    <n v="10"/>
    <x v="10"/>
    <s v="NPH-I"/>
    <s v="AAM13570.1"/>
    <s v="PROT:AAM13570.1"/>
    <s v="CPXV128 protein"/>
    <s v="Cowpox virus"/>
    <x v="28"/>
    <x v="28"/>
    <n v="13"/>
    <x v="0"/>
  </r>
  <r>
    <n v="10"/>
    <x v="10"/>
    <s v="NPH-I"/>
    <s v="AAM92404.1"/>
    <s v="PROT:AAM92404.1"/>
    <s v="EVM100"/>
    <s v="Ectromelia virus"/>
    <x v="29"/>
    <x v="29"/>
    <n v="16"/>
    <x v="0"/>
  </r>
  <r>
    <n v="10"/>
    <x v="10"/>
    <s v="NPH-I"/>
    <s v="AFH54663.1"/>
    <s v="PROT:AFH54663.1"/>
    <s v="helicase NPH-I"/>
    <s v="Ectromelia virus ERPV"/>
    <x v="30"/>
    <x v="30"/>
    <n v="17"/>
    <x v="1"/>
  </r>
  <r>
    <n v="10"/>
    <x v="10"/>
    <s v="NPH-I"/>
    <s v="AAL40566.1"/>
    <s v="PROT:AAL40566.1"/>
    <s v="E11L"/>
    <s v="Monkeypox virus Zaire-96-I-16 (clade I)"/>
    <x v="31"/>
    <x v="31"/>
    <n v="29"/>
    <x v="0"/>
  </r>
  <r>
    <n v="10"/>
    <x v="10"/>
    <s v="NPH-I"/>
    <s v="AAX09203.1"/>
    <s v="PROT:AAX09203.1"/>
    <s v="MPXV-COP-102"/>
    <s v="monkeypox virus strain cOP-58 (clade IIa)"/>
    <x v="32"/>
    <x v="32"/>
    <n v="28"/>
    <x v="0"/>
  </r>
  <r>
    <n v="10"/>
    <x v="10"/>
    <s v="NPH-I"/>
    <s v="AKJ93745.1"/>
    <s v="PROT:AKJ93745.1"/>
    <s v="nucleoside triphosphate phosphohydrolase-I"/>
    <s v="Raccoonpox virus"/>
    <x v="33"/>
    <x v="33"/>
    <n v="41"/>
    <x v="0"/>
  </r>
  <r>
    <n v="10"/>
    <x v="10"/>
    <s v="NPH-I"/>
    <s v="AOP31594.1"/>
    <s v="PROT:AOP31594.1"/>
    <s v="ATPase"/>
    <s v="Skunkpox virus"/>
    <x v="34"/>
    <x v="34"/>
    <n v="45"/>
    <x v="0"/>
  </r>
  <r>
    <n v="10"/>
    <x v="10"/>
    <s v="NPH-I"/>
    <s v="ABD97684.1"/>
    <s v="PROT:ABD97684.1"/>
    <s v="ATPase"/>
    <s v="Taterapox virus"/>
    <x v="35"/>
    <x v="35"/>
    <n v="50"/>
    <x v="0"/>
  </r>
  <r>
    <n v="10"/>
    <x v="10"/>
    <s v="NPH-I"/>
    <s v="AAO89395.1"/>
    <s v="PROT:AAO89395.1"/>
    <s v="ATPase, nucleoside triphosphate phosphohydrolase-I, NPH-I"/>
    <s v="Vaccinia virus WR"/>
    <x v="36"/>
    <x v="36"/>
    <n v="52"/>
    <x v="0"/>
  </r>
  <r>
    <n v="10"/>
    <x v="10"/>
    <s v="NPH-I"/>
    <s v="CAA49042.1"/>
    <s v="PROT:CAA49042.1"/>
    <s v="N1L"/>
    <s v="Variola virus major"/>
    <x v="37"/>
    <x v="37"/>
    <n v="53"/>
    <x v="0"/>
  </r>
  <r>
    <n v="10"/>
    <x v="10"/>
    <s v="NPH-I"/>
    <s v="CAB54701.1"/>
    <s v="PROT:CAB54701.1"/>
    <s v="O1L protein"/>
    <s v="Variola minor virus"/>
    <x v="38"/>
    <x v="38"/>
    <n v="54"/>
    <x v="0"/>
  </r>
  <r>
    <n v="10"/>
    <x v="10"/>
    <s v="NPH-I"/>
    <s v="AOP31805.1"/>
    <s v="PROT:AOP31805.1"/>
    <s v="ATPase"/>
    <s v="Volepox virus"/>
    <x v="39"/>
    <x v="39"/>
    <n v="55"/>
    <x v="0"/>
  </r>
  <r>
    <n v="10"/>
    <x v="10"/>
    <s v="NPH-I"/>
    <s v="ASC55568.1"/>
    <s v="PROT:ASC55568.1"/>
    <s v="transcription termination factor NPH-I-like protein"/>
    <s v="Seal parapoxvirus"/>
    <x v="40"/>
    <x v="40"/>
    <n v="22"/>
    <x v="0"/>
  </r>
  <r>
    <n v="10"/>
    <x v="10"/>
    <s v="NPH-I"/>
    <s v="AAR98429.1"/>
    <s v="PROT:AAR98429.1"/>
    <s v="transcription termination factor NPH-I"/>
    <s v="Bovine papular stomatitis virus"/>
    <x v="41"/>
    <x v="41"/>
    <n v="6"/>
    <x v="0"/>
  </r>
  <r>
    <n v="10"/>
    <x v="10"/>
    <s v="NPH-I"/>
    <s v="AAR98297.1"/>
    <s v="PROT:AAR98297.1"/>
    <s v="ORF072 transcription termination factor NPH-I"/>
    <s v="Orf virus strain OV-SA00"/>
    <x v="42"/>
    <x v="42"/>
    <n v="35"/>
    <x v="0"/>
  </r>
  <r>
    <n v="10"/>
    <x v="10"/>
    <s v="NPH-I"/>
    <s v="ABA00589.1"/>
    <s v="PROT:ABA00589.1"/>
    <s v="NPH-1"/>
    <s v="Orf virus strain NZ2"/>
    <x v="43"/>
    <x v="43"/>
    <n v="36"/>
    <x v="1"/>
  </r>
  <r>
    <n v="10"/>
    <x v="10"/>
    <s v="NPH-I"/>
    <s v="AIZ77323.1"/>
    <s v="PROT:AIZ77323.1"/>
    <s v="putative transcription termination factor NPH-I"/>
    <s v="Parapoxvirus red deer/HL953"/>
    <x v="44"/>
    <x v="44"/>
    <n v="42"/>
    <x v="0"/>
  </r>
  <r>
    <n v="10"/>
    <x v="10"/>
    <s v="NPH-I"/>
    <s v="ADC53973.1"/>
    <s v="PROT:ADC53973.1"/>
    <s v="NPH-1"/>
    <s v="Pseudocowpox virus"/>
    <x v="45"/>
    <x v="45"/>
    <n v="37"/>
    <x v="0"/>
  </r>
  <r>
    <n v="10"/>
    <x v="10"/>
    <s v="NPH-I"/>
    <s v="AAL69824.1"/>
    <s v="PROT:AAL69824.1"/>
    <s v="SPV085 putative NPH-I transcription termination factor"/>
    <s v="Swinepox virus"/>
    <x v="46"/>
    <x v="46"/>
    <n v="49"/>
    <x v="0"/>
  </r>
  <r>
    <n v="10"/>
    <x v="10"/>
    <s v="NPH-I"/>
    <s v="CAC21326.1"/>
    <s v="PROT:CAC21326.1"/>
    <s v="88L protein"/>
    <s v="Yaba-like disease virus"/>
    <x v="47"/>
    <x v="47"/>
    <n v="58"/>
    <x v="0"/>
  </r>
  <r>
    <n v="10"/>
    <x v="10"/>
    <s v="NPH-I"/>
    <s v="AAR07444.1"/>
    <s v="PROT:AAR07444.1"/>
    <s v="88L"/>
    <s v="Yaba monkey tumor virus"/>
    <x v="48"/>
    <x v="48"/>
    <n v="59"/>
    <x v="0"/>
  </r>
  <r>
    <n v="10"/>
    <x v="10"/>
    <s v="NPH-I"/>
    <s v="AAC97824.1"/>
    <s v="PROT:AAC97824.1"/>
    <s v="ORF MSV053 putative nucleoside triphosphate phosphohydrolase, Choristoneura biennis entomopox virus NPH-1 (vaccinia D11L) homolog, similar to SW:P24486"/>
    <s v="Melanoplus sanguinipes entomopoxvirus 'O'"/>
    <x v="49"/>
    <x v="49"/>
    <n v="30"/>
    <x v="0"/>
  </r>
  <r>
    <n v="10"/>
    <x v="10"/>
    <s v="NPH-I"/>
    <s v="BAO49434.1"/>
    <s v="PROT:BAO49434.1"/>
    <s v="nucleoside triphosphate phosphohydrolase I"/>
    <s v="Anomala cuprea entomopoxvirus"/>
    <x v="50"/>
    <x v="50"/>
    <n v="2"/>
    <x v="0"/>
  </r>
  <r>
    <n v="10"/>
    <x v="10"/>
    <s v="NPH-I"/>
    <s v="CCU55471.1"/>
    <s v="PROT:CCU55471.1"/>
    <s v="ATPase, NPH1"/>
    <s v="Adoxophyes honmai entomopoxvirus 'L'"/>
    <x v="51"/>
    <x v="51"/>
    <n v="3"/>
    <x v="0"/>
  </r>
  <r>
    <n v="10"/>
    <x v="10"/>
    <s v="NPH-I"/>
    <s v="AAG02898.1"/>
    <s v="PROT:AAG02898.1"/>
    <s v="AMV192"/>
    <s v="Amsacta moorei entomopoxvirus"/>
    <x v="52"/>
    <x v="52"/>
    <n v="5"/>
    <x v="0"/>
  </r>
  <r>
    <n v="10"/>
    <x v="10"/>
    <s v="NPH-I"/>
    <s v="CCU55796.1"/>
    <s v="PROT:CCU55796.1"/>
    <s v="ATPase, NPH1"/>
    <s v="Choristoneura biennis entomopoxvirus"/>
    <x v="53"/>
    <x v="53"/>
    <n v="10"/>
    <x v="0"/>
  </r>
  <r>
    <n v="10"/>
    <x v="10"/>
    <s v="NPH-I"/>
    <s v="CCU56098.1"/>
    <s v="PROT:CCU56098.1"/>
    <s v="ATPase, NPH1"/>
    <s v="Choristoneura rosaceana entomopoxvirus 'L'"/>
    <x v="54"/>
    <x v="54"/>
    <n v="14"/>
    <x v="0"/>
  </r>
  <r>
    <n v="10"/>
    <x v="10"/>
    <s v="NPH-I"/>
    <s v="CCU56420.1"/>
    <s v="PROT:CCU56420.1"/>
    <s v="ATPase, NPH1"/>
    <s v="Mythimna separata entomopoxvirus 'L'"/>
    <x v="55"/>
    <x v="55"/>
    <n v="31"/>
    <x v="0"/>
  </r>
  <r>
    <n v="11"/>
    <x v="11"/>
    <s v="small capping enzyme"/>
    <s v="ATI21198.1"/>
    <s v="PROT:ATI21198.1"/>
    <s v="mRNA capping enzyme small subuni"/>
    <s v="Eastern grey kangaroopox virus"/>
    <x v="0"/>
    <x v="0"/>
    <n v="18"/>
    <x v="0"/>
  </r>
  <r>
    <n v="11"/>
    <x v="11"/>
    <s v="small capping enzyme"/>
    <s v="AWU47132.1"/>
    <s v="PROT:AWU47132.1"/>
    <s v="mRNA capping enzyme"/>
    <s v="Sea otter poxvirus"/>
    <x v="1"/>
    <x v="1"/>
    <n v="47"/>
    <x v="0"/>
  </r>
  <r>
    <n v="11"/>
    <x v="11"/>
    <s v="small capping enzyme"/>
    <s v="APG58308.1"/>
    <s v="PROT:APG58308.1"/>
    <s v="mRNA-capping enzyme small subuni"/>
    <s v="BeAn 58058 virus"/>
    <x v="2"/>
    <x v="2"/>
    <n v="7"/>
    <x v="1"/>
  </r>
  <r>
    <n v="11"/>
    <x v="11"/>
    <s v="small capping enzyme"/>
    <s v="ADT91118.1"/>
    <s v="PROT:ADT91118.1"/>
    <s v="capping enzyme small subuni"/>
    <s v="Cotia virus SPAn232"/>
    <x v="3"/>
    <x v="3"/>
    <n v="12"/>
    <x v="0"/>
  </r>
  <r>
    <n v="11"/>
    <x v="11"/>
    <s v="small capping enzyme"/>
    <s v="ANS71176.1"/>
    <s v="PROT:ANS71176.1"/>
    <s v="small subunit mRNA capping enzyme"/>
    <s v="Pteropox virus"/>
    <x v="4"/>
    <x v="4"/>
    <n v="40"/>
    <x v="0"/>
  </r>
  <r>
    <n v="11"/>
    <x v="11"/>
    <s v="small capping enzyme"/>
    <s v="AKR04264.1"/>
    <s v="PROT:AKR04264.1"/>
    <s v="mRNA capping enzyme, small subuni"/>
    <s v="Salmon gill poxvirus"/>
    <x v="5"/>
    <x v="5"/>
    <n v="46"/>
    <x v="0"/>
  </r>
  <r>
    <n v="11"/>
    <x v="11"/>
    <s v="small capping enzyme"/>
    <s v="CCD83269.1"/>
    <s v="PROT:CCD83269.1"/>
    <s v="mRNA capping small sub-uni"/>
    <s v="Squirrelpox virus"/>
    <x v="6"/>
    <x v="6"/>
    <n v="48"/>
    <x v="0"/>
  </r>
  <r>
    <n v="11"/>
    <x v="11"/>
    <s v="small capping enzyme"/>
    <s v="ASK51295.1"/>
    <s v="PROT:ASK51295.1"/>
    <s v="mRNA capping enzyme small subuni"/>
    <s v="Eptesipox virus"/>
    <x v="7"/>
    <x v="7"/>
    <n v="19"/>
    <x v="0"/>
  </r>
  <r>
    <n v="11"/>
    <x v="11"/>
    <s v="small capping enzyme"/>
    <s v="AUD40153.1"/>
    <s v="PROT:AUD40153.1"/>
    <s v="mRNA capping enzyme small subuni"/>
    <s v="Flamingopox virus FGPVKD09"/>
    <x v="8"/>
    <x v="8"/>
    <n v="20"/>
    <x v="0"/>
  </r>
  <r>
    <n v="11"/>
    <x v="11"/>
    <s v="small capping enzyme"/>
    <s v="AID46793.1"/>
    <s v="PROT:AID46793.1"/>
    <s v="mRNA capping enzyme"/>
    <s v="Penguinpox virus"/>
    <x v="9"/>
    <x v="9"/>
    <n v="39"/>
    <x v="0"/>
  </r>
  <r>
    <n v="11"/>
    <x v="11"/>
    <s v="small capping enzyme"/>
    <s v="AID46564.1"/>
    <s v="PROT:AID46564.1"/>
    <s v="mRNA capping enzyme"/>
    <s v="Pigeonpox virus"/>
    <x v="10"/>
    <x v="10"/>
    <n v="38"/>
    <x v="0"/>
  </r>
  <r>
    <n v="11"/>
    <x v="11"/>
    <s v="small capping enzyme"/>
    <s v="ALA62403.1"/>
    <s v="PROT:ALA62403.1"/>
    <s v="mRNA-capping enzyme small subuni"/>
    <s v="Turkeypox virus"/>
    <x v="11"/>
    <x v="11"/>
    <n v="51"/>
    <x v="0"/>
  </r>
  <r>
    <n v="11"/>
    <x v="11"/>
    <s v="small capping enzyme"/>
    <s v="AAR83417.1"/>
    <s v="PROT:AAR83417.1"/>
    <s v="CNPV071 mRNA capping enzyme small subuni"/>
    <s v="Canarypox virus"/>
    <x v="12"/>
    <x v="12"/>
    <n v="11"/>
    <x v="0"/>
  </r>
  <r>
    <n v="11"/>
    <x v="11"/>
    <s v="small capping enzyme"/>
    <s v="AAF44395.1"/>
    <s v="PROT:AAF44395.1"/>
    <s v="ORF FPV051 mRNA capping enzyme, small subuni"/>
    <s v="Fowlpox virus"/>
    <x v="13"/>
    <x v="13"/>
    <n v="21"/>
    <x v="0"/>
  </r>
  <r>
    <n v="11"/>
    <x v="11"/>
    <s v="small capping enzyme"/>
    <s v="YP_001293280.1"/>
    <s v="PROT:YP_001293280.1"/>
    <s v="hypothetical protein GTPV_gp085"/>
    <s v="Goatpox virus Pellor"/>
    <x v="57"/>
    <x v="57"/>
    <n v="23"/>
    <x v="0"/>
  </r>
  <r>
    <n v="11"/>
    <x v="11"/>
    <s v="small capping enzyme"/>
    <s v="AAK85050.1"/>
    <s v="PROT:AAK85050.1"/>
    <s v="LSDV089 mRNA capping enzyme small subuni"/>
    <s v="Lumpy skin disease virus NI-2490"/>
    <x v="14"/>
    <x v="14"/>
    <n v="25"/>
    <x v="0"/>
  </r>
  <r>
    <n v="11"/>
    <x v="11"/>
    <s v="small capping enzyme"/>
    <s v="NP_659661.1"/>
    <s v="PROT:NP_659661.1"/>
    <s v="mRNA capping enzyme, small subuni"/>
    <s v="Sheeppox virus"/>
    <x v="56"/>
    <x v="56"/>
    <n v="44"/>
    <x v="0"/>
  </r>
  <r>
    <n v="11"/>
    <x v="11"/>
    <s v="small capping enzyme"/>
    <s v="AST09308.1"/>
    <s v="PROT:AST09308.1"/>
    <s v="mRNA capping enzyme small subuni"/>
    <s v="Murmansk poxvirus"/>
    <x v="15"/>
    <x v="15"/>
    <n v="27"/>
    <x v="0"/>
  </r>
  <r>
    <n v="11"/>
    <x v="11"/>
    <s v="small capping enzyme"/>
    <s v="AEN03688.1"/>
    <s v="PROT:AEN03688.1"/>
    <s v="small subunit of mRNA capping enzyme"/>
    <s v="Yokapox virus"/>
    <x v="16"/>
    <x v="16"/>
    <n v="57"/>
    <x v="0"/>
  </r>
  <r>
    <n v="11"/>
    <x v="11"/>
    <s v="small capping enzyme"/>
    <s v="ABI99253.1"/>
    <s v="PROT:ABI99253.1"/>
    <s v="MRNA capping enzyme small subuni"/>
    <s v="Deerpox virus W-848-83"/>
    <x v="17"/>
    <x v="17"/>
    <n v="15"/>
    <x v="0"/>
  </r>
  <r>
    <n v="11"/>
    <x v="11"/>
    <s v="small capping enzyme"/>
    <s v="ABJ09010.1"/>
    <s v="PROT:ABJ09010.1"/>
    <s v="mRNA capping enzyme small subuni"/>
    <s v="Nile crocodilepox virus"/>
    <x v="18"/>
    <x v="18"/>
    <n v="34"/>
    <x v="0"/>
  </r>
  <r>
    <n v="11"/>
    <x v="11"/>
    <s v="small capping enzyme"/>
    <s v="AAF14975.1"/>
    <s v="PROT:AAF14975.1"/>
    <s v="m87L"/>
    <s v="Myxoma virus strain Lausanne"/>
    <x v="19"/>
    <x v="19"/>
    <n v="32"/>
    <x v="0"/>
  </r>
  <r>
    <n v="11"/>
    <x v="11"/>
    <s v="small capping enzyme"/>
    <s v="AFU77351.1"/>
    <s v="PROT:AFU77351.1"/>
    <s v="m87L"/>
    <s v="Myxoma virus isolate BRK 897"/>
    <x v="20"/>
    <x v="20"/>
    <n v="33"/>
    <x v="1"/>
  </r>
  <r>
    <n v="11"/>
    <x v="11"/>
    <s v="small capping enzyme"/>
    <s v="AAF17971.1"/>
    <s v="PROT:AAF17971.1"/>
    <s v="gp087L"/>
    <s v="Rabbit fibroma virus"/>
    <x v="21"/>
    <x v="21"/>
    <n v="43"/>
    <x v="0"/>
  </r>
  <r>
    <n v="11"/>
    <x v="11"/>
    <s v="small capping enzyme"/>
    <s v="AAC55229.1"/>
    <s v="PROT:AAC55229.1"/>
    <s v="MC101L"/>
    <s v="Molluscum contagiosum virus subtype 1"/>
    <x v="22"/>
    <x v="22"/>
    <n v="26"/>
    <x v="0"/>
  </r>
  <r>
    <n v="11"/>
    <x v="11"/>
    <s v="small capping enzyme"/>
    <s v="AYN64683.1"/>
    <s v="PROT:AYN64683.1"/>
    <s v="putative D12L protein"/>
    <s v="Orthopoxvirus Abatino"/>
    <x v="23"/>
    <x v="23"/>
    <n v="1"/>
    <x v="0"/>
  </r>
  <r>
    <n v="11"/>
    <x v="11"/>
    <s v="small capping enzyme"/>
    <s v="AXN74911.1"/>
    <s v="PROT:AXN74911.1"/>
    <s v="mRNA capping enzyme small subuni"/>
    <s v="Akhmeta virus"/>
    <x v="24"/>
    <x v="24"/>
    <n v="4"/>
    <x v="0"/>
  </r>
  <r>
    <n v="11"/>
    <x v="11"/>
    <s v="small capping enzyme"/>
    <s v="ABH08224.1"/>
    <s v="PROT:ABH08224.1"/>
    <s v="HSPV118"/>
    <s v="Horsepox virus"/>
    <x v="25"/>
    <x v="25"/>
    <n v="24"/>
    <x v="0"/>
  </r>
  <r>
    <n v="11"/>
    <x v="11"/>
    <s v="small capping enzyme"/>
    <s v="AAL73822.1"/>
    <s v="PROT:AAL73822.1"/>
    <s v="mRNA capping enzyme small subuni"/>
    <s v="Camelpox virus M-96"/>
    <x v="27"/>
    <x v="27"/>
    <n v="8"/>
    <x v="0"/>
  </r>
  <r>
    <n v="11"/>
    <x v="11"/>
    <s v="small capping enzyme"/>
    <s v="AAG37595.1"/>
    <s v="PROT:AAG37595.1"/>
    <s v="CMP114L"/>
    <s v="Camelpox virus CMS"/>
    <x v="26"/>
    <x v="26"/>
    <n v="9"/>
    <x v="1"/>
  </r>
  <r>
    <n v="11"/>
    <x v="11"/>
    <s v="small capping enzyme"/>
    <s v="AAM13571.1"/>
    <s v="PROT:AAM13571.1"/>
    <s v="CPXV129 protein"/>
    <s v="Cowpox virus"/>
    <x v="28"/>
    <x v="28"/>
    <n v="13"/>
    <x v="0"/>
  </r>
  <r>
    <n v="11"/>
    <x v="11"/>
    <s v="small capping enzyme"/>
    <s v="AAM92405.1"/>
    <s v="PROT:AAM92405.1"/>
    <s v="EVM101"/>
    <s v="Ectromelia virus"/>
    <x v="29"/>
    <x v="29"/>
    <n v="16"/>
    <x v="0"/>
  </r>
  <r>
    <n v="11"/>
    <x v="11"/>
    <s v="small capping enzyme"/>
    <s v="AFH54664.1"/>
    <s v="PROT:AFH54664.1"/>
    <s v="small capping enzyme"/>
    <s v="Ectromelia virus ERPV"/>
    <x v="30"/>
    <x v="30"/>
    <n v="17"/>
    <x v="1"/>
  </r>
  <r>
    <n v="11"/>
    <x v="11"/>
    <s v="small capping enzyme"/>
    <s v="AAL40567.1"/>
    <s v="PROT:AAL40567.1"/>
    <s v="E12L"/>
    <s v="Monkeypox virus Zaire-96-I-16 (clade I)"/>
    <x v="31"/>
    <x v="31"/>
    <n v="29"/>
    <x v="0"/>
  </r>
  <r>
    <n v="11"/>
    <x v="11"/>
    <s v="small capping enzyme"/>
    <s v="AAX09204.1"/>
    <s v="PROT:AAX09204.1"/>
    <s v="MPXV-COP-103"/>
    <s v="monkeypox virus strain cOP-58 (clade IIa)"/>
    <x v="32"/>
    <x v="32"/>
    <n v="28"/>
    <x v="0"/>
  </r>
  <r>
    <n v="11"/>
    <x v="11"/>
    <s v="small capping enzyme"/>
    <s v="AKJ93746.1"/>
    <s v="PROT:AKJ93746.1"/>
    <s v="mRNA capping enzyme protein small subuni"/>
    <s v="Raccoonpox virus"/>
    <x v="33"/>
    <x v="33"/>
    <n v="41"/>
    <x v="0"/>
  </r>
  <r>
    <n v="11"/>
    <x v="11"/>
    <s v="small capping enzyme"/>
    <s v="AOP31595.1"/>
    <s v="PROT:AOP31595.1"/>
    <s v="mRNA capping enzyme small subuni"/>
    <s v="Skunkpox virus"/>
    <x v="34"/>
    <x v="34"/>
    <n v="45"/>
    <x v="0"/>
  </r>
  <r>
    <n v="11"/>
    <x v="11"/>
    <s v="small capping enzyme"/>
    <s v="ABD97685.1"/>
    <s v="PROT:ABD97685.1"/>
    <s v="small subunit of mRNA capping enzyme"/>
    <s v="Taterapox virus"/>
    <x v="35"/>
    <x v="35"/>
    <n v="50"/>
    <x v="0"/>
  </r>
  <r>
    <n v="11"/>
    <x v="11"/>
    <s v="small capping enzyme"/>
    <s v="AAO89396.1"/>
    <s v="PROT:AAO89396.1"/>
    <s v="small subunit of mRNA capping enzyme"/>
    <s v="Vaccinia virus WR"/>
    <x v="36"/>
    <x v="36"/>
    <n v="52"/>
    <x v="0"/>
  </r>
  <r>
    <n v="11"/>
    <x v="11"/>
    <s v="small capping enzyme"/>
    <s v="CAA49043.1"/>
    <s v="PROT:CAA49043.1"/>
    <s v="N2L"/>
    <s v="Variola virus major"/>
    <x v="37"/>
    <x v="37"/>
    <n v="53"/>
    <x v="0"/>
  </r>
  <r>
    <n v="11"/>
    <x v="11"/>
    <s v="small capping enzyme"/>
    <s v="CAB54702.1"/>
    <s v="PROT:CAB54702.1"/>
    <s v="O2L protein"/>
    <s v="Variola minor virus"/>
    <x v="38"/>
    <x v="38"/>
    <n v="54"/>
    <x v="0"/>
  </r>
  <r>
    <n v="11"/>
    <x v="11"/>
    <s v="small capping enzyme"/>
    <s v="AOP31806.1"/>
    <s v="PROT:AOP31806.1"/>
    <s v="mRNA capping enzyme small subuni"/>
    <s v="Volepox virus"/>
    <x v="39"/>
    <x v="39"/>
    <n v="55"/>
    <x v="0"/>
  </r>
  <r>
    <n v="11"/>
    <x v="11"/>
    <s v="small capping enzyme"/>
    <s v="ASC55566.1"/>
    <s v="PROT:ASC55566.1"/>
    <s v="mRNA capping enzyme small subunit-like protein"/>
    <s v="Seal parapoxvirus"/>
    <x v="40"/>
    <x v="40"/>
    <n v="22"/>
    <x v="0"/>
  </r>
  <r>
    <n v="11"/>
    <x v="11"/>
    <s v="small capping enzyme"/>
    <s v="AAR98431.1"/>
    <s v="PROT:AAR98431.1"/>
    <s v="ORF074 mRNA capping enzyme small subuni"/>
    <s v="Bovine papular stomatitis virus"/>
    <x v="41"/>
    <x v="41"/>
    <n v="6"/>
    <x v="0"/>
  </r>
  <r>
    <n v="11"/>
    <x v="11"/>
    <s v="small capping enzyme"/>
    <s v="AAR98299.1"/>
    <s v="PROT:AAR98299.1"/>
    <s v="ORF074 mRNA capping enzyme small subuni"/>
    <s v="Orf virus strain OV-SA00"/>
    <x v="42"/>
    <x v="42"/>
    <n v="35"/>
    <x v="0"/>
  </r>
  <r>
    <n v="11"/>
    <x v="11"/>
    <s v="small capping enzyme"/>
    <s v="ABA00591.1"/>
    <s v="PROT:ABA00591.1"/>
    <s v="mRNA capping enzyme"/>
    <s v="Orf virus strain NZ2"/>
    <x v="43"/>
    <x v="43"/>
    <n v="36"/>
    <x v="1"/>
  </r>
  <r>
    <n v="11"/>
    <x v="11"/>
    <s v="small capping enzyme"/>
    <s v="AIZ77325.1"/>
    <s v="PROT:AIZ77325.1"/>
    <s v="putative mRNA capping enzyme small subuni"/>
    <s v="Parapoxvirus red deer/HL953"/>
    <x v="44"/>
    <x v="44"/>
    <n v="42"/>
    <x v="0"/>
  </r>
  <r>
    <n v="11"/>
    <x v="11"/>
    <s v="small capping enzyme"/>
    <s v="ADC53976.1"/>
    <s v="PROT:ADC53976.1"/>
    <s v="mRNA capping enzyme"/>
    <s v="Pseudocowpox virus"/>
    <x v="45"/>
    <x v="45"/>
    <n v="37"/>
    <x v="0"/>
  </r>
  <r>
    <n v="11"/>
    <x v="11"/>
    <s v="small capping enzyme"/>
    <s v="AAL69825.1"/>
    <s v="PROT:AAL69825.1"/>
    <s v="SPV086 mRNA capping enzyme small subuni"/>
    <s v="Swinepox virus"/>
    <x v="46"/>
    <x v="46"/>
    <n v="49"/>
    <x v="0"/>
  </r>
  <r>
    <n v="11"/>
    <x v="11"/>
    <s v="small capping enzyme"/>
    <s v="CAC21327.1"/>
    <s v="PROT:CAC21327.1"/>
    <s v="89L protein"/>
    <s v="Yaba-like disease virus"/>
    <x v="47"/>
    <x v="47"/>
    <n v="58"/>
    <x v="0"/>
  </r>
  <r>
    <n v="11"/>
    <x v="11"/>
    <s v="small capping enzyme"/>
    <s v="AAR07445.1"/>
    <s v="PROT:AAR07445.1"/>
    <s v="89L"/>
    <s v="Yaba monkey tumor virus"/>
    <x v="48"/>
    <x v="48"/>
    <n v="59"/>
    <x v="0"/>
  </r>
  <r>
    <n v="11"/>
    <x v="11"/>
    <s v="small capping enzyme"/>
    <s v="AAC97664.1"/>
    <s v="PROT:AAC97664.1"/>
    <s v="ORF MSV124 putative mRNA capping enzyme small subunit homolog (vaccinia D12L), similar to PIR:S42252"/>
    <s v="Melanoplus sanguinipes entomopoxvirus 'O'"/>
    <x v="49"/>
    <x v="49"/>
    <n v="30"/>
    <x v="0"/>
  </r>
  <r>
    <n v="11"/>
    <x v="11"/>
    <s v="small capping enzyme"/>
    <s v="BAO49409.1"/>
    <s v="PROT:BAO49409.1"/>
    <s v="putative mRNA capping enzyme small subuni"/>
    <s v="Anomala cuprea entomopoxvirus"/>
    <x v="50"/>
    <x v="50"/>
    <n v="2"/>
    <x v="0"/>
  </r>
  <r>
    <n v="11"/>
    <x v="11"/>
    <s v="small capping enzyme"/>
    <s v="CCU55411.1"/>
    <s v="PROT:CCU55411.1"/>
    <s v="mRNA capping enzyme small subuni"/>
    <s v="Adoxophyes honmai entomopoxvirus 'L'"/>
    <x v="51"/>
    <x v="51"/>
    <n v="3"/>
    <x v="0"/>
  </r>
  <r>
    <n v="11"/>
    <x v="11"/>
    <s v="small capping enzyme"/>
    <s v="AAG02799.1"/>
    <s v="PROT:AAG02799.1"/>
    <s v="AMV093"/>
    <s v="Amsacta moorei entomopoxvirus"/>
    <x v="52"/>
    <x v="52"/>
    <n v="5"/>
    <x v="0"/>
  </r>
  <r>
    <n v="11"/>
    <x v="11"/>
    <s v="small capping enzyme"/>
    <s v="CCU55717.1"/>
    <s v="PROT:CCU55717.1"/>
    <s v="mRNA capping enzyme small subuni"/>
    <s v="Choristoneura biennis entomopoxvirus"/>
    <x v="53"/>
    <x v="53"/>
    <n v="10"/>
    <x v="0"/>
  </r>
  <r>
    <n v="11"/>
    <x v="11"/>
    <s v="small capping enzyme"/>
    <s v="CCU56019.1"/>
    <s v="PROT:CCU56019.1"/>
    <s v="mRNA capping enzyme small subuni"/>
    <s v="Choristoneura rosaceana entomopoxvirus 'L'"/>
    <x v="54"/>
    <x v="54"/>
    <n v="14"/>
    <x v="0"/>
  </r>
  <r>
    <n v="11"/>
    <x v="11"/>
    <s v="small capping enzyme"/>
    <s v="CCU56313.1"/>
    <s v="PROT:CCU56313.1"/>
    <s v="mRNA capping enzyme small subuni"/>
    <s v="Mythimna separata entomopoxvirus 'L'"/>
    <x v="55"/>
    <x v="55"/>
    <n v="31"/>
    <x v="0"/>
  </r>
  <r>
    <n v="13"/>
    <x v="12"/>
    <s v="NTPase"/>
    <s v="ATI21192.1"/>
    <s v="PROT:ATI21192.1"/>
    <s v="NTPase DNA primase"/>
    <s v="Eastern grey kangaroopox virus"/>
    <x v="0"/>
    <x v="0"/>
    <n v="18"/>
    <x v="0"/>
  </r>
  <r>
    <n v="13"/>
    <x v="12"/>
    <s v="NTPase"/>
    <s v="AWU47126.1"/>
    <s v="PROT:AWU47126.1"/>
    <s v="NTPase"/>
    <s v="Sea otter poxvirus"/>
    <x v="1"/>
    <x v="1"/>
    <n v="47"/>
    <x v="0"/>
  </r>
  <r>
    <n v="13"/>
    <x v="12"/>
    <s v="NTPase"/>
    <s v="APG58301.1"/>
    <s v="PROT:APG58301.1"/>
    <s v="primase D5"/>
    <s v="BeAn 58058 virus"/>
    <x v="2"/>
    <x v="2"/>
    <n v="7"/>
    <x v="1"/>
  </r>
  <r>
    <n v="13"/>
    <x v="12"/>
    <s v="NTPase"/>
    <s v="ADT91113.1"/>
    <s v="PROT:ADT91113.1"/>
    <s v="DNA-independent NTPase"/>
    <s v="Cotia virus SPAn232"/>
    <x v="3"/>
    <x v="3"/>
    <n v="12"/>
    <x v="0"/>
  </r>
  <r>
    <n v="13"/>
    <x v="12"/>
    <s v="NTPase"/>
    <s v="ANS71170.1"/>
    <s v="PROT:ANS71170.1"/>
    <s v="ntpase, DNA primase"/>
    <s v="Pteropox virus"/>
    <x v="4"/>
    <x v="4"/>
    <n v="40"/>
    <x v="0"/>
  </r>
  <r>
    <n v="13"/>
    <x v="12"/>
    <s v="NTPase"/>
    <s v="AKR04215.1"/>
    <s v="PROT:AKR04215.1"/>
    <s v="D5-like helicase-primase"/>
    <s v="Salmon gill poxvirus"/>
    <x v="5"/>
    <x v="5"/>
    <n v="46"/>
    <x v="0"/>
  </r>
  <r>
    <n v="13"/>
    <x v="12"/>
    <s v="NTPase"/>
    <s v="CCD83259.1"/>
    <s v="PROT:CCD83259.1"/>
    <s v="NTPase"/>
    <s v="Squirrelpox virus"/>
    <x v="6"/>
    <x v="6"/>
    <n v="48"/>
    <x v="0"/>
  </r>
  <r>
    <n v="13"/>
    <x v="12"/>
    <s v="NTPase"/>
    <s v="ASK51288.1"/>
    <s v="PROT:ASK51288.1"/>
    <s v="NTPase, DNA primase"/>
    <s v="Eptesipox virus"/>
    <x v="7"/>
    <x v="7"/>
    <n v="19"/>
    <x v="0"/>
  </r>
  <r>
    <n v="13"/>
    <x v="12"/>
    <s v="NTPase"/>
    <s v="AUD40160.1"/>
    <s v="PROT:AUD40160.1"/>
    <s v="NTPase"/>
    <s v="Flamingopox virus FGPVKD09"/>
    <x v="8"/>
    <x v="8"/>
    <n v="20"/>
    <x v="0"/>
  </r>
  <r>
    <n v="13"/>
    <x v="12"/>
    <s v="NTPase"/>
    <s v="AID46800.1"/>
    <s v="PROT:AID46800.1"/>
    <s v="NTPase"/>
    <s v="Penguinpox virus"/>
    <x v="9"/>
    <x v="9"/>
    <n v="39"/>
    <x v="0"/>
  </r>
  <r>
    <n v="13"/>
    <x v="12"/>
    <s v="NTPase"/>
    <s v="AID46571.1"/>
    <s v="PROT:AID46571.1"/>
    <s v="NTPase"/>
    <s v="Pigeonpox virus"/>
    <x v="10"/>
    <x v="10"/>
    <n v="38"/>
    <x v="0"/>
  </r>
  <r>
    <n v="13"/>
    <x v="12"/>
    <s v="NTPase"/>
    <s v="ALA62409.1"/>
    <s v="PROT:ALA62409.1"/>
    <s v="DNA replication NTPase"/>
    <s v="Turkeypox virus"/>
    <x v="11"/>
    <x v="11"/>
    <n v="51"/>
    <x v="0"/>
  </r>
  <r>
    <n v="13"/>
    <x v="12"/>
    <s v="NTPase"/>
    <s v="AAR83428.1"/>
    <s v="PROT:AAR83428.1"/>
    <s v="CNPV082 NTPase, DNA replication"/>
    <s v="Canarypox virus"/>
    <x v="12"/>
    <x v="12"/>
    <n v="11"/>
    <x v="0"/>
  </r>
  <r>
    <n v="13"/>
    <x v="12"/>
    <s v="NTPase"/>
    <s v="AAF44402.1"/>
    <s v="PROT:AAF44402.1"/>
    <s v="ORF FPV058 NTPase, DNA replication"/>
    <s v="Fowlpox virus"/>
    <x v="13"/>
    <x v="13"/>
    <n v="21"/>
    <x v="0"/>
  </r>
  <r>
    <n v="13"/>
    <x v="12"/>
    <s v="NTPase"/>
    <s v="AAK85044.1"/>
    <s v="PROT:AAK85044.1"/>
    <s v="LSDV083 putative NTPase"/>
    <s v="Lumpy skin disease virus NI-2490"/>
    <x v="14"/>
    <x v="14"/>
    <n v="25"/>
    <x v="0"/>
  </r>
  <r>
    <n v="13"/>
    <x v="12"/>
    <s v="NTPase"/>
    <s v="AST09301.1"/>
    <s v="PROT:AST09301.1"/>
    <s v="NTPase"/>
    <s v="Murmansk poxvirus"/>
    <x v="15"/>
    <x v="15"/>
    <n v="27"/>
    <x v="0"/>
  </r>
  <r>
    <n v="13"/>
    <x v="12"/>
    <s v="NTPase"/>
    <s v="AEN03679.1"/>
    <s v="PROT:AEN03679.1"/>
    <s v="NTPase"/>
    <s v="Yokapox virus"/>
    <x v="16"/>
    <x v="16"/>
    <n v="57"/>
    <x v="0"/>
  </r>
  <r>
    <n v="13"/>
    <x v="12"/>
    <s v="NTPase"/>
    <s v="ABI99247.1"/>
    <s v="PROT:ABI99247.1"/>
    <s v="NTPase"/>
    <s v="Deerpox virus W-848-83"/>
    <x v="17"/>
    <x v="17"/>
    <n v="15"/>
    <x v="0"/>
  </r>
  <r>
    <n v="13"/>
    <x v="12"/>
    <s v="NTPase"/>
    <s v="ABJ09004.1"/>
    <s v="PROT:ABJ09004.1"/>
    <s v="NTPase"/>
    <s v="Nile crocodilepox virus"/>
    <x v="18"/>
    <x v="18"/>
    <n v="34"/>
    <x v="0"/>
  </r>
  <r>
    <n v="13"/>
    <x v="12"/>
    <s v="NTPase"/>
    <s v="AAF14968.1"/>
    <s v="PROT:AAF14968.1"/>
    <s v="m80R"/>
    <s v="Myxoma virus strain Lausanne"/>
    <x v="19"/>
    <x v="19"/>
    <n v="32"/>
    <x v="0"/>
  </r>
  <r>
    <n v="13"/>
    <x v="12"/>
    <s v="NTPase"/>
    <s v="AFU77344.1"/>
    <s v="PROT:AFU77344.1"/>
    <s v="m80R"/>
    <s v="Myxoma virus isolate BRK 897"/>
    <x v="20"/>
    <x v="20"/>
    <n v="33"/>
    <x v="1"/>
  </r>
  <r>
    <n v="13"/>
    <x v="12"/>
    <s v="NTPase"/>
    <s v="AAF17964.1"/>
    <s v="PROT:AAF17964.1"/>
    <s v="gp080R"/>
    <s v="Rabbit fibroma virus"/>
    <x v="21"/>
    <x v="21"/>
    <n v="43"/>
    <x v="0"/>
  </r>
  <r>
    <n v="13"/>
    <x v="12"/>
    <s v="NTPase"/>
    <s v="AAC55222.1"/>
    <s v="PROT:AAC55222.1"/>
    <s v="MC094R"/>
    <s v="Molluscum contagiosum virus subtype 1"/>
    <x v="22"/>
    <x v="22"/>
    <n v="26"/>
    <x v="0"/>
  </r>
  <r>
    <n v="13"/>
    <x v="12"/>
    <s v="NTPase"/>
    <s v="AYN64676.1"/>
    <s v="PROT:AYN64676.1"/>
    <s v="putative D5R protein"/>
    <s v="Orthopoxvirus Abatino"/>
    <x v="23"/>
    <x v="23"/>
    <n v="1"/>
    <x v="0"/>
  </r>
  <r>
    <n v="13"/>
    <x v="12"/>
    <s v="NTPase"/>
    <s v="AXN74904.1"/>
    <s v="PROT:AXN74904.1"/>
    <s v="NTPase"/>
    <s v="Akhmeta virus"/>
    <x v="24"/>
    <x v="24"/>
    <n v="4"/>
    <x v="0"/>
  </r>
  <r>
    <n v="13"/>
    <x v="12"/>
    <s v="NTPase"/>
    <s v="ABH08217.1"/>
    <s v="PROT:ABH08217.1"/>
    <s v="HSPV111"/>
    <s v="Horsepox virus"/>
    <x v="25"/>
    <x v="25"/>
    <n v="24"/>
    <x v="0"/>
  </r>
  <r>
    <n v="13"/>
    <x v="12"/>
    <s v="NTPase"/>
    <s v="AAG37582.1"/>
    <s v="PROT:AAG37582.1"/>
    <s v="CMP107R"/>
    <s v="Camelpox virus CMS"/>
    <x v="26"/>
    <x v="26"/>
    <n v="9"/>
    <x v="1"/>
  </r>
  <r>
    <n v="13"/>
    <x v="12"/>
    <s v="NTPase"/>
    <s v="AAL73815.1"/>
    <s v="PROT:AAL73815.1"/>
    <s v="putative NTPase"/>
    <s v="Camelpox virus M-96"/>
    <x v="27"/>
    <x v="27"/>
    <n v="8"/>
    <x v="0"/>
  </r>
  <r>
    <n v="13"/>
    <x v="12"/>
    <s v="NTPase"/>
    <s v="AAM13564.1"/>
    <s v="PROT:AAM13564.1"/>
    <s v="CPXV122 protein"/>
    <s v="Cowpox virus"/>
    <x v="28"/>
    <x v="28"/>
    <n v="13"/>
    <x v="0"/>
  </r>
  <r>
    <n v="13"/>
    <x v="12"/>
    <s v="NTPase"/>
    <s v="AAM92398.1"/>
    <s v="PROT:AAM92398.1"/>
    <s v="EVM094"/>
    <s v="Ectromelia virus"/>
    <x v="29"/>
    <x v="29"/>
    <n v="16"/>
    <x v="0"/>
  </r>
  <r>
    <n v="13"/>
    <x v="12"/>
    <s v="NTPase"/>
    <s v="AFH54657.1"/>
    <s v="PROT:AFH54657.1"/>
    <s v="ntpase and DNA replication protein"/>
    <s v="Ectromelia virus ERPV"/>
    <x v="30"/>
    <x v="30"/>
    <n v="17"/>
    <x v="1"/>
  </r>
  <r>
    <n v="13"/>
    <x v="12"/>
    <s v="NTPase"/>
    <s v="AAL40560.1"/>
    <s v="PROT:AAL40560.1"/>
    <s v="E5R"/>
    <s v="Monkeypox virus Zaire-96-I-16 (clade I)"/>
    <x v="31"/>
    <x v="31"/>
    <n v="29"/>
    <x v="0"/>
  </r>
  <r>
    <n v="13"/>
    <x v="12"/>
    <s v="NTPase"/>
    <s v="AAX09197.1"/>
    <s v="PROT:AAX09197.1"/>
    <s v="MPXV-COP-096"/>
    <s v="monkeypox virus strain cOP-58 (clade IIa)"/>
    <x v="32"/>
    <x v="32"/>
    <n v="28"/>
    <x v="0"/>
  </r>
  <r>
    <n v="13"/>
    <x v="12"/>
    <s v="NTPase"/>
    <s v="AKJ93739.1"/>
    <s v="PROT:AKJ93739.1"/>
    <s v="NTPase"/>
    <s v="Raccoonpox virus"/>
    <x v="33"/>
    <x v="33"/>
    <n v="41"/>
    <x v="0"/>
  </r>
  <r>
    <n v="13"/>
    <x v="12"/>
    <s v="NTPase"/>
    <s v="AOP31588.1"/>
    <s v="PROT:AOP31588.1"/>
    <s v="NTPase"/>
    <s v="Skunkpox virus"/>
    <x v="34"/>
    <x v="34"/>
    <n v="45"/>
    <x v="0"/>
  </r>
  <r>
    <n v="13"/>
    <x v="12"/>
    <s v="NTPase"/>
    <s v="ABD97678.1"/>
    <s v="PROT:ABD97678.1"/>
    <s v="NTPase"/>
    <s v="Taterapox virus"/>
    <x v="35"/>
    <x v="35"/>
    <n v="50"/>
    <x v="0"/>
  </r>
  <r>
    <n v="13"/>
    <x v="12"/>
    <s v="NTPase"/>
    <s v="AAO89389.1"/>
    <s v="PROT:AAO89389.1"/>
    <s v="NTPase interacts with A20R"/>
    <s v="Vaccinia virus WR"/>
    <x v="36"/>
    <x v="36"/>
    <n v="52"/>
    <x v="0"/>
  </r>
  <r>
    <n v="13"/>
    <x v="12"/>
    <s v="NTPase"/>
    <s v="CAA49036.1"/>
    <s v="PROT:CAA49036.1"/>
    <s v="F5R"/>
    <s v="Variola virus major"/>
    <x v="37"/>
    <x v="37"/>
    <n v="53"/>
    <x v="0"/>
  </r>
  <r>
    <n v="13"/>
    <x v="12"/>
    <s v="NTPase"/>
    <s v="CAB54695.1"/>
    <s v="PROT:CAB54695.1"/>
    <s v="F5R protein"/>
    <s v="Variola minor virus"/>
    <x v="38"/>
    <x v="38"/>
    <n v="54"/>
    <x v="0"/>
  </r>
  <r>
    <n v="13"/>
    <x v="12"/>
    <s v="NTPase"/>
    <s v="AOP31799.1"/>
    <s v="PROT:AOP31799.1"/>
    <s v="NTPase"/>
    <s v="Volepox virus"/>
    <x v="39"/>
    <x v="39"/>
    <n v="55"/>
    <x v="0"/>
  </r>
  <r>
    <n v="13"/>
    <x v="12"/>
    <s v="NTPase"/>
    <s v="ASC55572.1"/>
    <s v="PROT:ASC55572.1"/>
    <s v="putative NTPase-like protein"/>
    <s v="Seal parapoxvirus"/>
    <x v="40"/>
    <x v="40"/>
    <n v="22"/>
    <x v="0"/>
  </r>
  <r>
    <n v="13"/>
    <x v="12"/>
    <s v="NTPase"/>
    <s v="AAR98425.1"/>
    <s v="PROT:AAR98425.1"/>
    <s v="ORF068 NTPase"/>
    <s v="Bovine papular stomatitis virus"/>
    <x v="41"/>
    <x v="41"/>
    <n v="6"/>
    <x v="0"/>
  </r>
  <r>
    <n v="13"/>
    <x v="12"/>
    <s v="NTPase"/>
    <s v="AAR98293.1"/>
    <s v="PROT:AAR98293.1"/>
    <s v="ORF068 NTPase"/>
    <s v="Orf virus strain OV-SA00"/>
    <x v="42"/>
    <x v="42"/>
    <n v="35"/>
    <x v="0"/>
  </r>
  <r>
    <n v="13"/>
    <x v="12"/>
    <s v="NTPase"/>
    <s v="ABA00585.1"/>
    <s v="PROT:ABA00585.1"/>
    <s v="NTPase"/>
    <s v="Orf virus strain NZ2"/>
    <x v="43"/>
    <x v="43"/>
    <n v="36"/>
    <x v="1"/>
  </r>
  <r>
    <n v="13"/>
    <x v="12"/>
    <s v="NTPase"/>
    <s v="AIZ77319.1"/>
    <s v="PROT:AIZ77319.1"/>
    <s v="putative NTPase"/>
    <s v="Parapoxvirus red deer/HL953"/>
    <x v="44"/>
    <x v="44"/>
    <n v="42"/>
    <x v="0"/>
  </r>
  <r>
    <n v="13"/>
    <x v="12"/>
    <s v="NTPase"/>
    <s v="ADC53969.1"/>
    <s v="PROT:ADC53969.1"/>
    <s v="NTPase"/>
    <s v="Pseudocowpox virus"/>
    <x v="45"/>
    <x v="45"/>
    <n v="37"/>
    <x v="0"/>
  </r>
  <r>
    <n v="13"/>
    <x v="12"/>
    <s v="NTPase"/>
    <s v="AAL69819.1"/>
    <s v="PROT:AAL69819.1"/>
    <s v="SPV080 putative NTPase"/>
    <s v="Swinepox virus"/>
    <x v="46"/>
    <x v="46"/>
    <n v="49"/>
    <x v="0"/>
  </r>
  <r>
    <n v="13"/>
    <x v="12"/>
    <s v="NTPase"/>
    <s v="CAC21321.1"/>
    <s v="PROT:CAC21321.1"/>
    <s v="83R protein"/>
    <s v="Yaba-like disease virus"/>
    <x v="47"/>
    <x v="47"/>
    <n v="58"/>
    <x v="0"/>
  </r>
  <r>
    <n v="13"/>
    <x v="12"/>
    <s v="NTPase"/>
    <s v="AAR07439.1"/>
    <s v="PROT:AAR07439.1"/>
    <s v="83R"/>
    <s v="Yaba monkey tumor virus"/>
    <x v="48"/>
    <x v="48"/>
    <n v="59"/>
    <x v="0"/>
  </r>
  <r>
    <n v="13"/>
    <x v="12"/>
    <s v="NTPase"/>
    <s v="AAC97809.1"/>
    <s v="PROT:AAC97809.1"/>
    <s v="ORF MSV089 Putative NTPase, Rabbit fibroma virus C5 (vaccinia D5R) homolog, similar to PIR:G41700"/>
    <s v="Melanoplus sanguinipes entomopoxvirus 'O'"/>
    <x v="49"/>
    <x v="49"/>
    <n v="30"/>
    <x v="0"/>
  </r>
  <r>
    <n v="13"/>
    <x v="12"/>
    <s v="NTPase"/>
    <s v="BAO49524.1"/>
    <s v="PROT:BAO49524.1"/>
    <s v="putative NTPase"/>
    <s v="Anomala cuprea entomopoxvirus"/>
    <x v="50"/>
    <x v="50"/>
    <n v="2"/>
    <x v="0"/>
  </r>
  <r>
    <n v="13"/>
    <x v="12"/>
    <s v="NTPase"/>
    <s v="CCU55406.1"/>
    <s v="PROT:CCU55406.1"/>
    <s v="NTPase, DNA primase"/>
    <s v="Adoxophyes honmai entomopoxvirus 'L'"/>
    <x v="51"/>
    <x v="51"/>
    <n v="3"/>
    <x v="0"/>
  </r>
  <r>
    <n v="13"/>
    <x v="12"/>
    <s v="NTPase"/>
    <s v="AAG02793.1"/>
    <s v="PROT:AAG02793.1"/>
    <s v="AMV087"/>
    <s v="Amsacta moorei entomopoxvirus"/>
    <x v="52"/>
    <x v="52"/>
    <n v="5"/>
    <x v="0"/>
  </r>
  <r>
    <n v="13"/>
    <x v="12"/>
    <s v="NTPase"/>
    <s v="CCU55712.1"/>
    <s v="PROT:CCU55712.1"/>
    <s v="NTPase, DNA primase"/>
    <s v="Choristoneura biennis entomopoxvirus"/>
    <x v="53"/>
    <x v="53"/>
    <n v="10"/>
    <x v="0"/>
  </r>
  <r>
    <n v="13"/>
    <x v="12"/>
    <s v="NTPase"/>
    <s v="CCU56014.1"/>
    <s v="PROT:CCU56014.1"/>
    <s v="NTPase, DNA primase"/>
    <s v="Choristoneura rosaceana entomopoxvirus 'L'"/>
    <x v="54"/>
    <x v="54"/>
    <n v="14"/>
    <x v="0"/>
  </r>
  <r>
    <n v="13"/>
    <x v="12"/>
    <s v="NTPase"/>
    <s v="CCU56308.1"/>
    <s v="PROT:CCU56308.1"/>
    <s v="NTPase, DNA primase"/>
    <s v="Mythimna separata entomopoxvirus 'L'"/>
    <x v="55"/>
    <x v="55"/>
    <n v="31"/>
    <x v="0"/>
  </r>
  <r>
    <n v="13"/>
    <x v="12"/>
    <s v="NTPase"/>
    <s v="NP_659655.1"/>
    <s v="PROT:NP_659655.1"/>
    <s v="NTPase; DNA replication"/>
    <s v="Sheeppox virus"/>
    <x v="56"/>
    <x v="56"/>
    <n v="44"/>
    <x v="0"/>
  </r>
  <r>
    <n v="13"/>
    <x v="12"/>
    <s v="NTPase"/>
    <s v="YP_001293274.1"/>
    <s v="PROT:YP_001293274.1"/>
    <s v="hypothetical protein GTPV_gp079"/>
    <s v="Goatpox virus Pellor"/>
    <x v="57"/>
    <x v="57"/>
    <n v="23"/>
    <x v="0"/>
  </r>
  <r>
    <n v="14"/>
    <x v="13"/>
    <s v="VETF-S"/>
    <s v="ATI21193.1"/>
    <s v="PROT:ATI21193.1"/>
    <s v="morphogenesis VETF-s"/>
    <s v="Eastern grey kangaroopox virus"/>
    <x v="0"/>
    <x v="0"/>
    <n v="18"/>
    <x v="0"/>
  </r>
  <r>
    <n v="14"/>
    <x v="13"/>
    <s v="VETF-S"/>
    <s v="AWU47127.1"/>
    <s v="PROT:AWU47127.1"/>
    <s v="VETF-small subuni"/>
    <s v="Sea otter poxvirus"/>
    <x v="1"/>
    <x v="1"/>
    <n v="47"/>
    <x v="0"/>
  </r>
  <r>
    <n v="14"/>
    <x v="13"/>
    <s v="VETF-S"/>
    <s v="APG58302.1"/>
    <s v="PROT:APG58302.1"/>
    <s v="early transcription factor 70 kDa subuni"/>
    <s v="BeAn 58058 virus"/>
    <x v="2"/>
    <x v="2"/>
    <n v="7"/>
    <x v="1"/>
  </r>
  <r>
    <n v="14"/>
    <x v="13"/>
    <s v="VETF-S"/>
    <s v="ADT91114.1"/>
    <s v="PROT:ADT91114.1"/>
    <s v="viral early transcription factor small subuni"/>
    <s v="Cotia virus SPAn232"/>
    <x v="3"/>
    <x v="3"/>
    <n v="12"/>
    <x v="0"/>
  </r>
  <r>
    <n v="14"/>
    <x v="13"/>
    <s v="VETF-S"/>
    <s v="ANS71171.1"/>
    <s v="PROT:ANS71171.1"/>
    <s v="small subunit viral early transcription factor"/>
    <s v="Pteropox virus"/>
    <x v="4"/>
    <x v="4"/>
    <n v="40"/>
    <x v="0"/>
  </r>
  <r>
    <n v="14"/>
    <x v="13"/>
    <s v="VETF-S"/>
    <s v="AKR04214.1"/>
    <s v="PROT:AKR04214.1"/>
    <s v="DEAD/SNF2-like helicase"/>
    <s v="Salmon gill poxvirus"/>
    <x v="5"/>
    <x v="5"/>
    <n v="46"/>
    <x v="0"/>
  </r>
  <r>
    <n v="14"/>
    <x v="13"/>
    <s v="VETF-S"/>
    <s v="CCD83260.1"/>
    <s v="PROT:CCD83260.1"/>
    <s v="early transcription factor"/>
    <s v="Squirrelpox virus"/>
    <x v="6"/>
    <x v="6"/>
    <n v="48"/>
    <x v="0"/>
  </r>
  <r>
    <n v="14"/>
    <x v="13"/>
    <s v="VETF-S"/>
    <s v="ASK51289.1"/>
    <s v="PROT:ASK51289.1"/>
    <s v="Early transcription factor small subunit (VETF-s)"/>
    <s v="Eptesipox virus"/>
    <x v="7"/>
    <x v="7"/>
    <n v="19"/>
    <x v="0"/>
  </r>
  <r>
    <n v="14"/>
    <x v="13"/>
    <s v="VETF-S"/>
    <s v="AUD40159.1"/>
    <s v="PROT:AUD40159.1"/>
    <s v="early transcription factor small subuni"/>
    <s v="Flamingopox virus FGPVKD09"/>
    <x v="8"/>
    <x v="8"/>
    <n v="20"/>
    <x v="0"/>
  </r>
  <r>
    <n v="14"/>
    <x v="13"/>
    <s v="VETF-S"/>
    <s v="AID46799.1"/>
    <s v="PROT:AID46799.1"/>
    <s v="early transcription factor VETF"/>
    <s v="Penguinpox virus"/>
    <x v="9"/>
    <x v="9"/>
    <n v="39"/>
    <x v="0"/>
  </r>
  <r>
    <n v="14"/>
    <x v="13"/>
    <s v="VETF-S"/>
    <s v="AID46570.1"/>
    <s v="PROT:AID46570.1"/>
    <s v="early transcription factor VETF"/>
    <s v="Pigeonpox virus"/>
    <x v="10"/>
    <x v="10"/>
    <n v="38"/>
    <x v="0"/>
  </r>
  <r>
    <n v="14"/>
    <x v="13"/>
    <s v="VETF-S"/>
    <s v="ALA62408.1"/>
    <s v="PROT:ALA62408.1"/>
    <s v="early transcription factor VETF-S"/>
    <s v="Turkeypox virus"/>
    <x v="11"/>
    <x v="11"/>
    <n v="51"/>
    <x v="0"/>
  </r>
  <r>
    <n v="14"/>
    <x v="13"/>
    <s v="VETF-S"/>
    <s v="AAR83426.1"/>
    <s v="PROT:AAR83426.1"/>
    <s v="CNPV080 early transcription factor small subunit VETFS"/>
    <s v="Canarypox virus"/>
    <x v="12"/>
    <x v="12"/>
    <n v="11"/>
    <x v="0"/>
  </r>
  <r>
    <n v="14"/>
    <x v="13"/>
    <s v="VETF-S"/>
    <s v="AAF44401.1"/>
    <s v="PROT:AAF44401.1"/>
    <s v="ORF FPV057 Early transcription factor small subuni"/>
    <s v="Fowlpox virus"/>
    <x v="13"/>
    <x v="13"/>
    <n v="21"/>
    <x v="0"/>
  </r>
  <r>
    <n v="14"/>
    <x v="13"/>
    <s v="VETF-S"/>
    <s v="AAK85045.1"/>
    <s v="PROT:AAK85045.1"/>
    <s v="LSDV084 putative early transcription factor small subuni"/>
    <s v="Lumpy skin disease virus NI-2490"/>
    <x v="14"/>
    <x v="14"/>
    <n v="25"/>
    <x v="0"/>
  </r>
  <r>
    <n v="14"/>
    <x v="13"/>
    <s v="VETF-S"/>
    <s v="AST09302.1"/>
    <s v="PROT:AST09302.1"/>
    <s v="early gene transcription factor"/>
    <s v="Murmansk poxvirus"/>
    <x v="15"/>
    <x v="15"/>
    <n v="27"/>
    <x v="0"/>
  </r>
  <r>
    <n v="14"/>
    <x v="13"/>
    <s v="VETF-S"/>
    <s v="AEN03681.1"/>
    <s v="PROT:AEN03681.1"/>
    <s v="early gene transcription factor"/>
    <s v="Yokapox virus"/>
    <x v="16"/>
    <x v="16"/>
    <n v="57"/>
    <x v="0"/>
  </r>
  <r>
    <n v="14"/>
    <x v="13"/>
    <s v="VETF-S"/>
    <s v="ABI99248.1"/>
    <s v="PROT:ABI99248.1"/>
    <s v="early transcription factor VETFs"/>
    <s v="Deerpox virus W-848-83"/>
    <x v="17"/>
    <x v="17"/>
    <n v="15"/>
    <x v="0"/>
  </r>
  <r>
    <n v="14"/>
    <x v="13"/>
    <s v="VETF-S"/>
    <s v="ABJ09005.1"/>
    <s v="PROT:ABJ09005.1"/>
    <s v="early transcription factor small subuni"/>
    <s v="Nile crocodilepox virus"/>
    <x v="18"/>
    <x v="18"/>
    <n v="34"/>
    <x v="0"/>
  </r>
  <r>
    <n v="14"/>
    <x v="13"/>
    <s v="VETF-S"/>
    <s v="AAF14969.1"/>
    <s v="PROT:AAF14969.1"/>
    <s v="m81R"/>
    <s v="Myxoma virus strain Lausanne"/>
    <x v="19"/>
    <x v="19"/>
    <n v="32"/>
    <x v="0"/>
  </r>
  <r>
    <n v="14"/>
    <x v="13"/>
    <s v="VETF-S"/>
    <s v="AFU77345.1"/>
    <s v="PROT:AFU77345.1"/>
    <s v="m81R"/>
    <s v="Myxoma virus isolate BRK 897"/>
    <x v="20"/>
    <x v="20"/>
    <n v="33"/>
    <x v="1"/>
  </r>
  <r>
    <n v="14"/>
    <x v="13"/>
    <s v="VETF-S"/>
    <s v="AAF17965.1"/>
    <s v="PROT:AAF17965.1"/>
    <s v="gp081R"/>
    <s v="Rabbit fibroma virus"/>
    <x v="21"/>
    <x v="21"/>
    <n v="43"/>
    <x v="0"/>
  </r>
  <r>
    <n v="14"/>
    <x v="13"/>
    <s v="VETF-S"/>
    <s v="AAC55223.1"/>
    <s v="PROT:AAC55223.1"/>
    <s v="MC095R"/>
    <s v="Molluscum contagiosum virus subtype 1"/>
    <x v="22"/>
    <x v="22"/>
    <n v="26"/>
    <x v="0"/>
  </r>
  <r>
    <n v="14"/>
    <x v="13"/>
    <s v="VETF-S"/>
    <s v="AYN64677.1"/>
    <s v="PROT:AYN64677.1"/>
    <s v="putative D6R protein"/>
    <s v="Orthopoxvirus Abatino"/>
    <x v="23"/>
    <x v="23"/>
    <n v="1"/>
    <x v="0"/>
  </r>
  <r>
    <n v="14"/>
    <x v="13"/>
    <s v="VETF-S"/>
    <s v="AXN74905.1"/>
    <s v="PROT:AXN74905.1"/>
    <s v="early transcription factor"/>
    <s v="Akhmeta virus"/>
    <x v="24"/>
    <x v="24"/>
    <n v="4"/>
    <x v="0"/>
  </r>
  <r>
    <n v="14"/>
    <x v="13"/>
    <s v="VETF-S"/>
    <s v="ABH08218.1"/>
    <s v="PROT:ABH08218.1"/>
    <s v="HSPV112"/>
    <s v="Horsepox virus"/>
    <x v="25"/>
    <x v="25"/>
    <n v="24"/>
    <x v="0"/>
  </r>
  <r>
    <n v="14"/>
    <x v="13"/>
    <s v="VETF-S"/>
    <s v="AAG37586.1"/>
    <s v="PROT:AAG37586.1"/>
    <s v="CMP108R"/>
    <s v="Camelpox virus CMS"/>
    <x v="26"/>
    <x v="26"/>
    <n v="9"/>
    <x v="1"/>
  </r>
  <r>
    <n v="14"/>
    <x v="13"/>
    <s v="VETF-S"/>
    <s v="AAL73816.1"/>
    <s v="PROT:AAL73816.1"/>
    <s v="putative early transcription factor VETFS"/>
    <s v="Camelpox virus M-96"/>
    <x v="27"/>
    <x v="27"/>
    <n v="8"/>
    <x v="0"/>
  </r>
  <r>
    <n v="14"/>
    <x v="13"/>
    <s v="VETF-S"/>
    <s v="AAM13565.1"/>
    <s v="PROT:AAM13565.1"/>
    <s v="CPXV123 protein"/>
    <s v="Cowpox virus"/>
    <x v="28"/>
    <x v="28"/>
    <n v="13"/>
    <x v="0"/>
  </r>
  <r>
    <n v="14"/>
    <x v="13"/>
    <s v="VETF-S"/>
    <s v="AAM92399.1"/>
    <s v="PROT:AAM92399.1"/>
    <s v="EVM095"/>
    <s v="Ectromelia virus"/>
    <x v="29"/>
    <x v="29"/>
    <n v="16"/>
    <x v="0"/>
  </r>
  <r>
    <n v="14"/>
    <x v="13"/>
    <s v="VETF-S"/>
    <s v="AFH54658.1"/>
    <s v="PROT:AFH54658.1"/>
    <s v="viral early transcription factor small subuni"/>
    <s v="Ectromelia virus ERPV"/>
    <x v="30"/>
    <x v="30"/>
    <n v="17"/>
    <x v="1"/>
  </r>
  <r>
    <n v="14"/>
    <x v="13"/>
    <s v="VETF-S"/>
    <s v="AAL40561.1"/>
    <s v="PROT:AAL40561.1"/>
    <s v="E6R"/>
    <s v="Monkeypox virus Zaire-96-I-16 (clade I)"/>
    <x v="31"/>
    <x v="31"/>
    <n v="29"/>
    <x v="0"/>
  </r>
  <r>
    <n v="14"/>
    <x v="13"/>
    <s v="VETF-S"/>
    <s v="AAX09198.1"/>
    <s v="PROT:AAX09198.1"/>
    <s v="MPXV-COP-097"/>
    <s v="monkeypox virus strain cOP-58 (clade IIa)"/>
    <x v="32"/>
    <x v="32"/>
    <n v="28"/>
    <x v="0"/>
  </r>
  <r>
    <n v="14"/>
    <x v="13"/>
    <s v="VETF-S"/>
    <s v="AKJ93740.1"/>
    <s v="PROT:AKJ93740.1"/>
    <s v="VETF"/>
    <s v="Raccoonpox virus"/>
    <x v="33"/>
    <x v="33"/>
    <n v="41"/>
    <x v="0"/>
  </r>
  <r>
    <n v="14"/>
    <x v="13"/>
    <s v="VETF-S"/>
    <s v="AOP31589.1"/>
    <s v="PROT:AOP31589.1"/>
    <s v="morph"/>
    <s v="Skunkpox virus"/>
    <x v="34"/>
    <x v="34"/>
    <n v="45"/>
    <x v="0"/>
  </r>
  <r>
    <n v="14"/>
    <x v="13"/>
    <s v="VETF-S"/>
    <s v="ABD97679.1"/>
    <s v="PROT:ABD97679.1"/>
    <s v="70kDa small subunit of early transcription initiation factor VETF"/>
    <s v="Taterapox virus"/>
    <x v="35"/>
    <x v="35"/>
    <n v="50"/>
    <x v="0"/>
  </r>
  <r>
    <n v="14"/>
    <x v="13"/>
    <s v="VETF-S"/>
    <s v="AAO89390.1"/>
    <s v="PROT:AAO89390.1"/>
    <s v="70kDa small subunit of early gene transcription factor VETF"/>
    <s v="Vaccinia virus WR"/>
    <x v="36"/>
    <x v="36"/>
    <n v="52"/>
    <x v="0"/>
  </r>
  <r>
    <n v="14"/>
    <x v="13"/>
    <s v="VETF-S"/>
    <s v="CAA49037.1"/>
    <s v="PROT:CAA49037.1"/>
    <s v="F6R"/>
    <s v="Variola virus major"/>
    <x v="37"/>
    <x v="37"/>
    <n v="53"/>
    <x v="0"/>
  </r>
  <r>
    <n v="14"/>
    <x v="13"/>
    <s v="VETF-S"/>
    <s v="CAB54696.1"/>
    <s v="PROT:CAB54696.1"/>
    <s v="F6R protein"/>
    <s v="Variola minor virus"/>
    <x v="38"/>
    <x v="38"/>
    <n v="54"/>
    <x v="0"/>
  </r>
  <r>
    <n v="14"/>
    <x v="13"/>
    <s v="VETF-S"/>
    <s v="AOP31800.1"/>
    <s v="PROT:AOP31800.1"/>
    <s v="morph"/>
    <s v="Volepox virus"/>
    <x v="39"/>
    <x v="39"/>
    <n v="55"/>
    <x v="0"/>
  </r>
  <r>
    <n v="14"/>
    <x v="13"/>
    <s v="VETF-S"/>
    <s v="ASC55571.1"/>
    <s v="PROT:ASC55571.1"/>
    <s v="putative early transcription factor VETF-like protein"/>
    <s v="Seal parapoxvirus"/>
    <x v="40"/>
    <x v="40"/>
    <n v="22"/>
    <x v="0"/>
  </r>
  <r>
    <n v="14"/>
    <x v="13"/>
    <s v="VETF-S"/>
    <s v="AAR98426.1"/>
    <s v="PROT:AAR98426.1"/>
    <s v="ORF069 early transcription factor VETFs"/>
    <s v="Bovine papular stomatitis virus"/>
    <x v="41"/>
    <x v="41"/>
    <n v="6"/>
    <x v="0"/>
  </r>
  <r>
    <n v="14"/>
    <x v="13"/>
    <s v="VETF-S"/>
    <s v="AAR98294.1"/>
    <s v="PROT:AAR98294.1"/>
    <s v="ORF069 early transcription factor VETFs"/>
    <s v="Orf virus strain OV-SA00"/>
    <x v="42"/>
    <x v="42"/>
    <n v="35"/>
    <x v="0"/>
  </r>
  <r>
    <n v="14"/>
    <x v="13"/>
    <s v="VETF-S"/>
    <s v="ABA00586.1"/>
    <s v="PROT:ABA00586.1"/>
    <s v="early transcription factor"/>
    <s v="Orf virus strain NZ2"/>
    <x v="43"/>
    <x v="43"/>
    <n v="36"/>
    <x v="1"/>
  </r>
  <r>
    <n v="14"/>
    <x v="13"/>
    <s v="VETF-S"/>
    <s v="AIZ77320.1"/>
    <s v="PROT:AIZ77320.1"/>
    <s v="putative early transcription factor VETF"/>
    <s v="Parapoxvirus red deer/HL953"/>
    <x v="44"/>
    <x v="44"/>
    <n v="42"/>
    <x v="0"/>
  </r>
  <r>
    <n v="14"/>
    <x v="13"/>
    <s v="VETF-S"/>
    <s v="ADC53970.1"/>
    <s v="PROT:ADC53970.1"/>
    <s v="early transcription factor"/>
    <s v="Pseudocowpox virus"/>
    <x v="45"/>
    <x v="45"/>
    <n v="37"/>
    <x v="0"/>
  </r>
  <r>
    <n v="14"/>
    <x v="13"/>
    <s v="VETF-S"/>
    <s v="AAL69820.1"/>
    <s v="PROT:AAL69820.1"/>
    <s v="SPV081 putative early transcription factor VETFS"/>
    <s v="Swinepox virus"/>
    <x v="46"/>
    <x v="46"/>
    <n v="49"/>
    <x v="0"/>
  </r>
  <r>
    <n v="14"/>
    <x v="13"/>
    <s v="VETF-S"/>
    <s v="CAC21322.1"/>
    <s v="PROT:CAC21322.1"/>
    <s v="84R protein"/>
    <s v="Yaba-like disease virus"/>
    <x v="47"/>
    <x v="47"/>
    <n v="58"/>
    <x v="0"/>
  </r>
  <r>
    <n v="14"/>
    <x v="13"/>
    <s v="VETF-S"/>
    <s v="AAR07440.1"/>
    <s v="PROT:AAR07440.1"/>
    <s v="84R"/>
    <s v="Yaba monkey tumor virus"/>
    <x v="48"/>
    <x v="48"/>
    <n v="59"/>
    <x v="0"/>
  </r>
  <r>
    <n v="14"/>
    <x v="13"/>
    <s v="VETF-S"/>
    <s v="AAC97658.1"/>
    <s v="PROT:AAC97658.1"/>
    <s v="ORF MSV113 putative early transcription factor small subunit VETF-S homolog (vaccinia D6R), similar to SW:P04308"/>
    <s v="Melanoplus sanguinipes entomopoxvirus 'O'"/>
    <x v="49"/>
    <x v="49"/>
    <n v="30"/>
    <x v="0"/>
  </r>
  <r>
    <n v="14"/>
    <x v="13"/>
    <s v="VETF-S"/>
    <s v="BAO49470.1"/>
    <s v="PROT:BAO49470.1"/>
    <s v="putative early transcription factor small subuni"/>
    <s v="Anomala cuprea entomopoxvirus"/>
    <x v="50"/>
    <x v="50"/>
    <n v="2"/>
    <x v="0"/>
  </r>
  <r>
    <n v="14"/>
    <x v="13"/>
    <s v="VETF-S"/>
    <s v="CCU55480.1"/>
    <s v="PROT:CCU55480.1"/>
    <s v="morph, VETF-s early transcription factor small"/>
    <s v="Adoxophyes honmai entomopoxvirus 'L'"/>
    <x v="51"/>
    <x v="51"/>
    <n v="3"/>
    <x v="0"/>
  </r>
  <r>
    <n v="14"/>
    <x v="13"/>
    <s v="VETF-S"/>
    <s v="AAG02880.1"/>
    <s v="PROT:AAG02880.1"/>
    <s v="AMV174"/>
    <s v="Amsacta moorei entomopoxvirus"/>
    <x v="52"/>
    <x v="52"/>
    <n v="5"/>
    <x v="0"/>
  </r>
  <r>
    <n v="14"/>
    <x v="13"/>
    <s v="VETF-S"/>
    <s v="CCU55785.1"/>
    <s v="PROT:CCU55785.1"/>
    <s v="morph, VETF-s early transcription factor small"/>
    <s v="Choristoneura biennis entomopoxvirus"/>
    <x v="53"/>
    <x v="53"/>
    <n v="10"/>
    <x v="0"/>
  </r>
  <r>
    <n v="14"/>
    <x v="13"/>
    <s v="VETF-S"/>
    <s v="CCU56087.1"/>
    <s v="PROT:CCU56087.1"/>
    <s v="morph, VETF-s early transcription factor small"/>
    <s v="Choristoneura rosaceana entomopoxvirus 'L'"/>
    <x v="54"/>
    <x v="54"/>
    <n v="14"/>
    <x v="0"/>
  </r>
  <r>
    <n v="14"/>
    <x v="13"/>
    <s v="VETF-S"/>
    <s v="CCU56412.1"/>
    <s v="PROT:CCU56412.1"/>
    <s v="morph, VETF-s early transcription factor small"/>
    <s v="Mythimna separata entomopoxvirus 'L'"/>
    <x v="55"/>
    <x v="55"/>
    <n v="31"/>
    <x v="0"/>
  </r>
  <r>
    <n v="14"/>
    <x v="13"/>
    <s v="VETF-S"/>
    <s v="NP_659656.1"/>
    <s v="PROT:NP_659656.1"/>
    <s v="Early transcription factor VETFs"/>
    <s v="Sheeppox virus"/>
    <x v="56"/>
    <x v="56"/>
    <n v="44"/>
    <x v="0"/>
  </r>
  <r>
    <n v="14"/>
    <x v="13"/>
    <s v="VETF-S"/>
    <s v="YP_001293275.1"/>
    <s v="PROT:YP_001293275.1"/>
    <s v="hypothetical protein GTPV_gp080"/>
    <s v="Goatpox virus Pellor"/>
    <x v="57"/>
    <x v="57"/>
    <n v="23"/>
    <x v="0"/>
  </r>
  <r>
    <n v="16"/>
    <x v="14"/>
    <s v="polyA polymerase large"/>
    <s v="ATI21138.1"/>
    <s v="PROT:ATI21138.1"/>
    <s v="polymerase catalytic subunit VP55"/>
    <s v="Eastern grey kangaroopox virus"/>
    <x v="0"/>
    <x v="0"/>
    <n v="18"/>
    <x v="0"/>
  </r>
  <r>
    <n v="16"/>
    <x v="14"/>
    <s v="polyA polymerase large"/>
    <s v="AWU47070.1"/>
    <s v="PROT:AWU47070.1"/>
    <s v="poly polymerase catalytic subuni"/>
    <s v="Sea otter poxvirus"/>
    <x v="1"/>
    <x v="1"/>
    <n v="47"/>
    <x v="0"/>
  </r>
  <r>
    <n v="16"/>
    <x v="14"/>
    <s v="polyA polymerase large"/>
    <s v="APG58240.1"/>
    <s v="PROT:APG58240.1"/>
    <s v="polyA polymerase catalytic subuni"/>
    <s v="BeAn 58058 virus"/>
    <x v="2"/>
    <x v="2"/>
    <n v="7"/>
    <x v="1"/>
  </r>
  <r>
    <n v="16"/>
    <x v="14"/>
    <s v="polyA polymerase large"/>
    <s v="ADT91067.1"/>
    <s v="PROT:ADT91067.1"/>
    <s v="polyA polymerase large subuni"/>
    <s v="Cotia virus SPAn232"/>
    <x v="3"/>
    <x v="3"/>
    <n v="12"/>
    <x v="0"/>
  </r>
  <r>
    <n v="16"/>
    <x v="14"/>
    <s v="polyA polymerase large"/>
    <s v="ANS71113.1"/>
    <s v="PROT:ANS71113.1"/>
    <s v="poly(a) polymerase catalytic subuni"/>
    <s v="Pteropox virus"/>
    <x v="4"/>
    <x v="4"/>
    <n v="40"/>
    <x v="0"/>
  </r>
  <r>
    <n v="16"/>
    <x v="14"/>
    <s v="polyA polymerase large"/>
    <s v="AKR04194.1"/>
    <s v="PROT:AKR04194.1"/>
    <s v="poly(A) polymerase catalytic subuni"/>
    <s v="Salmon gill poxvirus"/>
    <x v="5"/>
    <x v="5"/>
    <n v="46"/>
    <x v="0"/>
  </r>
  <r>
    <n v="16"/>
    <x v="14"/>
    <s v="polyA polymerase large"/>
    <s v="CCD83206.1"/>
    <s v="PROT:CCD83206.1"/>
    <s v="poly(A) polymerase catalytic subuni"/>
    <s v="Squirrelpox virus"/>
    <x v="6"/>
    <x v="6"/>
    <n v="48"/>
    <x v="0"/>
  </r>
  <r>
    <n v="16"/>
    <x v="14"/>
    <s v="polyA polymerase large"/>
    <s v="ASK51236.1"/>
    <s v="PROT:ASK51236.1"/>
    <s v="Poly (A) polymerase catalytic subuni"/>
    <s v="Eptesipox virus"/>
    <x v="7"/>
    <x v="7"/>
    <n v="19"/>
    <x v="0"/>
  </r>
  <r>
    <n v="16"/>
    <x v="14"/>
    <s v="polyA polymerase large"/>
    <s v="AUD40206.1"/>
    <s v="PROT:AUD40206.1"/>
    <s v="polyA polymerase large subuni"/>
    <s v="Flamingopox virus FGPVKD09"/>
    <x v="8"/>
    <x v="8"/>
    <n v="20"/>
    <x v="0"/>
  </r>
  <r>
    <n v="16"/>
    <x v="14"/>
    <s v="polyA polymerase large"/>
    <s v="AID46841.1"/>
    <s v="PROT:AID46841.1"/>
    <s v="polyA polymerase large subunit PAP-L"/>
    <s v="Penguinpox virus"/>
    <x v="9"/>
    <x v="9"/>
    <n v="39"/>
    <x v="0"/>
  </r>
  <r>
    <n v="16"/>
    <x v="14"/>
    <s v="polyA polymerase large"/>
    <s v="AID46612.1"/>
    <s v="PROT:AID46612.1"/>
    <s v="polyA polymerase large subunit PAP-L"/>
    <s v="Pigeonpox virus"/>
    <x v="10"/>
    <x v="10"/>
    <n v="38"/>
    <x v="0"/>
  </r>
  <r>
    <n v="16"/>
    <x v="14"/>
    <s v="polyA polymerase large"/>
    <s v="ALA62447.1"/>
    <s v="PROT:ALA62447.1"/>
    <s v="poly(A) polymerase large subunit PAP-L"/>
    <s v="Turkeypox virus"/>
    <x v="11"/>
    <x v="11"/>
    <n v="51"/>
    <x v="0"/>
  </r>
  <r>
    <n v="16"/>
    <x v="14"/>
    <s v="polyA polymerase large"/>
    <s v="AAR83475.1"/>
    <s v="PROT:AAR83475.1"/>
    <s v="CNPV129 poly(A) polymerase large subunit PAPL"/>
    <s v="Canarypox virus"/>
    <x v="12"/>
    <x v="12"/>
    <n v="11"/>
    <x v="0"/>
  </r>
  <r>
    <n v="16"/>
    <x v="14"/>
    <s v="polyA polymerase large"/>
    <s v="AAF44446.1"/>
    <s v="PROT:AAF44446.1"/>
    <s v="ORF FPV102 Poly(A) polymerase large subunit, PAP-L"/>
    <s v="Fowlpox virus"/>
    <x v="13"/>
    <x v="13"/>
    <n v="21"/>
    <x v="0"/>
  </r>
  <r>
    <n v="16"/>
    <x v="14"/>
    <s v="polyA polymerase large"/>
    <s v="AAK84993.1"/>
    <s v="PROT:AAK84993.1"/>
    <s v="LSDV032 poly(A) polymerase large subuni"/>
    <s v="Lumpy skin disease virus NI-2490"/>
    <x v="14"/>
    <x v="14"/>
    <n v="25"/>
    <x v="0"/>
  </r>
  <r>
    <n v="16"/>
    <x v="14"/>
    <s v="polyA polymerase large"/>
    <s v="AST09248.1"/>
    <s v="PROT:AST09248.1"/>
    <s v="VP55"/>
    <s v="Murmansk poxvirus"/>
    <x v="15"/>
    <x v="15"/>
    <n v="27"/>
    <x v="0"/>
  </r>
  <r>
    <n v="16"/>
    <x v="14"/>
    <s v="polyA polymerase large"/>
    <s v="AEN03624.1"/>
    <s v="PROT:AEN03624.1"/>
    <s v="VP55"/>
    <s v="Yokapox virus"/>
    <x v="16"/>
    <x v="16"/>
    <n v="57"/>
    <x v="0"/>
  </r>
  <r>
    <n v="16"/>
    <x v="14"/>
    <s v="polyA polymerase large"/>
    <s v="ABI99196.1"/>
    <s v="PROT:ABI99196.1"/>
    <s v="poly(A) polymerase large subuni"/>
    <s v="Deerpox virus W-848-83"/>
    <x v="17"/>
    <x v="17"/>
    <n v="15"/>
    <x v="0"/>
  </r>
  <r>
    <n v="16"/>
    <x v="14"/>
    <s v="polyA polymerase large"/>
    <s v="ABJ08945.1"/>
    <s v="PROT:ABJ08945.1"/>
    <s v="poly(A) polymerase large subuni"/>
    <s v="Nile crocodilepox virus"/>
    <x v="18"/>
    <x v="18"/>
    <n v="34"/>
    <x v="0"/>
  </r>
  <r>
    <n v="16"/>
    <x v="14"/>
    <s v="polyA polymerase large"/>
    <s v="AAF14915.1"/>
    <s v="PROT:AAF14915.1"/>
    <s v="m27L"/>
    <s v="Myxoma virus strain Lausanne"/>
    <x v="19"/>
    <x v="19"/>
    <n v="32"/>
    <x v="0"/>
  </r>
  <r>
    <n v="16"/>
    <x v="14"/>
    <s v="polyA polymerase large"/>
    <s v="AFU77292.1"/>
    <s v="PROT:AFU77292.1"/>
    <s v="m27L"/>
    <s v="Myxoma virus isolate BRK 897"/>
    <x v="20"/>
    <x v="20"/>
    <n v="33"/>
    <x v="1"/>
  </r>
  <r>
    <n v="16"/>
    <x v="14"/>
    <s v="polyA polymerase large"/>
    <s v="AAF17910.1"/>
    <s v="PROT:AAF17910.1"/>
    <s v="gp027L"/>
    <s v="Rabbit fibroma virus"/>
    <x v="21"/>
    <x v="21"/>
    <n v="43"/>
    <x v="0"/>
  </r>
  <r>
    <n v="16"/>
    <x v="14"/>
    <s v="polyA polymerase large"/>
    <s v="AAC55159.1"/>
    <s v="PROT:AAC55159.1"/>
    <s v="MC031L"/>
    <s v="Molluscum contagiosum virus subtype 1"/>
    <x v="22"/>
    <x v="22"/>
    <n v="26"/>
    <x v="0"/>
  </r>
  <r>
    <n v="16"/>
    <x v="14"/>
    <s v="polyA polymerase large"/>
    <s v="AYN64624.1"/>
    <s v="PROT:AYN64624.1"/>
    <s v="putative E1L protein"/>
    <s v="Orthopoxvirus Abatino"/>
    <x v="23"/>
    <x v="23"/>
    <n v="1"/>
    <x v="0"/>
  </r>
  <r>
    <n v="16"/>
    <x v="14"/>
    <s v="polyA polymerase large"/>
    <s v="AXN74848.1"/>
    <s v="PROT:AXN74848.1"/>
    <s v="poly(A) polymerase large subuni"/>
    <s v="Akhmeta virus"/>
    <x v="24"/>
    <x v="24"/>
    <n v="4"/>
    <x v="0"/>
  </r>
  <r>
    <n v="16"/>
    <x v="14"/>
    <s v="polyA polymerase large"/>
    <s v="ABH08161.1"/>
    <s v="PROT:ABH08161.1"/>
    <s v="HSPV058"/>
    <s v="Horsepox virus"/>
    <x v="25"/>
    <x v="25"/>
    <n v="24"/>
    <x v="0"/>
  </r>
  <r>
    <n v="16"/>
    <x v="14"/>
    <s v="polyA polymerase large"/>
    <s v="AAG37515.1"/>
    <s v="PROT:AAG37515.1"/>
    <s v="CMP53L"/>
    <s v="Camelpox virus CMS"/>
    <x v="26"/>
    <x v="26"/>
    <n v="9"/>
    <x v="1"/>
  </r>
  <r>
    <n v="16"/>
    <x v="14"/>
    <s v="polyA polymerase large"/>
    <s v="AAL73760.1"/>
    <s v="PROT:AAL73760.1"/>
    <s v="poly(A) polymerase large subunit PAPL"/>
    <s v="Camelpox virus M-96"/>
    <x v="27"/>
    <x v="27"/>
    <n v="8"/>
    <x v="0"/>
  </r>
  <r>
    <n v="16"/>
    <x v="14"/>
    <s v="polyA polymerase large"/>
    <s v="AAM13512.1"/>
    <s v="PROT:AAM13512.1"/>
    <s v="CPXV067 protein"/>
    <s v="Cowpox virus"/>
    <x v="28"/>
    <x v="28"/>
    <n v="13"/>
    <x v="0"/>
  </r>
  <r>
    <n v="16"/>
    <x v="14"/>
    <s v="polyA polymerase large"/>
    <s v="AAM92345.1"/>
    <s v="PROT:AAM92345.1"/>
    <s v="EVM041"/>
    <s v="Ectromelia virus"/>
    <x v="29"/>
    <x v="29"/>
    <n v="16"/>
    <x v="0"/>
  </r>
  <r>
    <n v="16"/>
    <x v="14"/>
    <s v="polyA polymerase large"/>
    <s v="AFH54603.1"/>
    <s v="PROT:AFH54603.1"/>
    <s v="poly(a) polymerase large subuni"/>
    <s v="Ectromelia virus ERPV"/>
    <x v="30"/>
    <x v="30"/>
    <n v="17"/>
    <x v="1"/>
  </r>
  <r>
    <n v="16"/>
    <x v="14"/>
    <s v="polyA polymerase large"/>
    <s v="AAL40508.1"/>
    <s v="PROT:AAL40508.1"/>
    <s v="F1L"/>
    <s v="Monkeypox virus Zaire-96-I-16 (clade I)"/>
    <x v="31"/>
    <x v="31"/>
    <n v="29"/>
    <x v="0"/>
  </r>
  <r>
    <n v="16"/>
    <x v="14"/>
    <s v="polyA polymerase large"/>
    <s v="AAX09145.1"/>
    <s v="PROT:AAX09145.1"/>
    <s v="MPXV-COP-044"/>
    <s v="monkeypox virus strain cOP-58 (clade IIa)"/>
    <x v="32"/>
    <x v="32"/>
    <n v="28"/>
    <x v="0"/>
  </r>
  <r>
    <n v="16"/>
    <x v="14"/>
    <s v="polyA polymerase large"/>
    <s v="AKJ93685.1"/>
    <s v="PROT:AKJ93685.1"/>
    <s v="Poly-A polymerase catalytic subunit VP55 protein"/>
    <s v="Raccoonpox virus"/>
    <x v="33"/>
    <x v="33"/>
    <n v="41"/>
    <x v="0"/>
  </r>
  <r>
    <n v="16"/>
    <x v="14"/>
    <s v="polyA polymerase large"/>
    <s v="AOP31534.1"/>
    <s v="PROT:AOP31534.1"/>
    <s v="poly polymerase catalytic subuni"/>
    <s v="Skunkpox virus"/>
    <x v="34"/>
    <x v="34"/>
    <n v="45"/>
    <x v="0"/>
  </r>
  <r>
    <n v="16"/>
    <x v="14"/>
    <s v="polyA polymerase large"/>
    <s v="ABD97624.1"/>
    <s v="PROT:ABD97624.1"/>
    <s v="poly-A polymerase catalytic subunit VP55"/>
    <s v="Taterapox virus"/>
    <x v="35"/>
    <x v="35"/>
    <n v="50"/>
    <x v="0"/>
  </r>
  <r>
    <n v="16"/>
    <x v="14"/>
    <s v="polyA polymerase large"/>
    <s v="AAO89336.1"/>
    <s v="PROT:AAO89336.1"/>
    <s v="poly-A polymerase catalytic subunit VP55"/>
    <s v="Vaccinia virus WR"/>
    <x v="36"/>
    <x v="36"/>
    <n v="52"/>
    <x v="0"/>
  </r>
  <r>
    <n v="16"/>
    <x v="14"/>
    <s v="polyA polymerase large"/>
    <s v="CAA48983.1"/>
    <s v="PROT:CAA48983.1"/>
    <s v="E1L"/>
    <s v="Variola virus major"/>
    <x v="37"/>
    <x v="37"/>
    <n v="53"/>
    <x v="0"/>
  </r>
  <r>
    <n v="16"/>
    <x v="14"/>
    <s v="polyA polymerase large"/>
    <s v="CAB54642.1"/>
    <s v="PROT:CAB54642.1"/>
    <s v="C1L protein"/>
    <s v="Variola minor virus"/>
    <x v="38"/>
    <x v="38"/>
    <n v="54"/>
    <x v="0"/>
  </r>
  <r>
    <n v="16"/>
    <x v="14"/>
    <s v="polyA polymerase large"/>
    <s v="AOP31745.1"/>
    <s v="PROT:AOP31745.1"/>
    <s v="poly polymerase catalytic subuni"/>
    <s v="Volepox virus"/>
    <x v="39"/>
    <x v="39"/>
    <n v="55"/>
    <x v="0"/>
  </r>
  <r>
    <n v="16"/>
    <x v="14"/>
    <s v="polyA polymerase large"/>
    <s v="ASC55617.1"/>
    <s v="PROT:ASC55617.1"/>
    <s v="poly(A) polymerase large subunit-like protein"/>
    <s v="Seal parapoxvirus"/>
    <x v="40"/>
    <x v="40"/>
    <n v="22"/>
    <x v="0"/>
  </r>
  <r>
    <n v="16"/>
    <x v="14"/>
    <s v="polyA polymerase large"/>
    <s v="AAR98375.1"/>
    <s v="PROT:AAR98375.1"/>
    <s v="ORF018 poly-A polymerase catalytic subunit PAPL"/>
    <s v="Bovine papular stomatitis virus"/>
    <x v="41"/>
    <x v="41"/>
    <n v="6"/>
    <x v="0"/>
  </r>
  <r>
    <n v="16"/>
    <x v="14"/>
    <s v="polyA polymerase large"/>
    <s v="AAR98243.1"/>
    <s v="PROT:AAR98243.1"/>
    <s v="ORF018 poly-A polymerase catalytic subunit PAPL"/>
    <s v="Orf virus strain OV-SA00"/>
    <x v="42"/>
    <x v="42"/>
    <n v="35"/>
    <x v="0"/>
  </r>
  <r>
    <n v="16"/>
    <x v="14"/>
    <s v="polyA polymerase large"/>
    <s v="ABA00535.1"/>
    <s v="PROT:ABA00535.1"/>
    <s v="poly-A polymerase catalytic subuni"/>
    <s v="Orf virus strain NZ2"/>
    <x v="43"/>
    <x v="43"/>
    <n v="36"/>
    <x v="1"/>
  </r>
  <r>
    <n v="16"/>
    <x v="14"/>
    <s v="polyA polymerase large"/>
    <s v="AIZ77269.1"/>
    <s v="PROT:AIZ77269.1"/>
    <s v="putative poly-A polymerase catalytic subunit PAPL"/>
    <s v="Parapoxvirus red deer/HL953"/>
    <x v="44"/>
    <x v="44"/>
    <n v="42"/>
    <x v="0"/>
  </r>
  <r>
    <n v="16"/>
    <x v="14"/>
    <s v="polyA polymerase large"/>
    <s v="ADC53919.1"/>
    <s v="PROT:ADC53919.1"/>
    <s v="poly(A)-polymerase subuni"/>
    <s v="Pseudocowpox virus"/>
    <x v="45"/>
    <x v="45"/>
    <n v="37"/>
    <x v="0"/>
  </r>
  <r>
    <n v="16"/>
    <x v="14"/>
    <s v="polyA polymerase large"/>
    <s v="AAL69769.1"/>
    <s v="PROT:AAL69769.1"/>
    <s v="SPV030 poly(A) polymerase lage subunit PAPL"/>
    <s v="Swinepox virus"/>
    <x v="46"/>
    <x v="46"/>
    <n v="49"/>
    <x v="0"/>
  </r>
  <r>
    <n v="16"/>
    <x v="14"/>
    <s v="polyA polymerase large"/>
    <s v="CAC21270.1"/>
    <s v="PROT:CAC21270.1"/>
    <s v="32L protein"/>
    <s v="Yaba-like disease virus"/>
    <x v="47"/>
    <x v="47"/>
    <n v="58"/>
    <x v="0"/>
  </r>
  <r>
    <n v="16"/>
    <x v="14"/>
    <s v="polyA polymerase large"/>
    <s v="AAR07389.1"/>
    <s v="PROT:AAR07389.1"/>
    <s v="32L"/>
    <s v="Yaba monkey tumor virus"/>
    <x v="48"/>
    <x v="48"/>
    <n v="59"/>
    <x v="0"/>
  </r>
  <r>
    <n v="16"/>
    <x v="14"/>
    <s v="polyA polymerase large"/>
    <s v="AAC97789.1"/>
    <s v="PROT:AAC97789.1"/>
    <s v="ORF MSV143 putative poly(A) polymerase large subunit PAP-L homolog (vaccinia E1L), similar to SW:P33809"/>
    <s v="Melanoplus sanguinipes entomopoxvirus 'O'"/>
    <x v="49"/>
    <x v="49"/>
    <n v="30"/>
    <x v="0"/>
  </r>
  <r>
    <n v="16"/>
    <x v="14"/>
    <s v="polyA polymerase large"/>
    <s v="BAO49506.1"/>
    <s v="PROT:BAO49506.1"/>
    <s v="putative poly(A) polymerase large subuni"/>
    <s v="Anomala cuprea entomopoxvirus"/>
    <x v="50"/>
    <x v="50"/>
    <n v="2"/>
    <x v="0"/>
  </r>
  <r>
    <n v="16"/>
    <x v="14"/>
    <s v="polyA polymerase large"/>
    <s v="CCU55359.1"/>
    <s v="PROT:CCU55359.1"/>
    <s v="poly(A) polymerase catalytic subunit VP55"/>
    <s v="Adoxophyes honmai entomopoxvirus 'L'"/>
    <x v="51"/>
    <x v="51"/>
    <n v="3"/>
    <x v="0"/>
  </r>
  <r>
    <n v="16"/>
    <x v="14"/>
    <s v="polyA polymerase large"/>
    <s v="AAG02744.1"/>
    <s v="PROT:AAG02744.1"/>
    <s v="AMV038"/>
    <s v="Amsacta moorei entomopoxvirus"/>
    <x v="52"/>
    <x v="52"/>
    <n v="5"/>
    <x v="0"/>
  </r>
  <r>
    <n v="16"/>
    <x v="14"/>
    <s v="polyA polymerase large"/>
    <s v="CCU55653.1"/>
    <s v="PROT:CCU55653.1"/>
    <s v="poly(A) polymerase catalytic subunit VP55"/>
    <s v="Choristoneura biennis entomopoxvirus"/>
    <x v="53"/>
    <x v="53"/>
    <n v="10"/>
    <x v="0"/>
  </r>
  <r>
    <n v="16"/>
    <x v="14"/>
    <s v="polyA polymerase large"/>
    <s v="CCU55966.1"/>
    <s v="PROT:CCU55966.1"/>
    <s v="poly(A) polymerase catalytic subunit VP55"/>
    <s v="Choristoneura rosaceana entomopoxvirus 'L'"/>
    <x v="54"/>
    <x v="54"/>
    <n v="14"/>
    <x v="0"/>
  </r>
  <r>
    <n v="16"/>
    <x v="14"/>
    <s v="polyA polymerase large"/>
    <s v="CCU56262.1"/>
    <s v="PROT:CCU56262.1"/>
    <s v="poly(A) polymerase catalytic subunit VP55"/>
    <s v="Mythimna separata entomopoxvirus 'L'"/>
    <x v="55"/>
    <x v="55"/>
    <n v="31"/>
    <x v="0"/>
  </r>
  <r>
    <n v="16"/>
    <x v="14"/>
    <s v="polyA polymerase large"/>
    <s v="NP_659604.1"/>
    <s v="PROT:NP_659604.1"/>
    <s v="Poly(A) polymerase large subuni"/>
    <s v="Sheeppox virus"/>
    <x v="56"/>
    <x v="56"/>
    <n v="44"/>
    <x v="0"/>
  </r>
  <r>
    <n v="16"/>
    <x v="14"/>
    <s v="polyA polymerase large"/>
    <s v="YP_001293223.1"/>
    <s v="PROT:YP_001293223.1"/>
    <s v="hypothetical protein GTPV_gp028"/>
    <s v="Goatpox virus Pellor"/>
    <x v="57"/>
    <x v="57"/>
    <n v="23"/>
    <x v="0"/>
  </r>
  <r>
    <n v="15"/>
    <x v="15"/>
    <s v="sulfhydryl oxidase"/>
    <s v="ATI21146.1"/>
    <s v="PROT:ATI21146.1"/>
    <s v="sulfhydryl oxidase"/>
    <s v="Eastern grey kangaroopox virus"/>
    <x v="0"/>
    <x v="0"/>
    <n v="18"/>
    <x v="0"/>
  </r>
  <r>
    <n v="15"/>
    <x v="15"/>
    <s v="sulfhydryl oxidase"/>
    <s v="AWU47083.1"/>
    <s v="PROT:AWU47083.1"/>
    <s v="Sulfhydryl oxidase"/>
    <s v="Sea otter poxvirus"/>
    <x v="1"/>
    <x v="1"/>
    <n v="47"/>
    <x v="0"/>
  </r>
  <r>
    <n v="15"/>
    <x v="15"/>
    <s v="sulfhydryl oxidase"/>
    <s v="APG58250.1"/>
    <s v="PROT:APG58250.1"/>
    <s v="putative FAD-linked sulfhydryl oxidase E10"/>
    <s v="BeAn 58058 virus"/>
    <x v="2"/>
    <x v="2"/>
    <n v="7"/>
    <x v="1"/>
  </r>
  <r>
    <n v="15"/>
    <x v="15"/>
    <s v="sulfhydryl oxidase"/>
    <s v="ADT91073.1"/>
    <s v="PROT:ADT91073.1"/>
    <s v="sulfhydryl oxidase"/>
    <s v="Cotia virus SPAn232"/>
    <x v="3"/>
    <x v="3"/>
    <n v="12"/>
    <x v="0"/>
  </r>
  <r>
    <n v="15"/>
    <x v="15"/>
    <s v="sulfhydryl oxidase"/>
    <s v="ANS71127.1"/>
    <s v="PROT:ANS71127.1"/>
    <s v="sulfhydryl oxidase"/>
    <s v="Pteropox virus"/>
    <x v="4"/>
    <x v="4"/>
    <n v="40"/>
    <x v="0"/>
  </r>
  <r>
    <n v="15"/>
    <x v="15"/>
    <s v="sulfhydryl oxidase"/>
    <s v="AKR04201.1"/>
    <s v="PROT:AKR04201.1"/>
    <s v="disulfide (thiol) oxidoreductase"/>
    <s v="Salmon gill poxvirus"/>
    <x v="5"/>
    <x v="5"/>
    <n v="46"/>
    <x v="0"/>
  </r>
  <r>
    <n v="15"/>
    <x v="15"/>
    <s v="sulfhydryl oxidase"/>
    <s v="CCD83216.1"/>
    <s v="PROT:CCD83216.1"/>
    <s v="putative redox protein"/>
    <s v="Squirrelpox virus"/>
    <x v="6"/>
    <x v="6"/>
    <n v="48"/>
    <x v="0"/>
  </r>
  <r>
    <n v="15"/>
    <x v="15"/>
    <s v="sulfhydryl oxidase"/>
    <s v="ASK51243.1"/>
    <s v="PROT:ASK51243.1"/>
    <s v="Sulfhydryl oxidase (FAD-linked)"/>
    <s v="Eptesipox virus"/>
    <x v="7"/>
    <x v="7"/>
    <n v="19"/>
    <x v="0"/>
  </r>
  <r>
    <n v="15"/>
    <x v="15"/>
    <s v="sulfhydryl oxidase"/>
    <s v="AUD40197.1"/>
    <s v="PROT:AUD40197.1"/>
    <s v="sulfhydryl oxidase"/>
    <s v="Flamingopox virus FGPVKD09"/>
    <x v="8"/>
    <x v="8"/>
    <n v="20"/>
    <x v="0"/>
  </r>
  <r>
    <n v="15"/>
    <x v="15"/>
    <s v="sulfhydryl oxidase"/>
    <s v="AID46832.1"/>
    <s v="PROT:AID46832.1"/>
    <s v="sulfhydryl oxidase ERV1"/>
    <s v="Penguinpox virus"/>
    <x v="9"/>
    <x v="9"/>
    <n v="39"/>
    <x v="0"/>
  </r>
  <r>
    <n v="15"/>
    <x v="15"/>
    <s v="sulfhydryl oxidase"/>
    <s v="AID46603.1"/>
    <s v="PROT:AID46603.1"/>
    <s v="sulfhydryl oxidase ERV1"/>
    <s v="Pigeonpox virus"/>
    <x v="10"/>
    <x v="10"/>
    <n v="38"/>
    <x v="0"/>
  </r>
  <r>
    <n v="15"/>
    <x v="15"/>
    <s v="sulfhydryl oxidase"/>
    <s v="ALA62441.1"/>
    <s v="PROT:ALA62441.1"/>
    <s v="IMV redox protein"/>
    <s v="Turkeypox virus"/>
    <x v="11"/>
    <x v="11"/>
    <n v="51"/>
    <x v="0"/>
  </r>
  <r>
    <n v="15"/>
    <x v="15"/>
    <s v="sulfhydryl oxidase"/>
    <s v="AAR83466.1"/>
    <s v="PROT:AAR83466.1"/>
    <s v="CNPV120 putative IMV redox protein, virus assembly"/>
    <s v="Canarypox virus"/>
    <x v="12"/>
    <x v="12"/>
    <n v="11"/>
    <x v="0"/>
  </r>
  <r>
    <n v="15"/>
    <x v="15"/>
    <s v="sulfhydryl oxidase"/>
    <s v="AAF44437.1"/>
    <s v="PROT:AAF44437.1"/>
    <s v="ORF FPV093"/>
    <s v="Fowlpox virus"/>
    <x v="13"/>
    <x v="13"/>
    <n v="21"/>
    <x v="0"/>
  </r>
  <r>
    <n v="15"/>
    <x v="15"/>
    <s v="sulfhydryl oxidase"/>
    <s v="AAK85001.1"/>
    <s v="PROT:AAK85001.1"/>
    <s v="LSDV040 putative redox protein"/>
    <s v="Lumpy skin disease virus NI-2490"/>
    <x v="14"/>
    <x v="14"/>
    <n v="25"/>
    <x v="0"/>
  </r>
  <r>
    <n v="15"/>
    <x v="15"/>
    <s v="sulfhydryl oxidase"/>
    <s v="AST09256.1"/>
    <s v="PROT:AST09256.1"/>
    <s v="sulfhydryl oxidase"/>
    <s v="Murmansk poxvirus"/>
    <x v="15"/>
    <x v="15"/>
    <n v="27"/>
    <x v="0"/>
  </r>
  <r>
    <n v="15"/>
    <x v="15"/>
    <s v="sulfhydryl oxidase"/>
    <s v="AEN03633.1"/>
    <s v="PROT:AEN03633.1"/>
    <s v="sulfhydryl oxidase"/>
    <s v="Yokapox virus"/>
    <x v="16"/>
    <x v="16"/>
    <n v="57"/>
    <x v="0"/>
  </r>
  <r>
    <n v="15"/>
    <x v="15"/>
    <s v="sulfhydryl oxidase"/>
    <s v="ABI99204.1"/>
    <s v="PROT:ABI99204.1"/>
    <s v="IMV redox protein"/>
    <s v="Deerpox virus W-848-83"/>
    <x v="17"/>
    <x v="17"/>
    <n v="15"/>
    <x v="0"/>
  </r>
  <r>
    <n v="15"/>
    <x v="15"/>
    <s v="sulfhydryl oxidase"/>
    <s v="ABJ08951.1"/>
    <s v="PROT:ABJ08951.1"/>
    <s v="IMV redox protein"/>
    <s v="Nile crocodilepox virus"/>
    <x v="18"/>
    <x v="18"/>
    <n v="34"/>
    <x v="0"/>
  </r>
  <r>
    <n v="15"/>
    <x v="15"/>
    <s v="sulfhydryl oxidase"/>
    <s v="AAF14923.1"/>
    <s v="PROT:AAF14923.1"/>
    <s v="m035R"/>
    <s v="Myxoma virus strain Lausanne"/>
    <x v="19"/>
    <x v="19"/>
    <n v="32"/>
    <x v="0"/>
  </r>
  <r>
    <n v="15"/>
    <x v="15"/>
    <s v="sulfhydryl oxidase"/>
    <s v="AFU77300.1"/>
    <s v="PROT:AFU77300.1"/>
    <s v="m035R"/>
    <s v="Myxoma virus isolate BRK 897"/>
    <x v="20"/>
    <x v="20"/>
    <n v="33"/>
    <x v="1"/>
  </r>
  <r>
    <n v="15"/>
    <x v="15"/>
    <s v="sulfhydryl oxidase"/>
    <s v="AAF17917.1"/>
    <s v="PROT:AAF17917.1"/>
    <s v="gp035R"/>
    <s v="Rabbit fibroma virus"/>
    <x v="21"/>
    <x v="21"/>
    <n v="43"/>
    <x v="0"/>
  </r>
  <r>
    <n v="15"/>
    <x v="15"/>
    <s v="sulfhydryl oxidase"/>
    <s v="AAC55168.1"/>
    <s v="PROT:AAC55168.1"/>
    <s v="MC040R"/>
    <s v="Molluscum contagiosum virus subtype 1"/>
    <x v="22"/>
    <x v="22"/>
    <n v="26"/>
    <x v="0"/>
  </r>
  <r>
    <n v="15"/>
    <x v="15"/>
    <s v="sulfhydryl oxidase"/>
    <s v="AYN64633.1"/>
    <s v="PROT:AYN64633.1"/>
    <s v="putative E10R protein"/>
    <s v="Orthopoxvirus Abatino"/>
    <x v="23"/>
    <x v="23"/>
    <n v="1"/>
    <x v="0"/>
  </r>
  <r>
    <n v="15"/>
    <x v="15"/>
    <s v="sulfhydryl oxidase"/>
    <s v="AXN74857.1"/>
    <s v="PROT:AXN74857.1"/>
    <s v="sulfhydryl oxidase"/>
    <s v="Akhmeta virus"/>
    <x v="24"/>
    <x v="24"/>
    <n v="4"/>
    <x v="0"/>
  </r>
  <r>
    <n v="15"/>
    <x v="15"/>
    <s v="sulfhydryl oxidase"/>
    <s v="ABH08170.1"/>
    <s v="PROT:ABH08170.1"/>
    <s v="HSPV067"/>
    <s v="Horsepox virus"/>
    <x v="25"/>
    <x v="25"/>
    <n v="24"/>
    <x v="0"/>
  </r>
  <r>
    <n v="15"/>
    <x v="15"/>
    <s v="sulfhydryl oxidase"/>
    <s v="AAG37528.1"/>
    <s v="PROT:AAG37528.1"/>
    <s v="CMP62R"/>
    <s v="Camelpox virus CMS"/>
    <x v="26"/>
    <x v="26"/>
    <n v="9"/>
    <x v="1"/>
  </r>
  <r>
    <n v="15"/>
    <x v="15"/>
    <s v="sulfhydryl oxidase"/>
    <s v="AAL73769.1"/>
    <s v="PROT:AAL73769.1"/>
    <s v="potential redox protein"/>
    <s v="Camelpox virus M-96"/>
    <x v="27"/>
    <x v="27"/>
    <n v="8"/>
    <x v="0"/>
  </r>
  <r>
    <n v="15"/>
    <x v="15"/>
    <s v="sulfhydryl oxidase"/>
    <s v="AAM13521.1"/>
    <s v="PROT:AAM13521.1"/>
    <s v="CPXV076 protein"/>
    <s v="Cowpox virus"/>
    <x v="28"/>
    <x v="28"/>
    <n v="13"/>
    <x v="0"/>
  </r>
  <r>
    <n v="15"/>
    <x v="15"/>
    <s v="sulfhydryl oxidase"/>
    <s v="AAM92354.1"/>
    <s v="PROT:AAM92354.1"/>
    <s v="EVM050"/>
    <s v="Ectromelia virus"/>
    <x v="29"/>
    <x v="29"/>
    <n v="16"/>
    <x v="0"/>
  </r>
  <r>
    <n v="15"/>
    <x v="15"/>
    <s v="sulfhydryl oxidase"/>
    <s v="AFH54612.1"/>
    <s v="PROT:AFH54612.1"/>
    <s v="disulfide bond formation pathway protein"/>
    <s v="Ectromelia virus ERPV"/>
    <x v="30"/>
    <x v="30"/>
    <n v="17"/>
    <x v="1"/>
  </r>
  <r>
    <n v="15"/>
    <x v="15"/>
    <s v="sulfhydryl oxidase"/>
    <s v="AAL40516.1"/>
    <s v="PROT:AAL40516.1"/>
    <s v="F9R"/>
    <s v="Monkeypox virus Zaire-96-I-16 (clade I)"/>
    <x v="31"/>
    <x v="31"/>
    <n v="29"/>
    <x v="0"/>
  </r>
  <r>
    <n v="15"/>
    <x v="15"/>
    <s v="sulfhydryl oxidase"/>
    <s v="AAX09153.1"/>
    <s v="PROT:AAX09153.1"/>
    <s v="MPXV-COP-052"/>
    <s v="monkeypox virus strain cOP-58 (clade IIa)"/>
    <x v="32"/>
    <x v="32"/>
    <n v="28"/>
    <x v="0"/>
  </r>
  <r>
    <n v="15"/>
    <x v="15"/>
    <s v="sulfhydryl oxidase"/>
    <s v="AKJ93694.1"/>
    <s v="PROT:AKJ93694.1"/>
    <s v="Sulfhydryl oxidase (FAD-linked)"/>
    <s v="Raccoonpox virus"/>
    <x v="33"/>
    <x v="33"/>
    <n v="41"/>
    <x v="0"/>
  </r>
  <r>
    <n v="15"/>
    <x v="15"/>
    <s v="sulfhydryl oxidase"/>
    <s v="AOP31543.1"/>
    <s v="PROT:AOP31543.1"/>
    <s v="sulfhydryl oxidase"/>
    <s v="Skunkpox virus"/>
    <x v="34"/>
    <x v="34"/>
    <n v="45"/>
    <x v="0"/>
  </r>
  <r>
    <n v="15"/>
    <x v="15"/>
    <s v="sulfhydryl oxidase"/>
    <s v="ABD97633.1"/>
    <s v="PROT:ABD97633.1"/>
    <s v="sulfhydryl oxidase"/>
    <s v="Taterapox virus"/>
    <x v="35"/>
    <x v="35"/>
    <n v="50"/>
    <x v="0"/>
  </r>
  <r>
    <n v="15"/>
    <x v="15"/>
    <s v="sulfhydryl oxidase"/>
    <s v="AAO89345.1"/>
    <s v="PROT:AAO89345.1"/>
    <s v="sulfhydryl oxidase"/>
    <s v="Vaccinia virus WR"/>
    <x v="36"/>
    <x v="36"/>
    <n v="52"/>
    <x v="0"/>
  </r>
  <r>
    <n v="15"/>
    <x v="15"/>
    <s v="sulfhydryl oxidase"/>
    <s v="CAA48992.1"/>
    <s v="PROT:CAA48992.1"/>
    <s v="E10R"/>
    <s v="Variola virus major"/>
    <x v="37"/>
    <x v="37"/>
    <n v="53"/>
    <x v="0"/>
  </r>
  <r>
    <n v="15"/>
    <x v="15"/>
    <s v="sulfhydryl oxidase"/>
    <s v="CAB54651.1"/>
    <s v="PROT:CAB54651.1"/>
    <s v="C10R protein"/>
    <s v="Variola minor virus"/>
    <x v="38"/>
    <x v="38"/>
    <n v="54"/>
    <x v="0"/>
  </r>
  <r>
    <n v="15"/>
    <x v="15"/>
    <s v="sulfhydryl oxidase"/>
    <s v="AOP31754.1"/>
    <s v="PROT:AOP31754.1"/>
    <s v="sulfhydryl oxidase"/>
    <s v="Volepox virus"/>
    <x v="39"/>
    <x v="39"/>
    <n v="55"/>
    <x v="0"/>
  </r>
  <r>
    <n v="15"/>
    <x v="15"/>
    <s v="sulfhydryl oxidase"/>
    <s v="ASF89964.1"/>
    <s v="PROT:ASF89964.1"/>
    <s v="sulfhydryl oxidase-like protein"/>
    <s v="Seal parapoxvirus"/>
    <x v="40"/>
    <x v="40"/>
    <n v="22"/>
    <x v="0"/>
  </r>
  <r>
    <n v="15"/>
    <x v="15"/>
    <s v="sulfhydryl oxidase"/>
    <s v="AAR98383.1"/>
    <s v="PROT:AAR98383.1"/>
    <s v="ORF026 IMV redox protein"/>
    <s v="Bovine papular stomatitis virus"/>
    <x v="41"/>
    <x v="41"/>
    <n v="6"/>
    <x v="0"/>
  </r>
  <r>
    <n v="15"/>
    <x v="15"/>
    <s v="sulfhydryl oxidase"/>
    <s v="AAR98251.1"/>
    <s v="PROT:AAR98251.1"/>
    <s v="ORF026 putative IMV redox protein"/>
    <s v="Orf virus strain OV-SA00"/>
    <x v="42"/>
    <x v="42"/>
    <n v="35"/>
    <x v="0"/>
  </r>
  <r>
    <n v="15"/>
    <x v="15"/>
    <s v="sulfhydryl oxidase"/>
    <s v="ABA00543.1"/>
    <s v="PROT:ABA00543.1"/>
    <s v="ERV/ALR-like protein"/>
    <s v="Orf virus strain NZ2"/>
    <x v="43"/>
    <x v="43"/>
    <n v="36"/>
    <x v="1"/>
  </r>
  <r>
    <n v="15"/>
    <x v="15"/>
    <s v="sulfhydryl oxidase"/>
    <s v="AIZ77277.1"/>
    <s v="PROT:AIZ77277.1"/>
    <s v="putative IMV redox protein"/>
    <s v="Parapoxvirus red deer/HL953"/>
    <x v="44"/>
    <x v="44"/>
    <n v="42"/>
    <x v="0"/>
  </r>
  <r>
    <n v="15"/>
    <x v="15"/>
    <s v="sulfhydryl oxidase"/>
    <s v="ADC53927.1"/>
    <s v="PROT:ADC53927.1"/>
    <s v="ERV/ALR-like protein"/>
    <s v="Pseudocowpox virus"/>
    <x v="45"/>
    <x v="45"/>
    <n v="37"/>
    <x v="0"/>
  </r>
  <r>
    <n v="15"/>
    <x v="15"/>
    <s v="sulfhydryl oxidase"/>
    <s v="AAL69776.1"/>
    <s v="PROT:AAL69776.1"/>
    <s v="SPV037 potential redox protein"/>
    <s v="Swinepox virus"/>
    <x v="46"/>
    <x v="46"/>
    <n v="49"/>
    <x v="0"/>
  </r>
  <r>
    <n v="15"/>
    <x v="15"/>
    <s v="sulfhydryl oxidase"/>
    <s v="CAC21278.1"/>
    <s v="PROT:CAC21278.1"/>
    <s v="40R protein"/>
    <s v="Yaba-like disease virus"/>
    <x v="47"/>
    <x v="47"/>
    <n v="58"/>
    <x v="0"/>
  </r>
  <r>
    <n v="15"/>
    <x v="15"/>
    <s v="sulfhydryl oxidase"/>
    <s v="AAR07397.1"/>
    <s v="PROT:AAR07397.1"/>
    <s v="40R"/>
    <s v="Yaba monkey tumor virus"/>
    <x v="48"/>
    <x v="48"/>
    <n v="59"/>
    <x v="0"/>
  </r>
  <r>
    <n v="15"/>
    <x v="15"/>
    <s v="sulfhydryl oxidase"/>
    <s v="AAC97808.1"/>
    <s v="PROT:AAC97808.1"/>
    <s v="ORF MSV093 putative vaccinia E10R homolog, similar to SW:P33821 and yeast ERV1, SW:P27882"/>
    <s v="Melanoplus sanguinipes entomopoxvirus 'O'"/>
    <x v="49"/>
    <x v="49"/>
    <n v="30"/>
    <x v="0"/>
  </r>
  <r>
    <n v="15"/>
    <x v="15"/>
    <s v="sulfhydryl oxidase"/>
    <s v="BAO49428.1"/>
    <s v="PROT:BAO49428.1"/>
    <s v="sulfhydryl oxidase"/>
    <s v="Anomala cuprea entomopoxvirus"/>
    <x v="50"/>
    <x v="50"/>
    <n v="2"/>
    <x v="0"/>
  </r>
  <r>
    <n v="15"/>
    <x v="15"/>
    <s v="sulfhydryl oxidase"/>
    <s v="CCU55424.1"/>
    <s v="PROT:CCU55424.1"/>
    <s v="sulfhydryl oxidase FAD-linked (Cop-E10R)"/>
    <s v="Adoxophyes honmai entomopoxvirus 'L'"/>
    <x v="51"/>
    <x v="51"/>
    <n v="3"/>
    <x v="0"/>
  </r>
  <r>
    <n v="15"/>
    <x v="15"/>
    <s v="sulfhydryl oxidase"/>
    <s v="AAG02820.1"/>
    <s v="PROT:AAG02820.1"/>
    <s v="AMV114"/>
    <s v="Amsacta moorei entomopoxvirus"/>
    <x v="52"/>
    <x v="52"/>
    <n v="5"/>
    <x v="0"/>
  </r>
  <r>
    <n v="15"/>
    <x v="15"/>
    <s v="sulfhydryl oxidase"/>
    <s v="CCU55729.1"/>
    <s v="PROT:CCU55729.1"/>
    <s v="sulfhydryl oxidase FAD-linked (Cop-E10R)"/>
    <s v="Choristoneura biennis entomopoxvirus"/>
    <x v="53"/>
    <x v="53"/>
    <n v="10"/>
    <x v="0"/>
  </r>
  <r>
    <n v="15"/>
    <x v="15"/>
    <s v="sulfhydryl oxidase"/>
    <s v="CCU56031.1"/>
    <s v="PROT:CCU56031.1"/>
    <s v="sulfhydryl oxidase FAD-linked (Cop-E10R)"/>
    <s v="Choristoneura rosaceana entomopoxvirus 'L'"/>
    <x v="54"/>
    <x v="54"/>
    <n v="14"/>
    <x v="0"/>
  </r>
  <r>
    <n v="15"/>
    <x v="15"/>
    <s v="sulfhydryl oxidase"/>
    <s v="CCU56368.1"/>
    <s v="PROT:CCU56368.1"/>
    <s v="sulfhydryl oxidase FAD-linked (Cop-E10R)"/>
    <s v="Mythimna separata entomopoxvirus 'L'"/>
    <x v="55"/>
    <x v="55"/>
    <n v="31"/>
    <x v="0"/>
  </r>
  <r>
    <n v="15"/>
    <x v="15"/>
    <s v="sulfhydryl oxidase"/>
    <s v="NP_659612.1"/>
    <s v="PROT:NP_659612.1"/>
    <s v="IMV redox protein, virus assembly"/>
    <s v="Sheeppox virus"/>
    <x v="56"/>
    <x v="56"/>
    <n v="44"/>
    <x v="0"/>
  </r>
  <r>
    <n v="15"/>
    <x v="15"/>
    <s v="sulfhydryl oxidase"/>
    <s v="YP_001293231.1"/>
    <s v="PROT:YP_001293231.1"/>
    <s v="hypothetical protein GTPV_gp036"/>
    <s v="Goatpox virus Pellor"/>
    <x v="57"/>
    <x v="57"/>
    <n v="23"/>
    <x v="0"/>
  </r>
  <r>
    <n v="17"/>
    <x v="16"/>
    <s v="DNA-polymerase"/>
    <s v="ATI21145.1"/>
    <s v="PROT:ATI21145.1"/>
    <s v="DNA polymerase"/>
    <s v="Eastern grey kangaroopox virus"/>
    <x v="0"/>
    <x v="0"/>
    <n v="18"/>
    <x v="0"/>
  </r>
  <r>
    <n v="17"/>
    <x v="16"/>
    <s v="DNA-polymerase"/>
    <s v="AWU47082.1"/>
    <s v="PROT:AWU47082.1"/>
    <s v="DNA polymerase"/>
    <s v="Sea otter poxvirus"/>
    <x v="1"/>
    <x v="1"/>
    <n v="47"/>
    <x v="0"/>
  </r>
  <r>
    <n v="17"/>
    <x v="16"/>
    <s v="DNA-polymerase"/>
    <s v="APG58249.1"/>
    <s v="PROT:APG58249.1"/>
    <s v="DNA polymerase"/>
    <s v="BeAn 58058 virus"/>
    <x v="2"/>
    <x v="2"/>
    <n v="7"/>
    <x v="1"/>
  </r>
  <r>
    <n v="17"/>
    <x v="16"/>
    <s v="DNA-polymerase"/>
    <s v="ADT91072.1"/>
    <s v="PROT:ADT91072.1"/>
    <s v="DNA-dependent DNA polymerase"/>
    <s v="Cotia virus SPAn232"/>
    <x v="3"/>
    <x v="3"/>
    <n v="12"/>
    <x v="0"/>
  </r>
  <r>
    <n v="17"/>
    <x v="16"/>
    <s v="DNA-polymerase"/>
    <s v="ANS71126.1"/>
    <s v="PROT:ANS71126.1"/>
    <s v="DNA polymerase"/>
    <s v="Pteropox virus"/>
    <x v="4"/>
    <x v="4"/>
    <n v="40"/>
    <x v="0"/>
  </r>
  <r>
    <n v="17"/>
    <x v="16"/>
    <s v="DNA-polymerase"/>
    <s v="AKR04200.1"/>
    <s v="PROT:AKR04200.1"/>
    <s v="DNA polymerase elongation subunit family B"/>
    <s v="Salmon gill poxvirus"/>
    <x v="5"/>
    <x v="5"/>
    <n v="46"/>
    <x v="0"/>
  </r>
  <r>
    <n v="17"/>
    <x v="16"/>
    <s v="DNA-polymerase"/>
    <s v="CCD83215.1"/>
    <s v="PROT:CCD83215.1"/>
    <s v="DNA polymerase"/>
    <s v="Squirrelpox virus"/>
    <x v="6"/>
    <x v="6"/>
    <n v="48"/>
    <x v="0"/>
  </r>
  <r>
    <n v="17"/>
    <x v="16"/>
    <s v="DNA-polymerase"/>
    <s v="ASK51242.1"/>
    <s v="PROT:ASK51242.1"/>
    <s v="DNA polymerase"/>
    <s v="Eptesipox virus"/>
    <x v="7"/>
    <x v="7"/>
    <n v="19"/>
    <x v="0"/>
  </r>
  <r>
    <n v="17"/>
    <x v="16"/>
    <s v="DNA-polymerase"/>
    <s v="AUD40198.1"/>
    <s v="PROT:AUD40198.1"/>
    <s v="DNA polymerase"/>
    <s v="Flamingopox virus FGPVKD09"/>
    <x v="8"/>
    <x v="8"/>
    <n v="20"/>
    <x v="0"/>
  </r>
  <r>
    <n v="17"/>
    <x v="16"/>
    <s v="DNA-polymerase"/>
    <s v="AID46833.1"/>
    <s v="PROT:AID46833.1"/>
    <s v="DNA polymerase"/>
    <s v="Penguinpox virus"/>
    <x v="9"/>
    <x v="9"/>
    <n v="39"/>
    <x v="0"/>
  </r>
  <r>
    <n v="17"/>
    <x v="16"/>
    <s v="DNA-polymerase"/>
    <s v="AID46604.1"/>
    <s v="PROT:AID46604.1"/>
    <s v="DNA polymerase"/>
    <s v="Pigeonpox virus"/>
    <x v="10"/>
    <x v="10"/>
    <n v="38"/>
    <x v="0"/>
  </r>
  <r>
    <n v="17"/>
    <x v="16"/>
    <s v="DNA-polymerase"/>
    <s v="ALA62442.1"/>
    <s v="PROT:ALA62442.1"/>
    <s v="DNA polymerase"/>
    <s v="Turkeypox virus"/>
    <x v="11"/>
    <x v="11"/>
    <n v="51"/>
    <x v="0"/>
  </r>
  <r>
    <n v="17"/>
    <x v="16"/>
    <s v="DNA-polymerase"/>
    <s v="AAR83467.1"/>
    <s v="PROT:AAR83467.1"/>
    <s v="CNPV121 DNA polymerase"/>
    <s v="Canarypox virus"/>
    <x v="12"/>
    <x v="12"/>
    <n v="11"/>
    <x v="0"/>
  </r>
  <r>
    <n v="17"/>
    <x v="16"/>
    <s v="DNA-polymerase"/>
    <s v="AAF44438.1"/>
    <s v="PROT:AAF44438.1"/>
    <s v="ORF FPV094 DNA polymerase"/>
    <s v="Fowlpox virus"/>
    <x v="13"/>
    <x v="13"/>
    <n v="21"/>
    <x v="0"/>
  </r>
  <r>
    <n v="17"/>
    <x v="16"/>
    <s v="DNA-polymerase"/>
    <s v="AAK85000.1"/>
    <s v="PROT:AAK85000.1"/>
    <s v="LSDV039 DNA polymerase"/>
    <s v="Lumpy skin disease virus NI-2490"/>
    <x v="14"/>
    <x v="14"/>
    <n v="25"/>
    <x v="0"/>
  </r>
  <r>
    <n v="17"/>
    <x v="16"/>
    <s v="DNA-polymerase"/>
    <s v="AST09255.1"/>
    <s v="PROT:AST09255.1"/>
    <s v="DNA polymerase"/>
    <s v="Murmansk poxvirus"/>
    <x v="15"/>
    <x v="15"/>
    <n v="27"/>
    <x v="0"/>
  </r>
  <r>
    <n v="17"/>
    <x v="16"/>
    <s v="DNA-polymerase"/>
    <s v="AEN03632.1"/>
    <s v="PROT:AEN03632.1"/>
    <s v="DNA polymerase"/>
    <s v="Yokapox virus"/>
    <x v="16"/>
    <x v="16"/>
    <n v="57"/>
    <x v="0"/>
  </r>
  <r>
    <n v="17"/>
    <x v="16"/>
    <s v="DNA-polymerase"/>
    <s v="ABI99203.1"/>
    <s v="PROT:ABI99203.1"/>
    <s v="DNA polymerase"/>
    <s v="Deerpox virus W-848-83"/>
    <x v="17"/>
    <x v="17"/>
    <n v="15"/>
    <x v="0"/>
  </r>
  <r>
    <n v="17"/>
    <x v="16"/>
    <s v="DNA-polymerase"/>
    <s v="ABJ08950.1"/>
    <s v="PROT:ABJ08950.1"/>
    <s v="DNA polymerase"/>
    <s v="Nile crocodilepox virus"/>
    <x v="18"/>
    <x v="18"/>
    <n v="34"/>
    <x v="0"/>
  </r>
  <r>
    <n v="17"/>
    <x v="16"/>
    <s v="DNA-polymerase"/>
    <s v="AAF14922.1"/>
    <s v="PROT:AAF14922.1"/>
    <s v="m34L"/>
    <s v="Myxoma virus strain Lausanne"/>
    <x v="19"/>
    <x v="19"/>
    <n v="32"/>
    <x v="0"/>
  </r>
  <r>
    <n v="17"/>
    <x v="16"/>
    <s v="DNA-polymerase"/>
    <s v="AFU77299.1"/>
    <s v="PROT:AFU77299.1"/>
    <s v="m34L"/>
    <s v="Myxoma virus isolate BRK 897"/>
    <x v="20"/>
    <x v="20"/>
    <n v="33"/>
    <x v="1"/>
  </r>
  <r>
    <n v="17"/>
    <x v="16"/>
    <s v="DNA-polymerase"/>
    <s v="AAF17916.1"/>
    <s v="PROT:AAF17916.1"/>
    <s v="gp034L"/>
    <s v="Rabbit fibroma virus"/>
    <x v="21"/>
    <x v="21"/>
    <n v="43"/>
    <x v="0"/>
  </r>
  <r>
    <n v="17"/>
    <x v="16"/>
    <s v="DNA-polymerase"/>
    <s v="AAC55167.1"/>
    <s v="PROT:AAC55167.1"/>
    <s v="MC039L"/>
    <s v="Molluscum contagiosum virus subtype 1"/>
    <x v="22"/>
    <x v="22"/>
    <n v="26"/>
    <x v="0"/>
  </r>
  <r>
    <n v="17"/>
    <x v="16"/>
    <s v="DNA-polymerase"/>
    <s v="AYN64632.1"/>
    <s v="PROT:AYN64632.1"/>
    <s v="putative E9L protein"/>
    <s v="Orthopoxvirus Abatino"/>
    <x v="23"/>
    <x v="23"/>
    <n v="1"/>
    <x v="0"/>
  </r>
  <r>
    <n v="17"/>
    <x v="16"/>
    <s v="DNA-polymerase"/>
    <s v="AXN74856.1"/>
    <s v="PROT:AXN74856.1"/>
    <s v="DNA polymerase"/>
    <s v="Akhmeta virus"/>
    <x v="24"/>
    <x v="24"/>
    <n v="4"/>
    <x v="0"/>
  </r>
  <r>
    <n v="17"/>
    <x v="16"/>
    <s v="DNA-polymerase"/>
    <s v="ABH08169.1"/>
    <s v="PROT:ABH08169.1"/>
    <s v="HSPV066"/>
    <s v="Horsepox virus"/>
    <x v="25"/>
    <x v="25"/>
    <n v="24"/>
    <x v="0"/>
  </r>
  <r>
    <n v="17"/>
    <x v="16"/>
    <s v="DNA-polymerase"/>
    <s v="AAG37526.1"/>
    <s v="PROT:AAG37526.1"/>
    <s v="CMP61L"/>
    <s v="Camelpox virus CMS"/>
    <x v="26"/>
    <x v="26"/>
    <n v="9"/>
    <x v="1"/>
  </r>
  <r>
    <n v="17"/>
    <x v="16"/>
    <s v="DNA-polymerase"/>
    <s v="AAL73768.1"/>
    <s v="PROT:AAL73768.1"/>
    <s v="DNA polymerase"/>
    <s v="Camelpox virus M-96"/>
    <x v="27"/>
    <x v="27"/>
    <n v="8"/>
    <x v="0"/>
  </r>
  <r>
    <n v="17"/>
    <x v="16"/>
    <s v="DNA-polymerase"/>
    <s v="AAM13520.1"/>
    <s v="PROT:AAM13520.1"/>
    <s v="CPXV075 protein"/>
    <s v="Cowpox virus"/>
    <x v="28"/>
    <x v="28"/>
    <n v="13"/>
    <x v="0"/>
  </r>
  <r>
    <n v="17"/>
    <x v="16"/>
    <s v="DNA-polymerase"/>
    <s v="AAM92353.1"/>
    <s v="PROT:AAM92353.1"/>
    <s v="EVM049"/>
    <s v="Ectromelia virus"/>
    <x v="29"/>
    <x v="29"/>
    <n v="16"/>
    <x v="0"/>
  </r>
  <r>
    <n v="17"/>
    <x v="16"/>
    <s v="DNA-polymerase"/>
    <s v="AFH54611.1"/>
    <s v="PROT:AFH54611.1"/>
    <s v="DNA polymerase"/>
    <s v="Ectromelia virus ERPV"/>
    <x v="30"/>
    <x v="30"/>
    <n v="17"/>
    <x v="1"/>
  </r>
  <r>
    <n v="17"/>
    <x v="16"/>
    <s v="DNA-polymerase"/>
    <s v="AAL40515.1"/>
    <s v="PROT:AAL40515.1"/>
    <s v="F8L"/>
    <s v="Monkeypox virus Zaire-96-I-16 (clade I)"/>
    <x v="31"/>
    <x v="31"/>
    <n v="29"/>
    <x v="0"/>
  </r>
  <r>
    <n v="17"/>
    <x v="16"/>
    <s v="DNA-polymerase"/>
    <s v="AAX09152.1"/>
    <s v="PROT:AAX09152.1"/>
    <s v="MPXV-COP-051"/>
    <s v="monkeypox virus strain cOP-58 (clade IIa)"/>
    <x v="32"/>
    <x v="32"/>
    <n v="28"/>
    <x v="0"/>
  </r>
  <r>
    <n v="17"/>
    <x v="16"/>
    <s v="DNA-polymerase"/>
    <s v="AKJ93693.1"/>
    <s v="PROT:AKJ93693.1"/>
    <s v="DNA polymerase"/>
    <s v="Raccoonpox virus"/>
    <x v="33"/>
    <x v="33"/>
    <n v="41"/>
    <x v="0"/>
  </r>
  <r>
    <n v="17"/>
    <x v="16"/>
    <s v="DNA-polymerase"/>
    <s v="AOP31542.1"/>
    <s v="PROT:AOP31542.1"/>
    <s v="DNA polymerase"/>
    <s v="Skunkpox virus"/>
    <x v="34"/>
    <x v="34"/>
    <n v="45"/>
    <x v="0"/>
  </r>
  <r>
    <n v="17"/>
    <x v="16"/>
    <s v="DNA-polymerase"/>
    <s v="ABD97632.1"/>
    <s v="PROT:ABD97632.1"/>
    <s v="DNA polymerase"/>
    <s v="Taterapox virus"/>
    <x v="35"/>
    <x v="35"/>
    <n v="50"/>
    <x v="0"/>
  </r>
  <r>
    <n v="17"/>
    <x v="16"/>
    <s v="DNA-polymerase"/>
    <s v="AAO89344.1"/>
    <s v="PROT:AAO89344.1"/>
    <s v="DNA polymerase"/>
    <s v="Vaccinia virus WR"/>
    <x v="36"/>
    <x v="36"/>
    <n v="52"/>
    <x v="0"/>
  </r>
  <r>
    <n v="17"/>
    <x v="16"/>
    <s v="DNA-polymerase"/>
    <s v="CAA48991.1"/>
    <s v="PROT:CAA48991.1"/>
    <s v="E9L"/>
    <s v="Variola virus major"/>
    <x v="37"/>
    <x v="37"/>
    <n v="53"/>
    <x v="0"/>
  </r>
  <r>
    <n v="17"/>
    <x v="16"/>
    <s v="DNA-polymerase"/>
    <s v="CAB54650.1"/>
    <s v="PROT:CAB54650.1"/>
    <s v="C9L protein"/>
    <s v="Variola minor virus"/>
    <x v="38"/>
    <x v="38"/>
    <n v="54"/>
    <x v="0"/>
  </r>
  <r>
    <n v="17"/>
    <x v="16"/>
    <s v="DNA-polymerase"/>
    <s v="AOP31753.1"/>
    <s v="PROT:AOP31753.1"/>
    <s v="DNA polymerase"/>
    <s v="Volepox virus"/>
    <x v="39"/>
    <x v="39"/>
    <n v="55"/>
    <x v="0"/>
  </r>
  <r>
    <n v="17"/>
    <x v="16"/>
    <s v="DNA-polymerase"/>
    <s v="ASC55610.1"/>
    <s v="PROT:ASC55610.1"/>
    <s v="putative DNA polymerase-like protein"/>
    <s v="Seal parapoxvirus"/>
    <x v="40"/>
    <x v="40"/>
    <n v="22"/>
    <x v="0"/>
  </r>
  <r>
    <n v="17"/>
    <x v="16"/>
    <s v="DNA-polymerase"/>
    <s v="AAR98382.1"/>
    <s v="PROT:AAR98382.1"/>
    <s v="ORF025 DNA polymerase"/>
    <s v="Bovine papular stomatitis virus"/>
    <x v="41"/>
    <x v="41"/>
    <n v="6"/>
    <x v="0"/>
  </r>
  <r>
    <n v="17"/>
    <x v="16"/>
    <s v="DNA-polymerase"/>
    <s v="AAR98250.1"/>
    <s v="PROT:AAR98250.1"/>
    <s v="ORF025 DNA polymerase"/>
    <s v="Orf virus strain OV-SA00"/>
    <x v="42"/>
    <x v="42"/>
    <n v="35"/>
    <x v="0"/>
  </r>
  <r>
    <n v="17"/>
    <x v="16"/>
    <s v="DNA-polymerase"/>
    <s v="ABA00542.1"/>
    <s v="PROT:ABA00542.1"/>
    <s v="DNA polymerase"/>
    <s v="Orf virus strain NZ2"/>
    <x v="43"/>
    <x v="43"/>
    <n v="36"/>
    <x v="1"/>
  </r>
  <r>
    <n v="17"/>
    <x v="16"/>
    <s v="DNA-polymerase"/>
    <s v="AIZ77276.1"/>
    <s v="PROT:AIZ77276.1"/>
    <s v="putative DNA polymerase"/>
    <s v="Parapoxvirus red deer/HL953"/>
    <x v="44"/>
    <x v="44"/>
    <n v="42"/>
    <x v="0"/>
  </r>
  <r>
    <n v="17"/>
    <x v="16"/>
    <s v="DNA-polymerase"/>
    <s v="ADC53926.1"/>
    <s v="PROT:ADC53926.1"/>
    <s v="DNA-polymerase"/>
    <s v="Pseudocowpox virus"/>
    <x v="45"/>
    <x v="45"/>
    <n v="37"/>
    <x v="0"/>
  </r>
  <r>
    <n v="17"/>
    <x v="16"/>
    <s v="DNA-polymerase"/>
    <s v="AAL69775.1"/>
    <s v="PROT:AAL69775.1"/>
    <s v="SPV036 DNA polymerase"/>
    <s v="Swinepox virus"/>
    <x v="46"/>
    <x v="46"/>
    <n v="49"/>
    <x v="0"/>
  </r>
  <r>
    <n v="17"/>
    <x v="16"/>
    <s v="DNA-polymerase"/>
    <s v="CAC21277.1"/>
    <s v="PROT:CAC21277.1"/>
    <s v="39L protein"/>
    <s v="Yaba-like disease virus"/>
    <x v="47"/>
    <x v="47"/>
    <n v="58"/>
    <x v="0"/>
  </r>
  <r>
    <n v="17"/>
    <x v="16"/>
    <s v="DNA-polymerase"/>
    <s v="AAR07396.1"/>
    <s v="PROT:AAR07396.1"/>
    <s v="39L"/>
    <s v="Yaba monkey tumor virus"/>
    <x v="48"/>
    <x v="48"/>
    <n v="59"/>
    <x v="0"/>
  </r>
  <r>
    <n v="17"/>
    <x v="16"/>
    <s v="DNA-polymerase"/>
    <s v="AAC97837.1"/>
    <s v="PROT:AAC97837.1"/>
    <s v="ORF MSV036 putative DNA polymerase, Choristoneura biennis entomopox virus DPOL homolog (vaccinia E9L), similar to SW:P30319"/>
    <s v="Melanoplus sanguinipes entomopoxvirus 'O'"/>
    <x v="49"/>
    <x v="49"/>
    <n v="30"/>
    <x v="0"/>
  </r>
  <r>
    <n v="17"/>
    <x v="16"/>
    <s v="DNA-polymerase"/>
    <s v="BAO49586.1"/>
    <s v="PROT:BAO49586.1"/>
    <s v="DNA polymerase"/>
    <s v="Anomala cuprea entomopoxvirus"/>
    <x v="50"/>
    <x v="50"/>
    <n v="2"/>
    <x v="0"/>
  </r>
  <r>
    <n v="17"/>
    <x v="16"/>
    <s v="DNA-polymerase"/>
    <s v="CCU55370.1"/>
    <s v="PROT:CCU55370.1"/>
    <s v="DNA polymerase"/>
    <s v="Adoxophyes honmai entomopoxvirus 'L'"/>
    <x v="51"/>
    <x v="51"/>
    <n v="3"/>
    <x v="0"/>
  </r>
  <r>
    <n v="17"/>
    <x v="16"/>
    <s v="DNA-polymerase"/>
    <s v="AAG02756.1"/>
    <s v="PROT:AAG02756.1"/>
    <s v="AMV050"/>
    <s v="Amsacta moorei entomopoxvirus"/>
    <x v="52"/>
    <x v="52"/>
    <n v="5"/>
    <x v="0"/>
  </r>
  <r>
    <n v="17"/>
    <x v="16"/>
    <s v="DNA-polymerase"/>
    <s v="CCU55637.1"/>
    <s v="PROT:CCU55637.1"/>
    <s v="DNA polymerase"/>
    <s v="Choristoneura biennis entomopoxvirus"/>
    <x v="53"/>
    <x v="53"/>
    <n v="10"/>
    <x v="0"/>
  </r>
  <r>
    <n v="17"/>
    <x v="16"/>
    <s v="DNA-polymerase"/>
    <s v="CCU55950.1"/>
    <s v="PROT:CCU55950.1"/>
    <s v="DNA polymerase"/>
    <s v="Choristoneura rosaceana entomopoxvirus 'L'"/>
    <x v="54"/>
    <x v="54"/>
    <n v="14"/>
    <x v="0"/>
  </r>
  <r>
    <n v="17"/>
    <x v="16"/>
    <s v="DNA-polymerase"/>
    <s v="CCU56273.1"/>
    <s v="PROT:CCU56273.1"/>
    <s v="DNA polymerase"/>
    <s v="Mythimna separata entomopoxvirus 'L'"/>
    <x v="55"/>
    <x v="55"/>
    <n v="31"/>
    <x v="0"/>
  </r>
  <r>
    <n v="17"/>
    <x v="16"/>
    <s v="DNA-polymerase"/>
    <s v="NP_659611.1"/>
    <s v="PROT:NP_659611.1"/>
    <s v="DNA polymerase"/>
    <s v="Sheeppox virus"/>
    <x v="56"/>
    <x v="56"/>
    <n v="44"/>
    <x v="0"/>
  </r>
  <r>
    <n v="17"/>
    <x v="16"/>
    <s v="DNA-polymerase"/>
    <s v="YP_001293230.1"/>
    <s v="PROT:YP_001293230.1"/>
    <s v="hypothetical protein GTPV_gp035"/>
    <s v="Goatpox virus Pellor"/>
    <x v="57"/>
    <x v="57"/>
    <n v="23"/>
    <x v="0"/>
  </r>
  <r>
    <n v="18"/>
    <x v="17"/>
    <s v="FEN1"/>
    <s v="ATI21162.1"/>
    <s v="PROT:ATI21162.1"/>
    <s v="FEN1-like nuclease"/>
    <s v="Eastern grey kangaroopox virus"/>
    <x v="0"/>
    <x v="0"/>
    <n v="18"/>
    <x v="0"/>
  </r>
  <r>
    <n v="18"/>
    <x v="17"/>
    <s v="FEN1"/>
    <s v="AWU47099.1"/>
    <s v="PROT:AWU47099.1"/>
    <s v="FEN1-like nuclease"/>
    <s v="Sea otter poxvirus"/>
    <x v="1"/>
    <x v="1"/>
    <n v="47"/>
    <x v="0"/>
  </r>
  <r>
    <n v="18"/>
    <x v="17"/>
    <s v="FEN1"/>
    <s v="APG58269.1"/>
    <s v="PROT:APG58269.1"/>
    <s v="putative nuclease G5"/>
    <s v="BeAn 58058 virus"/>
    <x v="2"/>
    <x v="2"/>
    <n v="7"/>
    <x v="1"/>
  </r>
  <r>
    <n v="18"/>
    <x v="17"/>
    <s v="FEN1"/>
    <s v="ADT91086.2"/>
    <s v="PROT:ADT91086.2"/>
    <s v="Flap endonuclease FEN-1"/>
    <s v="Cotia virus SPAn232"/>
    <x v="3"/>
    <x v="3"/>
    <n v="12"/>
    <x v="0"/>
  </r>
  <r>
    <n v="18"/>
    <x v="17"/>
    <s v="FEN1"/>
    <s v="ANS71143.1"/>
    <s v="PROT:ANS71143.1"/>
    <s v="fen1-like nuclease"/>
    <s v="Pteropox virus"/>
    <x v="4"/>
    <x v="4"/>
    <n v="40"/>
    <x v="0"/>
  </r>
  <r>
    <n v="18"/>
    <x v="17"/>
    <s v="FEN1"/>
    <s v="AKR04270.1"/>
    <s v="PROT:AKR04270.1"/>
    <s v="G5 protein"/>
    <s v="Salmon gill poxvirus"/>
    <x v="5"/>
    <x v="5"/>
    <n v="46"/>
    <x v="0"/>
  </r>
  <r>
    <n v="18"/>
    <x v="17"/>
    <s v="FEN1"/>
    <s v="CCD83231.1"/>
    <s v="PROT:CCD83231.1"/>
    <s v="predicted FEN-1 endonuclease"/>
    <s v="Squirrelpox virus"/>
    <x v="6"/>
    <x v="6"/>
    <n v="48"/>
    <x v="0"/>
  </r>
  <r>
    <n v="18"/>
    <x v="17"/>
    <s v="FEN1"/>
    <s v="ASK51259.1"/>
    <s v="PROT:ASK51259.1"/>
    <s v="FEN1-like nuclease"/>
    <s v="Eptesipox virus"/>
    <x v="7"/>
    <x v="7"/>
    <n v="19"/>
    <x v="0"/>
  </r>
  <r>
    <n v="18"/>
    <x v="17"/>
    <s v="FEN1"/>
    <s v="AUD40221.1"/>
    <s v="PROT:AUD40221.1"/>
    <s v="flap endonuclease"/>
    <s v="Flamingopox virus FGPVKD09"/>
    <x v="8"/>
    <x v="8"/>
    <n v="20"/>
    <x v="0"/>
  </r>
  <r>
    <n v="18"/>
    <x v="17"/>
    <s v="FEN1"/>
    <s v="AID46855.1"/>
    <s v="PROT:AID46855.1"/>
    <s v="hypothetical protein pepv_123"/>
    <s v="Penguinpox virus"/>
    <x v="9"/>
    <x v="9"/>
    <n v="39"/>
    <x v="0"/>
  </r>
  <r>
    <n v="18"/>
    <x v="17"/>
    <s v="FEN1"/>
    <s v="AID46626.1"/>
    <s v="PROT:AID46626.1"/>
    <s v="hypothetical protein fep_120"/>
    <s v="Pigeonpox virus"/>
    <x v="10"/>
    <x v="10"/>
    <n v="38"/>
    <x v="0"/>
  </r>
  <r>
    <n v="18"/>
    <x v="17"/>
    <s v="FEN1"/>
    <s v="ALA62460.1"/>
    <s v="PROT:ALA62460.1"/>
    <s v="hypothetical protein"/>
    <s v="Turkeypox virus"/>
    <x v="11"/>
    <x v="11"/>
    <n v="51"/>
    <x v="0"/>
  </r>
  <r>
    <n v="18"/>
    <x v="17"/>
    <s v="FEN1"/>
    <s v="AAR83491.1"/>
    <s v="PROT:AAR83491.1"/>
    <s v="CNPV145 conserved hypothetical protein"/>
    <s v="Canarypox virus"/>
    <x v="12"/>
    <x v="12"/>
    <n v="11"/>
    <x v="0"/>
  </r>
  <r>
    <n v="18"/>
    <x v="17"/>
    <s v="FEN1"/>
    <s v="AAF44461.1"/>
    <s v="PROT:AAF44461.1"/>
    <s v="ORF FPV117"/>
    <s v="Fowlpox virus"/>
    <x v="13"/>
    <x v="13"/>
    <n v="21"/>
    <x v="0"/>
  </r>
  <r>
    <n v="18"/>
    <x v="17"/>
    <s v="FEN1"/>
    <s v="AAK85015.1"/>
    <s v="PROT:AAK85015.1"/>
    <s v="LSDV054 hypothetical protein"/>
    <s v="Lumpy skin disease virus NI-2490"/>
    <x v="14"/>
    <x v="14"/>
    <n v="25"/>
    <x v="0"/>
  </r>
  <r>
    <n v="18"/>
    <x v="17"/>
    <s v="FEN1"/>
    <s v="AST09273.1"/>
    <s v="PROT:AST09273.1"/>
    <s v="FEN1-like nuclease"/>
    <s v="Murmansk poxvirus"/>
    <x v="15"/>
    <x v="15"/>
    <n v="27"/>
    <x v="0"/>
  </r>
  <r>
    <n v="18"/>
    <x v="17"/>
    <s v="FEN1"/>
    <s v="AEN03650.1"/>
    <s v="PROT:AEN03650.1"/>
    <s v="FEN1-like nuclease"/>
    <s v="Yokapox virus"/>
    <x v="16"/>
    <x v="16"/>
    <n v="57"/>
    <x v="0"/>
  </r>
  <r>
    <n v="18"/>
    <x v="17"/>
    <s v="FEN1"/>
    <s v="ABI99218.1"/>
    <s v="PROT:ABI99218.1"/>
    <s v="hypothetical protein DpV83gp063"/>
    <s v="Deerpox virus W-848-83"/>
    <x v="17"/>
    <x v="17"/>
    <n v="15"/>
    <x v="0"/>
  </r>
  <r>
    <n v="18"/>
    <x v="17"/>
    <s v="FEN1"/>
    <s v="ABJ08967.1"/>
    <s v="PROT:ABJ08967.1"/>
    <s v="virion core protein"/>
    <s v="Nile crocodilepox virus"/>
    <x v="18"/>
    <x v="18"/>
    <n v="34"/>
    <x v="0"/>
  </r>
  <r>
    <n v="18"/>
    <x v="17"/>
    <s v="FEN1"/>
    <s v="AAF14937.1"/>
    <s v="PROT:AAF14937.1"/>
    <s v="m049R"/>
    <s v="Myxoma virus strain Lausanne"/>
    <x v="19"/>
    <x v="19"/>
    <n v="32"/>
    <x v="0"/>
  </r>
  <r>
    <n v="18"/>
    <x v="17"/>
    <s v="FEN1"/>
    <s v="AFU77313.1"/>
    <s v="PROT:AFU77313.1"/>
    <s v="m049R"/>
    <s v="Myxoma virus isolate BRK 897"/>
    <x v="20"/>
    <x v="20"/>
    <n v="33"/>
    <x v="1"/>
  </r>
  <r>
    <n v="18"/>
    <x v="17"/>
    <s v="FEN1"/>
    <s v="AAF17931.1"/>
    <s v="PROT:AAF17931.1"/>
    <s v="gp049R"/>
    <s v="Rabbit fibroma virus"/>
    <x v="21"/>
    <x v="21"/>
    <n v="43"/>
    <x v="0"/>
  </r>
  <r>
    <n v="18"/>
    <x v="17"/>
    <s v="FEN1"/>
    <s v="AAC55188.1"/>
    <s v="PROT:AAC55188.1"/>
    <s v="MC60R"/>
    <s v="Molluscum contagiosum virus subtype 1"/>
    <x v="22"/>
    <x v="22"/>
    <n v="26"/>
    <x v="0"/>
  </r>
  <r>
    <n v="18"/>
    <x v="17"/>
    <s v="FEN1"/>
    <s v="AYN64648.1"/>
    <s v="PROT:AYN64648.1"/>
    <s v="putative G5R protein"/>
    <s v="Orthopoxvirus Abatino"/>
    <x v="23"/>
    <x v="23"/>
    <n v="1"/>
    <x v="0"/>
  </r>
  <r>
    <n v="18"/>
    <x v="17"/>
    <s v="FEN1"/>
    <s v="AXN74874.1"/>
    <s v="PROT:AXN74874.1"/>
    <s v="hypothetical protein"/>
    <s v="Akhmeta virus"/>
    <x v="24"/>
    <x v="24"/>
    <n v="4"/>
    <x v="0"/>
  </r>
  <r>
    <n v="18"/>
    <x v="17"/>
    <s v="FEN1"/>
    <s v="ABH08189.1"/>
    <s v="PROT:ABH08189.1"/>
    <s v="HSPV083"/>
    <s v="Horsepox virus"/>
    <x v="25"/>
    <x v="25"/>
    <n v="24"/>
    <x v="0"/>
  </r>
  <r>
    <n v="18"/>
    <x v="17"/>
    <s v="FEN1"/>
    <s v="AAG37549.1"/>
    <s v="PROT:AAG37549.1"/>
    <s v="CMP79R"/>
    <s v="Camelpox virus CMS"/>
    <x v="26"/>
    <x v="26"/>
    <n v="9"/>
    <x v="1"/>
  </r>
  <r>
    <n v="18"/>
    <x v="17"/>
    <s v="FEN1"/>
    <s v="AAL73787.1"/>
    <s v="PROT:AAL73787.1"/>
    <s v="hypothetical protein"/>
    <s v="Camelpox virus M-96"/>
    <x v="27"/>
    <x v="27"/>
    <n v="8"/>
    <x v="0"/>
  </r>
  <r>
    <n v="18"/>
    <x v="17"/>
    <s v="FEN1"/>
    <s v="AAM13537.1"/>
    <s v="PROT:AAM13537.1"/>
    <s v="CPXV092 protein"/>
    <s v="Cowpox virus"/>
    <x v="28"/>
    <x v="28"/>
    <n v="13"/>
    <x v="0"/>
  </r>
  <r>
    <n v="18"/>
    <x v="17"/>
    <s v="FEN1"/>
    <s v="AAM92370.1"/>
    <s v="PROT:AAM92370.1"/>
    <s v="EVM066"/>
    <s v="Ectromelia virus"/>
    <x v="29"/>
    <x v="29"/>
    <n v="16"/>
    <x v="0"/>
  </r>
  <r>
    <n v="18"/>
    <x v="17"/>
    <s v="FEN1"/>
    <s v="AFH54629.1"/>
    <s v="PROT:AFH54629.1"/>
    <s v="hypothetical protein ERPV_069"/>
    <s v="Ectromelia virus ERPV"/>
    <x v="30"/>
    <x v="30"/>
    <n v="17"/>
    <x v="1"/>
  </r>
  <r>
    <n v="18"/>
    <x v="17"/>
    <s v="FEN1"/>
    <s v="AAL40532.1"/>
    <s v="PROT:AAL40532.1"/>
    <s v="G5R"/>
    <s v="Monkeypox virus Zaire-96-I-16 (clade I)"/>
    <x v="31"/>
    <x v="31"/>
    <n v="29"/>
    <x v="0"/>
  </r>
  <r>
    <n v="18"/>
    <x v="17"/>
    <s v="FEN1"/>
    <s v="AAX09169.1"/>
    <s v="PROT:AAX09169.1"/>
    <s v="MPXV-COP-068"/>
    <s v="monkeypox virus strain cOP-58 (clade IIa)"/>
    <x v="32"/>
    <x v="32"/>
    <n v="28"/>
    <x v="0"/>
  </r>
  <r>
    <n v="18"/>
    <x v="17"/>
    <s v="FEN1"/>
    <s v="AKJ93711.1"/>
    <s v="PROT:AKJ93711.1"/>
    <s v="FEN1-like nuclease"/>
    <s v="Raccoonpox virus"/>
    <x v="33"/>
    <x v="33"/>
    <n v="41"/>
    <x v="0"/>
  </r>
  <r>
    <n v="18"/>
    <x v="17"/>
    <s v="FEN1"/>
    <s v="AOP31560.1"/>
    <s v="PROT:AOP31560.1"/>
    <s v="fen1-like nuclease"/>
    <s v="Skunkpox virus"/>
    <x v="34"/>
    <x v="34"/>
    <n v="45"/>
    <x v="0"/>
  </r>
  <r>
    <n v="18"/>
    <x v="17"/>
    <s v="FEN1"/>
    <s v="ABD97651.1"/>
    <s v="PROT:ABD97651.1"/>
    <s v="unknown"/>
    <s v="Taterapox virus"/>
    <x v="35"/>
    <x v="35"/>
    <n v="50"/>
    <x v="0"/>
  </r>
  <r>
    <n v="18"/>
    <x v="17"/>
    <s v="FEN1"/>
    <s v="AAO89361.1"/>
    <s v="PROT:AAO89361.1"/>
    <s v="unknown"/>
    <s v="Vaccinia virus WR"/>
    <x v="36"/>
    <x v="36"/>
    <n v="52"/>
    <x v="0"/>
  </r>
  <r>
    <n v="18"/>
    <x v="17"/>
    <s v="FEN1"/>
    <s v="CAA49008.1"/>
    <s v="PROT:CAA49008.1"/>
    <s v="H5R"/>
    <s v="Variola virus major"/>
    <x v="37"/>
    <x v="37"/>
    <n v="53"/>
    <x v="0"/>
  </r>
  <r>
    <n v="18"/>
    <x v="17"/>
    <s v="FEN1"/>
    <s v="CAB54667.1"/>
    <s v="PROT:CAB54667.1"/>
    <s v="I5R protein"/>
    <s v="Variola minor virus"/>
    <x v="38"/>
    <x v="38"/>
    <n v="54"/>
    <x v="0"/>
  </r>
  <r>
    <n v="18"/>
    <x v="17"/>
    <s v="FEN1"/>
    <s v="AOP31771.1"/>
    <s v="PROT:AOP31771.1"/>
    <s v="fen1-like nuclease"/>
    <s v="Volepox virus"/>
    <x v="39"/>
    <x v="39"/>
    <n v="55"/>
    <x v="0"/>
  </r>
  <r>
    <n v="18"/>
    <x v="17"/>
    <s v="FEN1"/>
    <s v="ASC55597.1"/>
    <s v="PROT:ASC55597.1"/>
    <s v="hypothetical protein SePPVgORF032"/>
    <s v="Seal parapoxvirus"/>
    <x v="40"/>
    <x v="40"/>
    <n v="22"/>
    <x v="0"/>
  </r>
  <r>
    <n v="18"/>
    <x v="17"/>
    <s v="FEN1"/>
    <s v="AAR98398.1"/>
    <s v="PROT:AAR98398.1"/>
    <s v="ORF041 hypothetical protein"/>
    <s v="Bovine papular stomatitis virus"/>
    <x v="41"/>
    <x v="41"/>
    <n v="6"/>
    <x v="0"/>
  </r>
  <r>
    <n v="18"/>
    <x v="17"/>
    <s v="FEN1"/>
    <s v="AAR98266.1"/>
    <s v="PROT:AAR98266.1"/>
    <s v="ORF041 hypothetical protein"/>
    <s v="Orf virus strain OV-SA00"/>
    <x v="42"/>
    <x v="42"/>
    <n v="35"/>
    <x v="0"/>
  </r>
  <r>
    <n v="18"/>
    <x v="17"/>
    <s v="FEN1"/>
    <s v="ABA00558.1"/>
    <s v="PROT:ABA00558.1"/>
    <s v="hypothetical protein"/>
    <s v="Orf virus strain NZ2"/>
    <x v="43"/>
    <x v="43"/>
    <n v="36"/>
    <x v="1"/>
  </r>
  <r>
    <n v="18"/>
    <x v="17"/>
    <s v="FEN1"/>
    <s v="AIZ77292.1"/>
    <s v="PROT:AIZ77292.1"/>
    <s v="putative FEN-1 like endonuclease"/>
    <s v="Parapoxvirus red deer/HL953"/>
    <x v="44"/>
    <x v="44"/>
    <n v="42"/>
    <x v="0"/>
  </r>
  <r>
    <n v="18"/>
    <x v="17"/>
    <s v="FEN1"/>
    <s v="ADC53942.1"/>
    <s v="PROT:ADC53942.1"/>
    <s v="hypothetical protein"/>
    <s v="Pseudocowpox virus"/>
    <x v="45"/>
    <x v="45"/>
    <n v="37"/>
    <x v="0"/>
  </r>
  <r>
    <n v="18"/>
    <x v="17"/>
    <s v="FEN1"/>
    <s v="AAL69790.1"/>
    <s v="PROT:AAL69790.1"/>
    <s v="SPV051 hypothetical protein"/>
    <s v="Swinepox virus"/>
    <x v="46"/>
    <x v="46"/>
    <n v="49"/>
    <x v="0"/>
  </r>
  <r>
    <n v="18"/>
    <x v="17"/>
    <s v="FEN1"/>
    <s v="CAC21292.1"/>
    <s v="PROT:CAC21292.1"/>
    <s v="54R protein"/>
    <s v="Yaba-like disease virus"/>
    <x v="47"/>
    <x v="47"/>
    <n v="58"/>
    <x v="0"/>
  </r>
  <r>
    <n v="18"/>
    <x v="17"/>
    <s v="FEN1"/>
    <s v="AAR07410.1"/>
    <s v="PROT:AAR07410.1"/>
    <s v="54R"/>
    <s v="Yaba monkey tumor virus"/>
    <x v="48"/>
    <x v="48"/>
    <n v="59"/>
    <x v="0"/>
  </r>
  <r>
    <n v="18"/>
    <x v="17"/>
    <s v="FEN1"/>
    <s v="AAC97659.1"/>
    <s v="PROT:AAC97659.1"/>
    <s v="ORF MSV115 putative vaccinia G5R homolog, similar to GB:J03399"/>
    <s v="Melanoplus sanguinipes entomopoxvirus 'O'"/>
    <x v="49"/>
    <x v="49"/>
    <n v="30"/>
    <x v="0"/>
  </r>
  <r>
    <n v="18"/>
    <x v="17"/>
    <s v="FEN1"/>
    <s v="BAO49469.1"/>
    <s v="PROT:BAO49469.1"/>
    <s v="FEN1-like nuclease"/>
    <s v="Anomala cuprea entomopoxvirus"/>
    <x v="50"/>
    <x v="50"/>
    <n v="2"/>
    <x v="0"/>
  </r>
  <r>
    <n v="18"/>
    <x v="17"/>
    <s v="FEN1"/>
    <s v="CCU55478.1"/>
    <s v="PROT:CCU55478.1"/>
    <s v="FEN1-like nuclease (Cop-G5R)"/>
    <s v="Adoxophyes honmai entomopoxvirus 'L'"/>
    <x v="51"/>
    <x v="51"/>
    <n v="3"/>
    <x v="0"/>
  </r>
  <r>
    <n v="18"/>
    <x v="17"/>
    <s v="FEN1"/>
    <s v="AAG02885.1"/>
    <s v="PROT:AAG02885.1"/>
    <s v="AMV179"/>
    <s v="Amsacta moorei entomopoxvirus"/>
    <x v="52"/>
    <x v="52"/>
    <n v="5"/>
    <x v="0"/>
  </r>
  <r>
    <n v="18"/>
    <x v="17"/>
    <s v="FEN1"/>
    <s v="CCU55786.1"/>
    <s v="PROT:CCU55786.1"/>
    <s v="FEN1-like nuclease (Cop-G5R)"/>
    <s v="Choristoneura biennis entomopoxvirus"/>
    <x v="53"/>
    <x v="53"/>
    <n v="10"/>
    <x v="0"/>
  </r>
  <r>
    <n v="18"/>
    <x v="17"/>
    <s v="FEN1"/>
    <s v="CCU56088.1"/>
    <s v="PROT:CCU56088.1"/>
    <s v="FEN1-like nuclease (Cop-G5R)"/>
    <s v="Choristoneura rosaceana entomopoxvirus 'L'"/>
    <x v="54"/>
    <x v="54"/>
    <n v="14"/>
    <x v="0"/>
  </r>
  <r>
    <n v="18"/>
    <x v="17"/>
    <s v="FEN1"/>
    <s v="CCU56413.1"/>
    <s v="PROT:CCU56413.1"/>
    <s v="FEN1-like nuclease (Cop-G5R)"/>
    <s v="Mythimna separata entomopoxvirus 'L'"/>
    <x v="55"/>
    <x v="55"/>
    <n v="31"/>
    <x v="0"/>
  </r>
  <r>
    <n v="18"/>
    <x v="17"/>
    <s v="FEN1"/>
    <s v="NP_659626.1"/>
    <s v="PROT:NP_659626.1"/>
    <s v="hypothetical protein SPPV_50"/>
    <s v="Sheeppox virus"/>
    <x v="56"/>
    <x v="56"/>
    <n v="44"/>
    <x v="0"/>
  </r>
  <r>
    <n v="18"/>
    <x v="17"/>
    <s v="FEN1"/>
    <s v="YP_001293245.1"/>
    <s v="PROT:YP_001293245.1"/>
    <s v="hypothetical protein GTPV_gp050"/>
    <s v="Goatpox virus Pellor"/>
    <x v="57"/>
    <x v="57"/>
    <n v="23"/>
    <x v="0"/>
  </r>
  <r>
    <n v="19"/>
    <x v="18"/>
    <s v="IMV entry-fusion"/>
    <s v="ATI21181.1"/>
    <s v="PROT:ATI21181.1"/>
    <s v="IMV membrane protein"/>
    <s v="Eastern grey kangaroopox virus"/>
    <x v="0"/>
    <x v="0"/>
    <n v="18"/>
    <x v="0"/>
  </r>
  <r>
    <n v="19"/>
    <x v="18"/>
    <s v="IMV entry-fusion"/>
    <s v="AWU47116.1"/>
    <s v="PROT:AWU47116.1"/>
    <s v="Entry/fusion IMV membrane protein"/>
    <s v="Sea otter poxvirus"/>
    <x v="1"/>
    <x v="1"/>
    <n v="47"/>
    <x v="0"/>
  </r>
  <r>
    <n v="19"/>
    <x v="18"/>
    <s v="IMV entry-fusion"/>
    <s v="APG58290.1"/>
    <s v="PROT:APG58290.1"/>
    <s v="protein H2"/>
    <s v="BeAn 58058 virus"/>
    <x v="2"/>
    <x v="2"/>
    <n v="7"/>
    <x v="1"/>
  </r>
  <r>
    <n v="19"/>
    <x v="18"/>
    <s v="IMV entry-fusion"/>
    <s v="ADT91103.1"/>
    <s v="PROT:ADT91103.1"/>
    <s v="MV entry-fusion complex protein"/>
    <s v="Cotia virus SPAn232"/>
    <x v="3"/>
    <x v="3"/>
    <n v="12"/>
    <x v="0"/>
  </r>
  <r>
    <n v="19"/>
    <x v="18"/>
    <s v="IMV entry-fusion"/>
    <s v="ANS71160.1"/>
    <s v="PROT:ANS71160.1"/>
    <s v="entry/fusion imv membrane protein"/>
    <s v="Pteropox virus"/>
    <x v="4"/>
    <x v="4"/>
    <n v="40"/>
    <x v="0"/>
  </r>
  <r>
    <n v="19"/>
    <x v="18"/>
    <s v="IMV entry-fusion"/>
    <s v="AKR04292.1"/>
    <s v="PROT:AKR04292.1"/>
    <s v="viral late protein H2"/>
    <s v="Salmon gill poxvirus"/>
    <x v="5"/>
    <x v="5"/>
    <n v="46"/>
    <x v="0"/>
  </r>
  <r>
    <n v="19"/>
    <x v="18"/>
    <s v="IMV entry-fusion"/>
    <s v="CCD83249.1"/>
    <s v="PROT:CCD83249.1"/>
    <s v="subunit of the poxvirus multiprotein entry-fusion complex"/>
    <s v="Squirrelpox virus"/>
    <x v="6"/>
    <x v="6"/>
    <n v="48"/>
    <x v="0"/>
  </r>
  <r>
    <n v="19"/>
    <x v="18"/>
    <s v="IMV entry-fusion"/>
    <s v="ASK51278.1"/>
    <s v="PROT:ASK51278.1"/>
    <s v="Entry/fusion IMV protein"/>
    <s v="Eptesipox virus"/>
    <x v="7"/>
    <x v="7"/>
    <n v="19"/>
    <x v="0"/>
  </r>
  <r>
    <n v="19"/>
    <x v="18"/>
    <s v="IMV entry-fusion"/>
    <s v="AUD40243.1"/>
    <s v="PROT:AUD40243.1"/>
    <s v="hypothetical protein fgpv_145"/>
    <s v="Flamingopox virus FGPVKD09"/>
    <x v="8"/>
    <x v="8"/>
    <n v="20"/>
    <x v="0"/>
  </r>
  <r>
    <n v="19"/>
    <x v="18"/>
    <s v="IMV entry-fusion"/>
    <s v="AID46875.1"/>
    <s v="PROT:AID46875.1"/>
    <s v="hypothetical protein pepv_147"/>
    <s v="Penguinpox virus"/>
    <x v="9"/>
    <x v="9"/>
    <n v="39"/>
    <x v="0"/>
  </r>
  <r>
    <n v="19"/>
    <x v="18"/>
    <s v="IMV entry-fusion"/>
    <s v="AID46646.1"/>
    <s v="PROT:AID46646.1"/>
    <s v="hypothetical protein fep_140"/>
    <s v="Pigeonpox virus"/>
    <x v="10"/>
    <x v="10"/>
    <n v="38"/>
    <x v="0"/>
  </r>
  <r>
    <n v="19"/>
    <x v="18"/>
    <s v="IMV entry-fusion"/>
    <s v="ALA62476.1"/>
    <s v="PROT:ALA62476.1"/>
    <s v="hypothetical protein"/>
    <s v="Turkeypox virus"/>
    <x v="11"/>
    <x v="11"/>
    <n v="51"/>
    <x v="0"/>
  </r>
  <r>
    <n v="19"/>
    <x v="18"/>
    <s v="IMV entry-fusion"/>
    <s v="AAR83530.1"/>
    <s v="PROT:AAR83530.1"/>
    <s v="CNPV184 conserved hypothetical protein"/>
    <s v="Canarypox virus"/>
    <x v="12"/>
    <x v="12"/>
    <n v="11"/>
    <x v="0"/>
  </r>
  <r>
    <n v="19"/>
    <x v="18"/>
    <s v="IMV entry-fusion"/>
    <s v="AAF44483.1"/>
    <s v="PROT:AAF44483.1"/>
    <s v="ORF FPV139"/>
    <s v="Fowlpox virus"/>
    <x v="13"/>
    <x v="13"/>
    <n v="21"/>
    <x v="0"/>
  </r>
  <r>
    <n v="19"/>
    <x v="18"/>
    <s v="IMV entry-fusion"/>
    <s v="YP_001293264.1"/>
    <s v="PROT:YP_001293264.1"/>
    <s v="hypothetical protein GTPV_gp069"/>
    <s v="Goatpox virus Pellor"/>
    <x v="57"/>
    <x v="57"/>
    <n v="23"/>
    <x v="0"/>
  </r>
  <r>
    <n v="19"/>
    <x v="18"/>
    <s v="IMV entry-fusion"/>
    <s v="AAK85034.1"/>
    <s v="PROT:AAK85034.1"/>
    <s v="LSDV073 hypothetical protein"/>
    <s v="Lumpy skin disease virus NI-2490"/>
    <x v="14"/>
    <x v="14"/>
    <n v="25"/>
    <x v="0"/>
  </r>
  <r>
    <n v="19"/>
    <x v="18"/>
    <s v="IMV entry-fusion"/>
    <s v="NP_659645.1"/>
    <s v="PROT:NP_659645.1"/>
    <s v="hypothetical protein SPPV_69"/>
    <s v="Sheeppox virus"/>
    <x v="56"/>
    <x v="56"/>
    <n v="44"/>
    <x v="0"/>
  </r>
  <r>
    <n v="19"/>
    <x v="18"/>
    <s v="IMV entry-fusion"/>
    <s v="AST09291.1"/>
    <s v="PROT:AST09291.1"/>
    <s v="essential component of virus entry complex"/>
    <s v="Murmansk poxvirus"/>
    <x v="15"/>
    <x v="15"/>
    <n v="27"/>
    <x v="0"/>
  </r>
  <r>
    <n v="19"/>
    <x v="18"/>
    <s v="IMV entry-fusion"/>
    <s v="AEN03669.1"/>
    <s v="PROT:AEN03669.1"/>
    <s v="essential component of virus entry complex"/>
    <s v="Yokapox virus"/>
    <x v="16"/>
    <x v="16"/>
    <n v="57"/>
    <x v="0"/>
  </r>
  <r>
    <n v="19"/>
    <x v="18"/>
    <s v="IMV entry-fusion"/>
    <s v="ABI99237.1"/>
    <s v="PROT:ABI99237.1"/>
    <s v="hypothetical protein DpV83gp082"/>
    <s v="Deerpox virus W-848-83"/>
    <x v="17"/>
    <x v="17"/>
    <n v="15"/>
    <x v="0"/>
  </r>
  <r>
    <n v="19"/>
    <x v="18"/>
    <s v="IMV entry-fusion"/>
    <s v="ABJ08992.1"/>
    <s v="PROT:ABJ08992.1"/>
    <s v="IMV membrane protein"/>
    <s v="Nile crocodilepox virus"/>
    <x v="18"/>
    <x v="18"/>
    <n v="34"/>
    <x v="0"/>
  </r>
  <r>
    <n v="19"/>
    <x v="18"/>
    <s v="IMV entry-fusion"/>
    <s v="AAF14958.1"/>
    <s v="PROT:AAF14958.1"/>
    <s v="m070R"/>
    <s v="Myxoma virus strain Lausanne"/>
    <x v="19"/>
    <x v="19"/>
    <n v="32"/>
    <x v="0"/>
  </r>
  <r>
    <n v="19"/>
    <x v="18"/>
    <s v="IMV entry-fusion"/>
    <s v="AFU77334.1"/>
    <s v="PROT:AFU77334.1"/>
    <s v="m070R"/>
    <s v="Myxoma virus isolate BRK 897"/>
    <x v="20"/>
    <x v="20"/>
    <n v="33"/>
    <x v="1"/>
  </r>
  <r>
    <n v="19"/>
    <x v="18"/>
    <s v="IMV entry-fusion"/>
    <s v="AAF17952.1"/>
    <s v="PROT:AAF17952.1"/>
    <s v="gp070R"/>
    <s v="Rabbit fibroma virus"/>
    <x v="21"/>
    <x v="21"/>
    <n v="43"/>
    <x v="0"/>
  </r>
  <r>
    <n v="19"/>
    <x v="18"/>
    <s v="IMV entry-fusion"/>
    <s v="AAC55211.1"/>
    <s v="PROT:AAC55211.1"/>
    <s v="MC083R"/>
    <s v="Molluscum contagiosum virus subtype 1"/>
    <x v="22"/>
    <x v="22"/>
    <n v="26"/>
    <x v="0"/>
  </r>
  <r>
    <n v="19"/>
    <x v="18"/>
    <s v="IMV entry-fusion"/>
    <s v="AYN64666.1"/>
    <s v="PROT:AYN64666.1"/>
    <s v="putative H2R protein"/>
    <s v="Orthopoxvirus Abatino"/>
    <x v="23"/>
    <x v="23"/>
    <n v="1"/>
    <x v="0"/>
  </r>
  <r>
    <n v="19"/>
    <x v="18"/>
    <s v="IMV entry-fusion"/>
    <s v="AXN74893.1"/>
    <s v="PROT:AXN74893.1"/>
    <s v="putative viral membrane protein"/>
    <s v="Akhmeta virus"/>
    <x v="24"/>
    <x v="24"/>
    <n v="4"/>
    <x v="0"/>
  </r>
  <r>
    <n v="19"/>
    <x v="18"/>
    <s v="IMV entry-fusion"/>
    <s v="ABH08207.1"/>
    <s v="PROT:ABH08207.1"/>
    <s v="HSPV101"/>
    <s v="Horsepox virus"/>
    <x v="25"/>
    <x v="25"/>
    <n v="24"/>
    <x v="0"/>
  </r>
  <r>
    <n v="19"/>
    <x v="18"/>
    <s v="IMV entry-fusion"/>
    <s v="AAL73805.1"/>
    <s v="PROT:AAL73805.1"/>
    <s v="hypothetical protein"/>
    <s v="Camelpox virus M-96"/>
    <x v="27"/>
    <x v="27"/>
    <n v="8"/>
    <x v="0"/>
  </r>
  <r>
    <n v="19"/>
    <x v="18"/>
    <s v="IMV entry-fusion"/>
    <s v="AAG37570.1"/>
    <s v="PROT:AAG37570.1"/>
    <s v="CMP97R"/>
    <s v="Camelpox virus CMS"/>
    <x v="26"/>
    <x v="26"/>
    <n v="9"/>
    <x v="1"/>
  </r>
  <r>
    <n v="19"/>
    <x v="18"/>
    <s v="IMV entry-fusion"/>
    <s v="AAM13554.1"/>
    <s v="PROT:AAM13554.1"/>
    <s v="CPXV111 protein"/>
    <s v="Cowpox virus"/>
    <x v="28"/>
    <x v="28"/>
    <n v="13"/>
    <x v="0"/>
  </r>
  <r>
    <n v="19"/>
    <x v="18"/>
    <s v="IMV entry-fusion"/>
    <s v="AAM92388.1"/>
    <s v="PROT:AAM92388.1"/>
    <s v="EVM084"/>
    <s v="Ectromelia virus"/>
    <x v="29"/>
    <x v="29"/>
    <n v="16"/>
    <x v="0"/>
  </r>
  <r>
    <n v="19"/>
    <x v="18"/>
    <s v="IMV entry-fusion"/>
    <s v="AFH54647.1"/>
    <s v="PROT:AFH54647.1"/>
    <s v="entry and cell to cell fusion protein"/>
    <s v="Ectromelia virus ERPV"/>
    <x v="30"/>
    <x v="30"/>
    <n v="17"/>
    <x v="1"/>
  </r>
  <r>
    <n v="19"/>
    <x v="18"/>
    <s v="IMV entry-fusion"/>
    <s v="AAL40550.1"/>
    <s v="PROT:AAL40550.1"/>
    <s v="H2R"/>
    <s v="Monkeypox virus Zaire-96-I-16 (clade I)"/>
    <x v="31"/>
    <x v="31"/>
    <n v="29"/>
    <x v="0"/>
  </r>
  <r>
    <n v="19"/>
    <x v="18"/>
    <s v="IMV entry-fusion"/>
    <s v="AAX09187.1"/>
    <s v="PROT:AAX09187.1"/>
    <s v="MPXV-COP-086"/>
    <s v="monkeypox virus strain cOP-58 (clade IIa)"/>
    <x v="32"/>
    <x v="32"/>
    <n v="28"/>
    <x v="0"/>
  </r>
  <r>
    <n v="19"/>
    <x v="18"/>
    <s v="IMV entry-fusion"/>
    <s v="AKJ93729.1"/>
    <s v="PROT:AKJ93729.1"/>
    <s v="Entry-fusion complex essential componen"/>
    <s v="Raccoonpox virus"/>
    <x v="33"/>
    <x v="33"/>
    <n v="41"/>
    <x v="0"/>
  </r>
  <r>
    <n v="19"/>
    <x v="18"/>
    <s v="IMV entry-fusion"/>
    <s v="AOP31578.1"/>
    <s v="PROT:AOP31578.1"/>
    <s v="entry-fusion complex essential componen"/>
    <s v="Skunkpox virus"/>
    <x v="34"/>
    <x v="34"/>
    <n v="45"/>
    <x v="0"/>
  </r>
  <r>
    <n v="19"/>
    <x v="18"/>
    <s v="IMV entry-fusion"/>
    <s v="ABD97668.1"/>
    <s v="PROT:ABD97668.1"/>
    <s v="IMV membrane protein"/>
    <s v="Taterapox virus"/>
    <x v="35"/>
    <x v="35"/>
    <n v="50"/>
    <x v="0"/>
  </r>
  <r>
    <n v="19"/>
    <x v="18"/>
    <s v="IMV entry-fusion"/>
    <s v="AAO89379.1"/>
    <s v="PROT:AAO89379.1"/>
    <s v="unknown"/>
    <s v="Vaccinia virus WR"/>
    <x v="36"/>
    <x v="36"/>
    <n v="52"/>
    <x v="0"/>
  </r>
  <r>
    <n v="19"/>
    <x v="18"/>
    <s v="IMV entry-fusion"/>
    <s v="CAA49026.1"/>
    <s v="PROT:CAA49026.1"/>
    <s v="I2R"/>
    <s v="Variola virus major"/>
    <x v="37"/>
    <x v="37"/>
    <n v="53"/>
    <x v="0"/>
  </r>
  <r>
    <n v="19"/>
    <x v="18"/>
    <s v="IMV entry-fusion"/>
    <s v="CAB54685.1"/>
    <s v="PROT:CAB54685.1"/>
    <s v="J2R protein"/>
    <s v="Variola minor virus"/>
    <x v="38"/>
    <x v="38"/>
    <n v="54"/>
    <x v="0"/>
  </r>
  <r>
    <n v="19"/>
    <x v="18"/>
    <s v="IMV entry-fusion"/>
    <s v="AOP31789.1"/>
    <s v="PROT:AOP31789.1"/>
    <s v="entry-fusion complex essential componen"/>
    <s v="Volepox virus"/>
    <x v="39"/>
    <x v="39"/>
    <n v="55"/>
    <x v="0"/>
  </r>
  <r>
    <n v="19"/>
    <x v="18"/>
    <s v="IMV entry-fusion"/>
    <s v="ASF89969.1"/>
    <s v="PROT:ASF89969.1"/>
    <s v="hypothetical protein SePPVgORF049"/>
    <s v="Seal parapoxvirus"/>
    <x v="40"/>
    <x v="40"/>
    <n v="22"/>
    <x v="0"/>
  </r>
  <r>
    <n v="19"/>
    <x v="18"/>
    <s v="IMV entry-fusion"/>
    <s v="AAR98415.1"/>
    <s v="PROT:AAR98415.1"/>
    <s v="ORF058 hypothetical protein"/>
    <s v="Bovine papular stomatitis virus"/>
    <x v="41"/>
    <x v="41"/>
    <n v="6"/>
    <x v="0"/>
  </r>
  <r>
    <n v="19"/>
    <x v="18"/>
    <s v="IMV entry-fusion"/>
    <s v="AAR98283.1"/>
    <s v="PROT:AAR98283.1"/>
    <s v="ORF058 hypothetical protein"/>
    <s v="Orf virus strain OV-SA00"/>
    <x v="42"/>
    <x v="42"/>
    <n v="35"/>
    <x v="0"/>
  </r>
  <r>
    <n v="19"/>
    <x v="18"/>
    <s v="IMV entry-fusion"/>
    <s v="ABA00575.1"/>
    <s v="PROT:ABA00575.1"/>
    <s v="IMV, viral entry"/>
    <s v="Orf virus strain NZ2"/>
    <x v="43"/>
    <x v="43"/>
    <n v="36"/>
    <x v="1"/>
  </r>
  <r>
    <n v="19"/>
    <x v="18"/>
    <s v="IMV entry-fusion"/>
    <s v="AIZ77309.1"/>
    <s v="PROT:AIZ77309.1"/>
    <s v="hypothetical protein"/>
    <s v="Parapoxvirus red deer/HL953"/>
    <x v="44"/>
    <x v="44"/>
    <n v="42"/>
    <x v="0"/>
  </r>
  <r>
    <n v="19"/>
    <x v="18"/>
    <s v="IMV entry-fusion"/>
    <s v="ADC53959.1"/>
    <s v="PROT:ADC53959.1"/>
    <s v="IMV viral entry protein"/>
    <s v="Pseudocowpox virus"/>
    <x v="45"/>
    <x v="45"/>
    <n v="37"/>
    <x v="0"/>
  </r>
  <r>
    <n v="19"/>
    <x v="18"/>
    <s v="IMV entry-fusion"/>
    <s v="AAL69809.1"/>
    <s v="PROT:AAL69809.1"/>
    <s v="SPV070 hypothetical protein"/>
    <s v="Swinepox virus"/>
    <x v="46"/>
    <x v="46"/>
    <n v="49"/>
    <x v="0"/>
  </r>
  <r>
    <n v="19"/>
    <x v="18"/>
    <s v="IMV entry-fusion"/>
    <s v="CAC21311.1"/>
    <s v="PROT:CAC21311.1"/>
    <s v="73R protein"/>
    <s v="Yaba-like disease virus"/>
    <x v="47"/>
    <x v="47"/>
    <n v="58"/>
    <x v="0"/>
  </r>
  <r>
    <n v="19"/>
    <x v="18"/>
    <s v="IMV entry-fusion"/>
    <s v="AAR07429.1"/>
    <s v="PROT:AAR07429.1"/>
    <s v="73R"/>
    <s v="Yaba monkey tumor virus"/>
    <x v="48"/>
    <x v="48"/>
    <n v="59"/>
    <x v="0"/>
  </r>
  <r>
    <n v="19"/>
    <x v="18"/>
    <s v="IMV entry-fusion"/>
    <s v="AAC97818.1"/>
    <s v="PROT:AAC97818.1"/>
    <s v="ORF MSV060 putative vaccinia H2R homolog, similar to SW:P20496"/>
    <s v="Melanoplus sanguinipes entomopoxvirus 'O'"/>
    <x v="49"/>
    <x v="49"/>
    <n v="30"/>
    <x v="0"/>
  </r>
  <r>
    <n v="19"/>
    <x v="18"/>
    <s v="IMV entry-fusion"/>
    <s v="BAO49538.1"/>
    <s v="PROT:BAO49538.1"/>
    <s v="putative viral membrane protein"/>
    <s v="Anomala cuprea entomopoxvirus"/>
    <x v="50"/>
    <x v="50"/>
    <n v="2"/>
    <x v="0"/>
  </r>
  <r>
    <n v="19"/>
    <x v="18"/>
    <s v="IMV entry-fusion"/>
    <s v="CCU55515.1"/>
    <s v="PROT:CCU55515.1"/>
    <s v="entry-fusion complex essential component (Cop-H2R)"/>
    <s v="Adoxophyes honmai entomopoxvirus 'L'"/>
    <x v="51"/>
    <x v="51"/>
    <n v="3"/>
    <x v="0"/>
  </r>
  <r>
    <n v="19"/>
    <x v="18"/>
    <s v="IMV entry-fusion"/>
    <s v="AAG02833.1"/>
    <s v="PROT:AAG02833.1"/>
    <s v="AMV127"/>
    <s v="Amsacta moorei entomopoxvirus"/>
    <x v="52"/>
    <x v="52"/>
    <n v="5"/>
    <x v="0"/>
  </r>
  <r>
    <n v="19"/>
    <x v="18"/>
    <s v="IMV entry-fusion"/>
    <s v="CCU55749.1"/>
    <s v="PROT:CCU55749.1"/>
    <s v="entry-fusion complex essential component (Cop-H2R)"/>
    <s v="Choristoneura biennis entomopoxvirus"/>
    <x v="53"/>
    <x v="53"/>
    <n v="10"/>
    <x v="0"/>
  </r>
  <r>
    <n v="19"/>
    <x v="18"/>
    <s v="IMV entry-fusion"/>
    <s v="CCU56051.1"/>
    <s v="PROT:CCU56051.1"/>
    <s v="entry-fusion complex essential component (Cop-H2R)"/>
    <s v="Choristoneura rosaceana entomopoxvirus 'L'"/>
    <x v="54"/>
    <x v="54"/>
    <n v="14"/>
    <x v="0"/>
  </r>
  <r>
    <n v="19"/>
    <x v="18"/>
    <s v="IMV entry-fusion"/>
    <s v="CCU56354.1"/>
    <s v="PROT:CCU56354.1"/>
    <s v="entry-fusion complex essential component (Cop-H2R)"/>
    <s v="Mythimna separata entomopoxvirus 'L'"/>
    <x v="55"/>
    <x v="55"/>
    <n v="31"/>
    <x v="0"/>
  </r>
  <r>
    <n v="20"/>
    <x v="19"/>
    <s v="RAP94"/>
    <s v="ATI21183.1"/>
    <s v="PROT:ATI21183.1"/>
    <s v="RAP94"/>
    <s v="Eastern grey kangaroopox virus"/>
    <x v="0"/>
    <x v="0"/>
    <n v="18"/>
    <x v="0"/>
  </r>
  <r>
    <n v="20"/>
    <x v="19"/>
    <s v="RAP94"/>
    <s v="AWU47118.1"/>
    <s v="PROT:AWU47118.1"/>
    <s v="RNA polymerase associated protein"/>
    <s v="Sea otter poxvirus"/>
    <x v="1"/>
    <x v="1"/>
    <n v="47"/>
    <x v="0"/>
  </r>
  <r>
    <n v="20"/>
    <x v="19"/>
    <s v="RAP94"/>
    <s v="APG58293.1"/>
    <s v="PROT:APG58293.1"/>
    <s v="RNA polymerase-associated transcription-specificity factor RAP94"/>
    <s v="BeAn 58058 virus"/>
    <x v="2"/>
    <x v="2"/>
    <n v="7"/>
    <x v="1"/>
  </r>
  <r>
    <n v="20"/>
    <x v="19"/>
    <s v="RAP94"/>
    <s v="ADT91105.1"/>
    <s v="PROT:ADT91105.1"/>
    <s v="DNA-dependent RNA polymerase associated protein RAP94"/>
    <s v="Cotia virus SPAn232"/>
    <x v="3"/>
    <x v="3"/>
    <n v="12"/>
    <x v="0"/>
  </r>
  <r>
    <n v="20"/>
    <x v="19"/>
    <s v="RAP94"/>
    <s v="ANS71162.1"/>
    <s v="PROT:ANS71162.1"/>
    <s v="RNA polymerase associated protein"/>
    <s v="Pteropox virus"/>
    <x v="4"/>
    <x v="4"/>
    <n v="40"/>
    <x v="0"/>
  </r>
  <r>
    <n v="20"/>
    <x v="19"/>
    <s v="RAP94"/>
    <s v="AKR04293.1"/>
    <s v="PROT:AKR04293.1"/>
    <s v="RNA polymerase-associated transcription specificity factor Rap94"/>
    <s v="Salmon gill poxvirus"/>
    <x v="5"/>
    <x v="5"/>
    <n v="46"/>
    <x v="0"/>
  </r>
  <r>
    <n v="20"/>
    <x v="19"/>
    <s v="RAP94"/>
    <s v="CCD83251.1"/>
    <s v="PROT:CCD83251.1"/>
    <s v="DNA-dependent RNA polymerase subunit RAP94"/>
    <s v="Squirrelpox virus"/>
    <x v="6"/>
    <x v="6"/>
    <n v="48"/>
    <x v="0"/>
  </r>
  <r>
    <n v="20"/>
    <x v="19"/>
    <s v="RAP94"/>
    <s v="ASK51280.1"/>
    <s v="PROT:ASK51280.1"/>
    <s v="RNA polymerase-associated protein"/>
    <s v="Eptesipox virus"/>
    <x v="7"/>
    <x v="7"/>
    <n v="19"/>
    <x v="0"/>
  </r>
  <r>
    <n v="20"/>
    <x v="19"/>
    <s v="RAP94"/>
    <s v="AUD40245.1"/>
    <s v="PROT:AUD40245.1"/>
    <s v="RNA polymerase-associated protein 94"/>
    <s v="Flamingopox virus FGPVKD09"/>
    <x v="8"/>
    <x v="8"/>
    <n v="20"/>
    <x v="0"/>
  </r>
  <r>
    <n v="20"/>
    <x v="19"/>
    <s v="RAP94"/>
    <s v="AID46877.1"/>
    <s v="PROT:AID46877.1"/>
    <s v="RNA polymerase-associated protein RAP94"/>
    <s v="Penguinpox virus"/>
    <x v="9"/>
    <x v="9"/>
    <n v="39"/>
    <x v="0"/>
  </r>
  <r>
    <n v="20"/>
    <x v="19"/>
    <s v="RAP94"/>
    <s v="AID46648.1"/>
    <s v="PROT:AID46648.1"/>
    <s v="RNA polymerase-associated protein RAP94"/>
    <s v="Pigeonpox virus"/>
    <x v="10"/>
    <x v="10"/>
    <n v="38"/>
    <x v="0"/>
  </r>
  <r>
    <n v="20"/>
    <x v="19"/>
    <s v="RAP94"/>
    <s v="ALA62479.1"/>
    <s v="PROT:ALA62479.1"/>
    <s v="RNA polymerase associated protein RAP94"/>
    <s v="Turkeypox virus"/>
    <x v="11"/>
    <x v="11"/>
    <n v="51"/>
    <x v="0"/>
  </r>
  <r>
    <n v="20"/>
    <x v="19"/>
    <s v="RAP94"/>
    <s v="AAR83533.1"/>
    <s v="PROT:AAR83533.1"/>
    <s v="CNPV187 RNA polymerase associated protein RAP94"/>
    <s v="Canarypox virus"/>
    <x v="12"/>
    <x v="12"/>
    <n v="11"/>
    <x v="0"/>
  </r>
  <r>
    <n v="20"/>
    <x v="19"/>
    <s v="RAP94"/>
    <s v="AAF44485.1"/>
    <s v="PROT:AAF44485.1"/>
    <s v="ORF FPV141 RNA polymerase associated protein RAP94"/>
    <s v="Fowlpox virus"/>
    <x v="13"/>
    <x v="13"/>
    <n v="21"/>
    <x v="0"/>
  </r>
  <r>
    <n v="20"/>
    <x v="19"/>
    <s v="RAP94"/>
    <s v="AAK85036.1"/>
    <s v="PROT:AAK85036.1"/>
    <s v="LSDV075 RNA polymerase-associated protein"/>
    <s v="Lumpy skin disease virus NI-2490"/>
    <x v="14"/>
    <x v="14"/>
    <n v="25"/>
    <x v="0"/>
  </r>
  <r>
    <n v="20"/>
    <x v="19"/>
    <s v="RAP94"/>
    <s v="AST09293.1"/>
    <s v="PROT:AST09293.1"/>
    <s v="RPO-associated proteinRAP94"/>
    <s v="Murmansk poxvirus"/>
    <x v="15"/>
    <x v="15"/>
    <n v="27"/>
    <x v="0"/>
  </r>
  <r>
    <n v="20"/>
    <x v="19"/>
    <s v="RAP94"/>
    <s v="AEN03671.1"/>
    <s v="PROT:AEN03671.1"/>
    <s v="RPO-associated protein,RAP94"/>
    <s v="Yokapox virus"/>
    <x v="16"/>
    <x v="16"/>
    <n v="57"/>
    <x v="0"/>
  </r>
  <r>
    <n v="20"/>
    <x v="19"/>
    <s v="RAP94"/>
    <s v="ABI99239.1"/>
    <s v="PROT:ABI99239.1"/>
    <s v="RNA polymerase-associated RAP94"/>
    <s v="Deerpox virus W-848-83"/>
    <x v="17"/>
    <x v="17"/>
    <n v="15"/>
    <x v="0"/>
  </r>
  <r>
    <n v="20"/>
    <x v="19"/>
    <s v="RAP94"/>
    <s v="ABJ08995.1"/>
    <s v="PROT:ABJ08995.1"/>
    <s v="RNA-polymerase associated protein"/>
    <s v="Nile crocodilepox virus"/>
    <x v="18"/>
    <x v="18"/>
    <n v="34"/>
    <x v="0"/>
  </r>
  <r>
    <n v="20"/>
    <x v="19"/>
    <s v="RAP94"/>
    <s v="AAF14960.1"/>
    <s v="PROT:AAF14960.1"/>
    <s v="m72L"/>
    <s v="Myxoma virus strain Lausanne"/>
    <x v="19"/>
    <x v="19"/>
    <n v="32"/>
    <x v="0"/>
  </r>
  <r>
    <n v="20"/>
    <x v="19"/>
    <s v="RAP94"/>
    <s v="AFU77336.1"/>
    <s v="PROT:AFU77336.1"/>
    <s v="m72L"/>
    <s v="Myxoma virus isolate BRK 897"/>
    <x v="20"/>
    <x v="20"/>
    <n v="33"/>
    <x v="1"/>
  </r>
  <r>
    <n v="20"/>
    <x v="19"/>
    <s v="RAP94"/>
    <s v="AAF17954.1"/>
    <s v="PROT:AAF17954.1"/>
    <s v="gp072L"/>
    <s v="Rabbit fibroma virus"/>
    <x v="21"/>
    <x v="21"/>
    <n v="43"/>
    <x v="0"/>
  </r>
  <r>
    <n v="20"/>
    <x v="19"/>
    <s v="RAP94"/>
    <s v="AAC55213.1"/>
    <s v="PROT:AAC55213.1"/>
    <s v="MC085L"/>
    <s v="Molluscum contagiosum virus subtype 1"/>
    <x v="22"/>
    <x v="22"/>
    <n v="26"/>
    <x v="0"/>
  </r>
  <r>
    <n v="20"/>
    <x v="19"/>
    <s v="RAP94"/>
    <s v="AYN64668.1"/>
    <s v="PROT:AYN64668.1"/>
    <s v="putative H4L protein"/>
    <s v="Orthopoxvirus Abatino"/>
    <x v="23"/>
    <x v="23"/>
    <n v="1"/>
    <x v="0"/>
  </r>
  <r>
    <n v="20"/>
    <x v="19"/>
    <s v="RAP94"/>
    <s v="AXN74895.1"/>
    <s v="PROT:AXN74895.1"/>
    <s v="RNA polymerase-associated protein"/>
    <s v="Akhmeta virus"/>
    <x v="24"/>
    <x v="24"/>
    <n v="4"/>
    <x v="0"/>
  </r>
  <r>
    <n v="20"/>
    <x v="19"/>
    <s v="RAP94"/>
    <s v="ABH08209.1"/>
    <s v="PROT:ABH08209.1"/>
    <s v="HSPV103"/>
    <s v="Horsepox virus"/>
    <x v="25"/>
    <x v="25"/>
    <n v="24"/>
    <x v="0"/>
  </r>
  <r>
    <n v="20"/>
    <x v="19"/>
    <s v="RAP94"/>
    <s v="AAL73807.1"/>
    <s v="PROT:AAL73807.1"/>
    <s v="RNA polymerase-associated RAP94"/>
    <s v="Camelpox virus M-96"/>
    <x v="27"/>
    <x v="27"/>
    <n v="8"/>
    <x v="0"/>
  </r>
  <r>
    <n v="20"/>
    <x v="19"/>
    <s v="RAP94"/>
    <s v="AAG37572.1"/>
    <s v="PROT:AAG37572.1"/>
    <s v="CMP99L"/>
    <s v="Camelpox virus CMS"/>
    <x v="26"/>
    <x v="26"/>
    <n v="9"/>
    <x v="1"/>
  </r>
  <r>
    <n v="20"/>
    <x v="19"/>
    <s v="RAP94"/>
    <s v="AAM13556.1"/>
    <s v="PROT:AAM13556.1"/>
    <s v="CPXV113 protein"/>
    <s v="Cowpox virus"/>
    <x v="28"/>
    <x v="28"/>
    <n v="13"/>
    <x v="0"/>
  </r>
  <r>
    <n v="20"/>
    <x v="19"/>
    <s v="RAP94"/>
    <s v="AAM92390.1"/>
    <s v="PROT:AAM92390.1"/>
    <s v="EVM086"/>
    <s v="Ectromelia virus"/>
    <x v="29"/>
    <x v="29"/>
    <n v="16"/>
    <x v="0"/>
  </r>
  <r>
    <n v="20"/>
    <x v="19"/>
    <s v="RAP94"/>
    <s v="AFH54649.1"/>
    <s v="PROT:AFH54649.1"/>
    <s v="RNA polymerase associated protein rap94"/>
    <s v="Ectromelia virus ERPV"/>
    <x v="30"/>
    <x v="30"/>
    <n v="17"/>
    <x v="1"/>
  </r>
  <r>
    <n v="20"/>
    <x v="19"/>
    <s v="RAP94"/>
    <s v="AAL40552.1"/>
    <s v="PROT:AAL40552.1"/>
    <s v="H4L"/>
    <s v="Monkeypox virus Zaire-96-I-16 (clade I)"/>
    <x v="31"/>
    <x v="31"/>
    <n v="29"/>
    <x v="0"/>
  </r>
  <r>
    <n v="20"/>
    <x v="19"/>
    <s v="RAP94"/>
    <s v="AAX09189.1"/>
    <s v="PROT:AAX09189.1"/>
    <s v="MPXV-COP-088"/>
    <s v="monkeypox virus strain cOP-58 (clade IIa)"/>
    <x v="32"/>
    <x v="32"/>
    <n v="28"/>
    <x v="0"/>
  </r>
  <r>
    <n v="20"/>
    <x v="19"/>
    <s v="RAP94"/>
    <s v="AKJ93731.1"/>
    <s v="PROT:AKJ93731.1"/>
    <s v="RAP94"/>
    <s v="Raccoonpox virus"/>
    <x v="33"/>
    <x v="33"/>
    <n v="41"/>
    <x v="0"/>
  </r>
  <r>
    <n v="20"/>
    <x v="19"/>
    <s v="RAP94"/>
    <s v="AOP31580.1"/>
    <s v="PROT:AOP31580.1"/>
    <s v="rap94"/>
    <s v="Skunkpox virus"/>
    <x v="34"/>
    <x v="34"/>
    <n v="45"/>
    <x v="0"/>
  </r>
  <r>
    <n v="20"/>
    <x v="19"/>
    <s v="RAP94"/>
    <s v="ABD97670.1"/>
    <s v="PROT:ABD97670.1"/>
    <s v="RNA polymerase subunit RAP94"/>
    <s v="Taterapox virus"/>
    <x v="35"/>
    <x v="35"/>
    <n v="50"/>
    <x v="0"/>
  </r>
  <r>
    <n v="20"/>
    <x v="19"/>
    <s v="RAP94"/>
    <s v="AAO89381.1"/>
    <s v="PROT:AAO89381.1"/>
    <s v="RAP94"/>
    <s v="Vaccinia virus WR"/>
    <x v="36"/>
    <x v="36"/>
    <n v="52"/>
    <x v="0"/>
  </r>
  <r>
    <n v="20"/>
    <x v="19"/>
    <s v="RAP94"/>
    <s v="CAA49028.1"/>
    <s v="PROT:CAA49028.1"/>
    <s v="I4L"/>
    <s v="Variola virus major"/>
    <x v="37"/>
    <x v="37"/>
    <n v="53"/>
    <x v="0"/>
  </r>
  <r>
    <n v="20"/>
    <x v="19"/>
    <s v="RAP94"/>
    <s v="CAB54687.1"/>
    <s v="PROT:CAB54687.1"/>
    <s v="J4L protein"/>
    <s v="Variola minor virus"/>
    <x v="38"/>
    <x v="38"/>
    <n v="54"/>
    <x v="0"/>
  </r>
  <r>
    <n v="20"/>
    <x v="19"/>
    <s v="RAP94"/>
    <s v="AOP31791.1"/>
    <s v="PROT:AOP31791.1"/>
    <s v="rap94"/>
    <s v="Volepox virus"/>
    <x v="39"/>
    <x v="39"/>
    <n v="55"/>
    <x v="0"/>
  </r>
  <r>
    <n v="20"/>
    <x v="19"/>
    <s v="RAP94"/>
    <s v="ASC55580.1"/>
    <s v="PROT:ASC55580.1"/>
    <s v="RNA polymerase-associated protein RAP94-like protein"/>
    <s v="Seal parapoxvirus"/>
    <x v="40"/>
    <x v="40"/>
    <n v="22"/>
    <x v="0"/>
  </r>
  <r>
    <n v="20"/>
    <x v="19"/>
    <s v="RAP94"/>
    <s v="AAR98417.1"/>
    <s v="PROT:AAR98417.1"/>
    <s v="ORF060 RNA polymerase-associated protein RAP94"/>
    <s v="Bovine papular stomatitis virus"/>
    <x v="41"/>
    <x v="41"/>
    <n v="6"/>
    <x v="0"/>
  </r>
  <r>
    <n v="20"/>
    <x v="19"/>
    <s v="RAP94"/>
    <s v="AAR98285.1"/>
    <s v="PROT:AAR98285.1"/>
    <s v="ORF060 RNA polymerase-associated protein RAP94"/>
    <s v="Orf virus strain OV-SA00"/>
    <x v="42"/>
    <x v="42"/>
    <n v="35"/>
    <x v="0"/>
  </r>
  <r>
    <n v="20"/>
    <x v="19"/>
    <s v="RAP94"/>
    <s v="ABA00577.1"/>
    <s v="PROT:ABA00577.1"/>
    <s v="RNA-polymerase associated RAP94"/>
    <s v="Orf virus strain NZ2"/>
    <x v="43"/>
    <x v="43"/>
    <n v="36"/>
    <x v="1"/>
  </r>
  <r>
    <n v="20"/>
    <x v="19"/>
    <s v="RAP94"/>
    <s v="AIZ77311.1"/>
    <s v="PROT:AIZ77311.1"/>
    <s v="putative RNA polymerase-associated protein RAP94"/>
    <s v="Parapoxvirus red deer/HL953"/>
    <x v="44"/>
    <x v="44"/>
    <n v="42"/>
    <x v="0"/>
  </r>
  <r>
    <n v="20"/>
    <x v="19"/>
    <s v="RAP94"/>
    <s v="ADC53961.1"/>
    <s v="PROT:ADC53961.1"/>
    <s v="RNA-polymerase associated RAP94"/>
    <s v="Pseudocowpox virus"/>
    <x v="45"/>
    <x v="45"/>
    <n v="37"/>
    <x v="0"/>
  </r>
  <r>
    <n v="20"/>
    <x v="19"/>
    <s v="RAP94"/>
    <s v="AAL69811.1"/>
    <s v="PROT:AAL69811.1"/>
    <s v="SPV072 RNA polymerase-associated protein RAP94"/>
    <s v="Swinepox virus"/>
    <x v="46"/>
    <x v="46"/>
    <n v="49"/>
    <x v="0"/>
  </r>
  <r>
    <n v="20"/>
    <x v="19"/>
    <s v="RAP94"/>
    <s v="CAC21313.1"/>
    <s v="PROT:CAC21313.1"/>
    <s v="75L protein"/>
    <s v="Yaba-like disease virus"/>
    <x v="47"/>
    <x v="47"/>
    <n v="58"/>
    <x v="0"/>
  </r>
  <r>
    <n v="20"/>
    <x v="19"/>
    <s v="RAP94"/>
    <s v="AAR07431.1"/>
    <s v="PROT:AAR07431.1"/>
    <s v="75L"/>
    <s v="Yaba monkey tumor virus"/>
    <x v="48"/>
    <x v="48"/>
    <n v="59"/>
    <x v="0"/>
  </r>
  <r>
    <n v="20"/>
    <x v="19"/>
    <s v="RAP94"/>
    <s v="AAC97801.1"/>
    <s v="PROT:AAC97801.1"/>
    <s v="ORF MSV119 putative RNA polymerase associated vaccinia RAP94 homolog (vaccinia H4L), similar to SW:P33067"/>
    <s v="Melanoplus sanguinipes entomopoxvirus 'O'"/>
    <x v="49"/>
    <x v="49"/>
    <n v="30"/>
    <x v="0"/>
  </r>
  <r>
    <n v="20"/>
    <x v="19"/>
    <s v="RAP94"/>
    <s v="BAO49510.1"/>
    <s v="PROT:BAO49510.1"/>
    <s v="putative RNA polymerase associated transcriptional specificity factor"/>
    <s v="Anomala cuprea entomopoxvirus"/>
    <x v="50"/>
    <x v="50"/>
    <n v="2"/>
    <x v="0"/>
  </r>
  <r>
    <n v="20"/>
    <x v="19"/>
    <s v="RAP94"/>
    <s v="CCU55375.1"/>
    <s v="PROT:CCU55375.1"/>
    <s v="RAP94 RNA pol assoc protein"/>
    <s v="Adoxophyes honmai entomopoxvirus 'L'"/>
    <x v="51"/>
    <x v="51"/>
    <n v="3"/>
    <x v="0"/>
  </r>
  <r>
    <n v="20"/>
    <x v="19"/>
    <s v="RAP94"/>
    <s v="AAG02760.1"/>
    <s v="PROT:AAG02760.1"/>
    <s v="AMV054"/>
    <s v="Amsacta moorei entomopoxvirus"/>
    <x v="52"/>
    <x v="52"/>
    <n v="5"/>
    <x v="0"/>
  </r>
  <r>
    <n v="20"/>
    <x v="19"/>
    <s v="RAP94"/>
    <s v="CCU55665.1"/>
    <s v="PROT:CCU55665.1"/>
    <s v="RAP94 RNA pol assoc protein"/>
    <s v="Choristoneura biennis entomopoxvirus"/>
    <x v="53"/>
    <x v="53"/>
    <n v="10"/>
    <x v="0"/>
  </r>
  <r>
    <n v="20"/>
    <x v="19"/>
    <s v="RAP94"/>
    <s v="CCU55975.1"/>
    <s v="PROT:CCU55975.1"/>
    <s v="RAP94 RNA pol assoc protein"/>
    <s v="Choristoneura rosaceana entomopoxvirus 'L'"/>
    <x v="54"/>
    <x v="54"/>
    <n v="14"/>
    <x v="0"/>
  </r>
  <r>
    <n v="20"/>
    <x v="19"/>
    <s v="RAP94"/>
    <s v="CCU56277.1"/>
    <s v="PROT:CCU56277.1"/>
    <s v="RAP94 RNA pol assoc protein"/>
    <s v="Mythimna separata entomopoxvirus 'L'"/>
    <x v="55"/>
    <x v="55"/>
    <n v="31"/>
    <x v="0"/>
  </r>
  <r>
    <n v="20"/>
    <x v="19"/>
    <s v="RAP94"/>
    <s v="YP_001293266.1"/>
    <s v="PROT:YP_001293266.1"/>
    <s v="hypothetical protein GTPV_gp071"/>
    <s v="Goatpox virus Pellor"/>
    <x v="57"/>
    <x v="57"/>
    <n v="23"/>
    <x v="0"/>
  </r>
  <r>
    <n v="20"/>
    <x v="19"/>
    <s v="RAP94"/>
    <s v="NP_659647.1"/>
    <s v="PROT:NP_659647.1"/>
    <s v="RNA polymerase-associated protein, RAP94"/>
    <s v="Sheeppox virus"/>
    <x v="56"/>
    <x v="56"/>
    <n v="44"/>
    <x v="0"/>
  </r>
  <r>
    <n v="21"/>
    <x v="20"/>
    <s v="DNA topoisomerase"/>
    <s v="ATI21185.1"/>
    <s v="PROT:ATI21185.1"/>
    <s v="DNA topoisomerase type I"/>
    <s v="Eastern grey kangaroopox virus"/>
    <x v="0"/>
    <x v="0"/>
    <n v="18"/>
    <x v="0"/>
  </r>
  <r>
    <n v="21"/>
    <x v="20"/>
    <s v="DNA topoisomerase"/>
    <s v="AWU47120.1"/>
    <s v="PROT:AWU47120.1"/>
    <s v="DNA topoisomerase type I"/>
    <s v="Sea otter poxvirus"/>
    <x v="1"/>
    <x v="1"/>
    <n v="47"/>
    <x v="0"/>
  </r>
  <r>
    <n v="21"/>
    <x v="20"/>
    <s v="DNA topoisomerase"/>
    <s v="APG58296.1"/>
    <s v="PROT:APG58296.1"/>
    <s v="DNA topoisomerase 1"/>
    <s v="BeAn 58058 virus"/>
    <x v="2"/>
    <x v="2"/>
    <n v="7"/>
    <x v="1"/>
  </r>
  <r>
    <n v="21"/>
    <x v="20"/>
    <s v="DNA topoisomerase"/>
    <s v="ADT91107.1"/>
    <s v="PROT:ADT91107.1"/>
    <s v="DNA topoisomerase type I"/>
    <s v="Cotia virus SPAn232"/>
    <x v="3"/>
    <x v="3"/>
    <n v="12"/>
    <x v="0"/>
  </r>
  <r>
    <n v="21"/>
    <x v="20"/>
    <s v="DNA topoisomerase"/>
    <s v="ANS71164.1"/>
    <s v="PROT:ANS71164.1"/>
    <s v="DNA topoisomerase type I"/>
    <s v="Pteropox virus"/>
    <x v="4"/>
    <x v="4"/>
    <n v="40"/>
    <x v="0"/>
  </r>
  <r>
    <n v="21"/>
    <x v="20"/>
    <s v="DNA topoisomerase"/>
    <s v="AKR04295.1"/>
    <s v="PROT:AKR04295.1"/>
    <s v="DNA topoisomerase I"/>
    <s v="Salmon gill poxvirus"/>
    <x v="5"/>
    <x v="5"/>
    <n v="46"/>
    <x v="0"/>
  </r>
  <r>
    <n v="21"/>
    <x v="20"/>
    <s v="DNA topoisomerase"/>
    <s v="CCD83253.1"/>
    <s v="PROT:CCD83253.1"/>
    <s v="topoisomerase"/>
    <s v="Squirrelpox virus"/>
    <x v="6"/>
    <x v="6"/>
    <n v="48"/>
    <x v="0"/>
  </r>
  <r>
    <n v="21"/>
    <x v="20"/>
    <s v="DNA topoisomerase"/>
    <s v="ASK51282.1"/>
    <s v="PROT:ASK51282.1"/>
    <s v="DNA topoisomerase type I"/>
    <s v="Eptesipox virus"/>
    <x v="7"/>
    <x v="7"/>
    <n v="19"/>
    <x v="0"/>
  </r>
  <r>
    <n v="21"/>
    <x v="20"/>
    <s v="DNA topoisomerase"/>
    <s v="AUD40247.1"/>
    <s v="PROT:AUD40247.1"/>
    <s v="DNA topoisomerase"/>
    <s v="Flamingopox virus FGPVKD09"/>
    <x v="8"/>
    <x v="8"/>
    <n v="20"/>
    <x v="0"/>
  </r>
  <r>
    <n v="21"/>
    <x v="20"/>
    <s v="DNA topoisomerase"/>
    <s v="AID46879.1"/>
    <s v="PROT:AID46879.1"/>
    <s v="DNA topoisomerase"/>
    <s v="Penguinpox virus"/>
    <x v="9"/>
    <x v="9"/>
    <n v="39"/>
    <x v="0"/>
  </r>
  <r>
    <n v="21"/>
    <x v="20"/>
    <s v="DNA topoisomerase"/>
    <s v="AID46650.1"/>
    <s v="PROT:AID46650.1"/>
    <s v="DNA topoisomerase"/>
    <s v="Pigeonpox virus"/>
    <x v="10"/>
    <x v="10"/>
    <n v="38"/>
    <x v="0"/>
  </r>
  <r>
    <n v="21"/>
    <x v="20"/>
    <s v="DNA topoisomerase"/>
    <s v="ALA62481.1"/>
    <s v="PROT:ALA62481.1"/>
    <s v="DNA topoisomerase"/>
    <s v="Turkeypox virus"/>
    <x v="11"/>
    <x v="11"/>
    <n v="51"/>
    <x v="0"/>
  </r>
  <r>
    <n v="21"/>
    <x v="20"/>
    <s v="DNA topoisomerase"/>
    <s v="AAR83535.1"/>
    <s v="PROT:AAR83535.1"/>
    <s v="CNPV189 DNA topoisomerase"/>
    <s v="Canarypox virus"/>
    <x v="12"/>
    <x v="12"/>
    <n v="11"/>
    <x v="0"/>
  </r>
  <r>
    <n v="21"/>
    <x v="20"/>
    <s v="DNA topoisomerase"/>
    <s v="AAF44487.1"/>
    <s v="PROT:AAF44487.1"/>
    <s v="ORF FPV143 DNA topoisomerase"/>
    <s v="Fowlpox virus"/>
    <x v="13"/>
    <x v="13"/>
    <n v="21"/>
    <x v="0"/>
  </r>
  <r>
    <n v="21"/>
    <x v="20"/>
    <s v="DNA topoisomerase"/>
    <s v="AAK85038.1"/>
    <s v="PROT:AAK85038.1"/>
    <s v="LSDV077 DNA topoisomerase"/>
    <s v="Lumpy skin disease virus NI-2490"/>
    <x v="14"/>
    <x v="14"/>
    <n v="25"/>
    <x v="0"/>
  </r>
  <r>
    <n v="21"/>
    <x v="20"/>
    <s v="DNA topoisomerase"/>
    <s v="AST09295.1"/>
    <s v="PROT:AST09295.1"/>
    <s v="DNA topoisomerase type I"/>
    <s v="Murmansk poxvirus"/>
    <x v="15"/>
    <x v="15"/>
    <n v="27"/>
    <x v="0"/>
  </r>
  <r>
    <n v="21"/>
    <x v="20"/>
    <s v="DNA topoisomerase"/>
    <s v="AEN03673.1"/>
    <s v="PROT:AEN03673.1"/>
    <s v="DNA topoisomerase type I"/>
    <s v="Yokapox virus"/>
    <x v="16"/>
    <x v="16"/>
    <n v="57"/>
    <x v="0"/>
  </r>
  <r>
    <n v="21"/>
    <x v="20"/>
    <s v="DNA topoisomerase"/>
    <s v="ABI99241.1"/>
    <s v="PROT:ABI99241.1"/>
    <s v="DNA topoisomerase"/>
    <s v="Deerpox virus W-848-83"/>
    <x v="17"/>
    <x v="17"/>
    <n v="15"/>
    <x v="0"/>
  </r>
  <r>
    <n v="21"/>
    <x v="20"/>
    <s v="DNA topoisomerase"/>
    <s v="ABJ08997.1"/>
    <s v="PROT:ABJ08997.1"/>
    <s v="DNA topoisomerase IB"/>
    <s v="Nile crocodilepox virus"/>
    <x v="18"/>
    <x v="18"/>
    <n v="34"/>
    <x v="0"/>
  </r>
  <r>
    <n v="21"/>
    <x v="20"/>
    <s v="DNA topoisomerase"/>
    <s v="AAF14962.1"/>
    <s v="PROT:AAF14962.1"/>
    <s v="m74R"/>
    <s v="Myxoma virus strain Lausanne"/>
    <x v="19"/>
    <x v="19"/>
    <n v="32"/>
    <x v="0"/>
  </r>
  <r>
    <n v="21"/>
    <x v="20"/>
    <s v="DNA topoisomerase"/>
    <s v="AFU77338.1"/>
    <s v="PROT:AFU77338.1"/>
    <s v="m74R"/>
    <s v="Myxoma virus isolate BRK 897"/>
    <x v="20"/>
    <x v="20"/>
    <n v="33"/>
    <x v="1"/>
  </r>
  <r>
    <n v="21"/>
    <x v="20"/>
    <s v="DNA topoisomerase"/>
    <s v="AAF17956.1"/>
    <s v="PROT:AAF17956.1"/>
    <s v="gp074R"/>
    <s v="Rabbit fibroma virus"/>
    <x v="21"/>
    <x v="21"/>
    <n v="43"/>
    <x v="0"/>
  </r>
  <r>
    <n v="21"/>
    <x v="20"/>
    <s v="DNA topoisomerase"/>
    <s v="AAC55215.1"/>
    <s v="PROT:AAC55215.1"/>
    <s v="MC087R"/>
    <s v="Molluscum contagiosum virus subtype 1"/>
    <x v="22"/>
    <x v="22"/>
    <n v="26"/>
    <x v="0"/>
  </r>
  <r>
    <n v="21"/>
    <x v="20"/>
    <s v="DNA topoisomerase"/>
    <s v="AYN64670.1"/>
    <s v="PROT:AYN64670.1"/>
    <s v="putative H6R protein"/>
    <s v="Orthopoxvirus Abatino"/>
    <x v="23"/>
    <x v="23"/>
    <n v="1"/>
    <x v="0"/>
  </r>
  <r>
    <n v="21"/>
    <x v="20"/>
    <s v="DNA topoisomerase"/>
    <s v="AXN74897.1"/>
    <s v="PROT:AXN74897.1"/>
    <s v="DNA topoisomerase type-1"/>
    <s v="Akhmeta virus"/>
    <x v="24"/>
    <x v="24"/>
    <n v="4"/>
    <x v="0"/>
  </r>
  <r>
    <n v="21"/>
    <x v="20"/>
    <s v="DNA topoisomerase"/>
    <s v="ABH08211.1"/>
    <s v="PROT:ABH08211.1"/>
    <s v="HSPV105"/>
    <s v="Horsepox virus"/>
    <x v="25"/>
    <x v="25"/>
    <n v="24"/>
    <x v="0"/>
  </r>
  <r>
    <n v="21"/>
    <x v="20"/>
    <s v="DNA topoisomerase"/>
    <s v="AAG37574.1"/>
    <s v="PROT:AAG37574.1"/>
    <s v="CMP101R"/>
    <s v="Camelpox virus CMS"/>
    <x v="26"/>
    <x v="26"/>
    <n v="9"/>
    <x v="1"/>
  </r>
  <r>
    <n v="21"/>
    <x v="20"/>
    <s v="DNA topoisomerase"/>
    <s v="AAL73809.1"/>
    <s v="PROT:AAL73809.1"/>
    <s v="DNA topoisomerase"/>
    <s v="Camelpox virus M-96"/>
    <x v="27"/>
    <x v="27"/>
    <n v="8"/>
    <x v="0"/>
  </r>
  <r>
    <n v="21"/>
    <x v="20"/>
    <s v="DNA topoisomerase"/>
    <s v="AAM13558.1"/>
    <s v="PROT:AAM13558.1"/>
    <s v="CPXV115 protein"/>
    <s v="Cowpox virus"/>
    <x v="28"/>
    <x v="28"/>
    <n v="13"/>
    <x v="0"/>
  </r>
  <r>
    <n v="21"/>
    <x v="20"/>
    <s v="DNA topoisomerase"/>
    <s v="AAM92392.1"/>
    <s v="PROT:AAM92392.1"/>
    <s v="EVM088"/>
    <s v="Ectromelia virus"/>
    <x v="29"/>
    <x v="29"/>
    <n v="16"/>
    <x v="0"/>
  </r>
  <r>
    <n v="21"/>
    <x v="20"/>
    <s v="DNA topoisomerase"/>
    <s v="AFH54651.1"/>
    <s v="PROT:AFH54651.1"/>
    <s v="topoisomerase type I"/>
    <s v="Ectromelia virus ERPV"/>
    <x v="30"/>
    <x v="30"/>
    <n v="17"/>
    <x v="1"/>
  </r>
  <r>
    <n v="21"/>
    <x v="20"/>
    <s v="DNA topoisomerase"/>
    <s v="AAL40554.1"/>
    <s v="PROT:AAL40554.1"/>
    <s v="H6R"/>
    <s v="Monkeypox virus Zaire-96-I-16 (clade I)"/>
    <x v="31"/>
    <x v="31"/>
    <n v="29"/>
    <x v="0"/>
  </r>
  <r>
    <n v="21"/>
    <x v="20"/>
    <s v="DNA topoisomerase"/>
    <s v="AAX09191.1"/>
    <s v="PROT:AAX09191.1"/>
    <s v="MPXV-COP-090"/>
    <s v="monkeypox virus strain cOP-58 (clade IIa)"/>
    <x v="32"/>
    <x v="32"/>
    <n v="28"/>
    <x v="0"/>
  </r>
  <r>
    <n v="21"/>
    <x v="20"/>
    <s v="DNA topoisomerase"/>
    <s v="AKJ93733.1"/>
    <s v="PROT:AKJ93733.1"/>
    <s v="DNA Topoisomerase type I"/>
    <s v="Raccoonpox virus"/>
    <x v="33"/>
    <x v="33"/>
    <n v="41"/>
    <x v="0"/>
  </r>
  <r>
    <n v="21"/>
    <x v="20"/>
    <s v="DNA topoisomerase"/>
    <s v="AOP31582.1"/>
    <s v="PROT:AOP31582.1"/>
    <s v="DNA topoisomerase type I"/>
    <s v="Skunkpox virus"/>
    <x v="34"/>
    <x v="34"/>
    <n v="45"/>
    <x v="0"/>
  </r>
  <r>
    <n v="21"/>
    <x v="20"/>
    <s v="DNA topoisomerase"/>
    <s v="ABD97672.1"/>
    <s v="PROT:ABD97672.1"/>
    <s v="topoisomerase type IB"/>
    <s v="Taterapox virus"/>
    <x v="35"/>
    <x v="35"/>
    <n v="50"/>
    <x v="0"/>
  </r>
  <r>
    <n v="21"/>
    <x v="20"/>
    <s v="DNA topoisomerase"/>
    <s v="AAO89383.1"/>
    <s v="PROT:AAO89383.1"/>
    <s v="topoisomerase type IB"/>
    <s v="Vaccinia virus WR"/>
    <x v="36"/>
    <x v="36"/>
    <n v="52"/>
    <x v="0"/>
  </r>
  <r>
    <n v="21"/>
    <x v="20"/>
    <s v="DNA topoisomerase"/>
    <s v="CAA49030.1"/>
    <s v="PROT:CAA49030.1"/>
    <s v="I6R"/>
    <s v="Variola virus major"/>
    <x v="37"/>
    <x v="37"/>
    <n v="53"/>
    <x v="0"/>
  </r>
  <r>
    <n v="21"/>
    <x v="20"/>
    <s v="DNA topoisomerase"/>
    <s v="CAB54689.1"/>
    <s v="PROT:CAB54689.1"/>
    <s v="J6R protein"/>
    <s v="Variola minor virus"/>
    <x v="38"/>
    <x v="38"/>
    <n v="54"/>
    <x v="0"/>
  </r>
  <r>
    <n v="21"/>
    <x v="20"/>
    <s v="DNA topoisomerase"/>
    <s v="AOP31793.1"/>
    <s v="PROT:AOP31793.1"/>
    <s v="DNA topoisomerase type I"/>
    <s v="Volepox virus"/>
    <x v="39"/>
    <x v="39"/>
    <n v="55"/>
    <x v="0"/>
  </r>
  <r>
    <n v="21"/>
    <x v="20"/>
    <s v="DNA topoisomerase"/>
    <s v="ASC55578.1"/>
    <s v="PROT:ASC55578.1"/>
    <s v="DNA topoisomerase type I-like protein"/>
    <s v="Seal parapoxvirus"/>
    <x v="40"/>
    <x v="40"/>
    <n v="22"/>
    <x v="0"/>
  </r>
  <r>
    <n v="21"/>
    <x v="20"/>
    <s v="DNA topoisomerase"/>
    <s v="AAR98419.1"/>
    <s v="PROT:AAR98419.1"/>
    <s v="ORF062 DNA topoisomerase type I"/>
    <s v="Bovine papular stomatitis virus"/>
    <x v="41"/>
    <x v="41"/>
    <n v="6"/>
    <x v="0"/>
  </r>
  <r>
    <n v="21"/>
    <x v="20"/>
    <s v="DNA topoisomerase"/>
    <s v="AAR98287.1"/>
    <s v="PROT:AAR98287.1"/>
    <s v="ORF062 DNA topoisomerase type I"/>
    <s v="Orf virus strain OV-SA00"/>
    <x v="42"/>
    <x v="42"/>
    <n v="35"/>
    <x v="0"/>
  </r>
  <r>
    <n v="21"/>
    <x v="20"/>
    <s v="DNA topoisomerase"/>
    <s v="ABA00579.1"/>
    <s v="PROT:ABA00579.1"/>
    <s v="topoisomerase I"/>
    <s v="Orf virus strain NZ2"/>
    <x v="43"/>
    <x v="43"/>
    <n v="36"/>
    <x v="1"/>
  </r>
  <r>
    <n v="21"/>
    <x v="20"/>
    <s v="DNA topoisomerase"/>
    <s v="AIZ77313.1"/>
    <s v="PROT:AIZ77313.1"/>
    <s v="putative DNA topoisomerase type I"/>
    <s v="Parapoxvirus red deer/HL953"/>
    <x v="44"/>
    <x v="44"/>
    <n v="42"/>
    <x v="0"/>
  </r>
  <r>
    <n v="21"/>
    <x v="20"/>
    <s v="DNA topoisomerase"/>
    <s v="ADC53963.1"/>
    <s v="PROT:ADC53963.1"/>
    <s v="topoisomerase I"/>
    <s v="Pseudocowpox virus"/>
    <x v="45"/>
    <x v="45"/>
    <n v="37"/>
    <x v="0"/>
  </r>
  <r>
    <n v="21"/>
    <x v="20"/>
    <s v="DNA topoisomerase"/>
    <s v="AAL69813.1"/>
    <s v="PROT:AAL69813.1"/>
    <s v="SPV074 DNA topoisomerase"/>
    <s v="Swinepox virus"/>
    <x v="46"/>
    <x v="46"/>
    <n v="49"/>
    <x v="0"/>
  </r>
  <r>
    <n v="21"/>
    <x v="20"/>
    <s v="DNA topoisomerase"/>
    <s v="CAC21315.1"/>
    <s v="PROT:CAC21315.1"/>
    <s v="77R protein"/>
    <s v="Yaba-like disease virus"/>
    <x v="47"/>
    <x v="47"/>
    <n v="58"/>
    <x v="0"/>
  </r>
  <r>
    <n v="21"/>
    <x v="20"/>
    <s v="DNA topoisomerase"/>
    <s v="AAR07433.1"/>
    <s v="PROT:AAR07433.1"/>
    <s v="77R"/>
    <s v="Yaba monkey tumor virus"/>
    <x v="48"/>
    <x v="48"/>
    <n v="59"/>
    <x v="0"/>
  </r>
  <r>
    <n v="21"/>
    <x v="20"/>
    <s v="DNA topoisomerase"/>
    <s v="AAC97665.1"/>
    <s v="PROT:AAC97665.1"/>
    <s v="ORF MSV130 putative DNA topoisomerase I, Amsacta moorei entomopoxvirus topoisomerase (vaccinia H6R) homolog, similar to GB:U80056"/>
    <s v="Melanoplus sanguinipes entomopoxvirus 'O'"/>
    <x v="49"/>
    <x v="49"/>
    <n v="30"/>
    <x v="0"/>
  </r>
  <r>
    <n v="21"/>
    <x v="20"/>
    <s v="DNA topoisomerase"/>
    <s v="BAO49512.1"/>
    <s v="PROT:BAO49512.1"/>
    <s v="DNA topoisomerase type I"/>
    <s v="Anomala cuprea entomopoxvirus"/>
    <x v="50"/>
    <x v="50"/>
    <n v="2"/>
    <x v="0"/>
  </r>
  <r>
    <n v="21"/>
    <x v="20"/>
    <s v="DNA topoisomerase"/>
    <s v="CCU55373.1"/>
    <s v="PROT:CCU55373.1"/>
    <s v="DNA Topoisomerase type I"/>
    <s v="Adoxophyes honmai entomopoxvirus 'L'"/>
    <x v="51"/>
    <x v="51"/>
    <n v="3"/>
    <x v="0"/>
  </r>
  <r>
    <n v="21"/>
    <x v="20"/>
    <s v="DNA topoisomerase"/>
    <s v="AAG02758.1"/>
    <s v="PROT:AAG02758.1"/>
    <s v="AMV052"/>
    <s v="Amsacta moorei entomopoxvirus"/>
    <x v="52"/>
    <x v="52"/>
    <n v="5"/>
    <x v="0"/>
  </r>
  <r>
    <n v="21"/>
    <x v="20"/>
    <s v="DNA topoisomerase"/>
    <s v="CCU55663.1"/>
    <s v="PROT:CCU55663.1"/>
    <s v="DNA Topoisomerase type I"/>
    <s v="Choristoneura biennis entomopoxvirus"/>
    <x v="53"/>
    <x v="53"/>
    <n v="10"/>
    <x v="0"/>
  </r>
  <r>
    <n v="21"/>
    <x v="20"/>
    <s v="DNA topoisomerase"/>
    <s v="CCU55973.1"/>
    <s v="PROT:CCU55973.1"/>
    <s v="DNA Topoisomerase type I"/>
    <s v="Choristoneura rosaceana entomopoxvirus 'L'"/>
    <x v="54"/>
    <x v="54"/>
    <n v="14"/>
    <x v="0"/>
  </r>
  <r>
    <n v="21"/>
    <x v="20"/>
    <s v="DNA topoisomerase"/>
    <s v="CCU56275.1"/>
    <s v="PROT:CCU56275.1"/>
    <s v="DNA Topoisomerase type I"/>
    <s v="Mythimna separata entomopoxvirus 'L'"/>
    <x v="55"/>
    <x v="55"/>
    <n v="31"/>
    <x v="0"/>
  </r>
  <r>
    <n v="21"/>
    <x v="20"/>
    <s v="DNA topoisomerase"/>
    <s v="NP_659649.1"/>
    <s v="PROT:NP_659649.1"/>
    <s v="DNA topoisomerase"/>
    <s v="Sheeppox virus"/>
    <x v="56"/>
    <x v="56"/>
    <n v="44"/>
    <x v="0"/>
  </r>
  <r>
    <n v="21"/>
    <x v="20"/>
    <s v="DNA topoisomerase"/>
    <s v="YP_001293268.1"/>
    <s v="PROT:YP_001293268.1"/>
    <s v="hypothetical protein GTPV_gp073"/>
    <s v="Goatpox virus Pellor"/>
    <x v="57"/>
    <x v="57"/>
    <n v="23"/>
    <x v="0"/>
  </r>
  <r>
    <n v="22"/>
    <x v="21"/>
    <s v="NPH-II"/>
    <s v="ATI21157.1"/>
    <s v="PROT:ATI21157.1"/>
    <s v="RNA helicase DExH-NPH-II domain"/>
    <s v="Eastern grey kangaroopox virus"/>
    <x v="0"/>
    <x v="0"/>
    <n v="18"/>
    <x v="0"/>
  </r>
  <r>
    <n v="22"/>
    <x v="21"/>
    <s v="NPH-II"/>
    <s v="AWU47094.1"/>
    <s v="PROT:AWU47094.1"/>
    <s v="RNA helicase"/>
    <s v="Sea otter poxvirus"/>
    <x v="1"/>
    <x v="1"/>
    <n v="47"/>
    <x v="0"/>
  </r>
  <r>
    <n v="22"/>
    <x v="21"/>
    <s v="NPH-II"/>
    <s v="APG58264.1"/>
    <s v="PROT:APG58264.1"/>
    <s v="RNA helicase NPH-II"/>
    <s v="BeAn 58058 virus"/>
    <x v="2"/>
    <x v="2"/>
    <n v="7"/>
    <x v="1"/>
  </r>
  <r>
    <n v="22"/>
    <x v="21"/>
    <s v="NPH-II"/>
    <s v="ADT91081.1"/>
    <s v="PROT:ADT91081.1"/>
    <s v="RNA helicase NPH-II"/>
    <s v="Cotia virus SPAn232"/>
    <x v="3"/>
    <x v="3"/>
    <n v="12"/>
    <x v="0"/>
  </r>
  <r>
    <n v="22"/>
    <x v="21"/>
    <s v="NPH-II"/>
    <s v="ANS71138.1"/>
    <s v="PROT:ANS71138.1"/>
    <s v="RNA helicase, dexh-nph-ii domain"/>
    <s v="Pteropox virus"/>
    <x v="4"/>
    <x v="4"/>
    <n v="40"/>
    <x v="0"/>
  </r>
  <r>
    <n v="22"/>
    <x v="21"/>
    <s v="NPH-II"/>
    <s v="AKR04274.1"/>
    <s v="PROT:AKR04274.1"/>
    <s v="RNA-helicase DExH-NPH-II"/>
    <s v="Salmon gill poxvirus"/>
    <x v="5"/>
    <x v="5"/>
    <n v="46"/>
    <x v="0"/>
  </r>
  <r>
    <n v="22"/>
    <x v="21"/>
    <s v="NPH-II"/>
    <s v="CCD83226.1"/>
    <s v="PROT:CCD83226.1"/>
    <s v="encapsidated ATP-dependent RNA helicase"/>
    <s v="Squirrelpox virus"/>
    <x v="6"/>
    <x v="6"/>
    <n v="48"/>
    <x v="0"/>
  </r>
  <r>
    <n v="22"/>
    <x v="21"/>
    <s v="NPH-II"/>
    <s v="ASK51254.1"/>
    <s v="PROT:ASK51254.1"/>
    <s v="RNA-helicase, DExH-NPH-II"/>
    <s v="Eptesipox virus"/>
    <x v="7"/>
    <x v="7"/>
    <n v="19"/>
    <x v="0"/>
  </r>
  <r>
    <n v="22"/>
    <x v="21"/>
    <s v="NPH-II"/>
    <s v="AUD40185.1"/>
    <s v="PROT:AUD40185.1"/>
    <s v="DNA/RNA helicase/NPH-11"/>
    <s v="Flamingopox virus FGPVKD09"/>
    <x v="8"/>
    <x v="8"/>
    <n v="20"/>
    <x v="0"/>
  </r>
  <r>
    <n v="22"/>
    <x v="21"/>
    <s v="NPH-II"/>
    <s v="AID46820.1"/>
    <s v="PROT:AID46820.1"/>
    <s v="DNA/RNA helicase/NPH-11"/>
    <s v="Penguinpox virus"/>
    <x v="9"/>
    <x v="9"/>
    <n v="39"/>
    <x v="0"/>
  </r>
  <r>
    <n v="22"/>
    <x v="21"/>
    <s v="NPH-II"/>
    <s v="AID46591.1"/>
    <s v="PROT:AID46591.1"/>
    <s v="DNA/RNA helicase/NPH-11"/>
    <s v="Pigeonpox virus"/>
    <x v="10"/>
    <x v="10"/>
    <n v="38"/>
    <x v="0"/>
  </r>
  <r>
    <n v="22"/>
    <x v="21"/>
    <s v="NPH-II"/>
    <s v="ALA62429.1"/>
    <s v="PROT:ALA62429.1"/>
    <s v="NPH-II RNA helicase"/>
    <s v="Turkeypox virus"/>
    <x v="11"/>
    <x v="11"/>
    <n v="51"/>
    <x v="0"/>
  </r>
  <r>
    <n v="22"/>
    <x v="21"/>
    <s v="NPH-II"/>
    <s v="AAR83455.1"/>
    <s v="PROT:AAR83455.1"/>
    <s v="CNPV109 NPH-II, RNA helicase"/>
    <s v="Canarypox virus"/>
    <x v="12"/>
    <x v="12"/>
    <n v="11"/>
    <x v="0"/>
  </r>
  <r>
    <n v="22"/>
    <x v="21"/>
    <s v="NPH-II"/>
    <s v="AAF44426.1"/>
    <s v="PROT:AAF44426.1"/>
    <s v="ORF FPV082 RNA helicase/NPH-II"/>
    <s v="Fowlpox virus"/>
    <x v="13"/>
    <x v="13"/>
    <n v="21"/>
    <x v="0"/>
  </r>
  <r>
    <n v="22"/>
    <x v="21"/>
    <s v="NPH-II"/>
    <s v="AAK85010.1"/>
    <s v="PROT:AAK85010.1"/>
    <s v="LSDV049 putative RNA helicase"/>
    <s v="Lumpy skin disease virus NI-2490"/>
    <x v="14"/>
    <x v="14"/>
    <n v="25"/>
    <x v="0"/>
  </r>
  <r>
    <n v="22"/>
    <x v="21"/>
    <s v="NPH-II"/>
    <s v="AST09268.1"/>
    <s v="PROT:AST09268.1"/>
    <s v="RNA-helicase DExH-NPH-II domain"/>
    <s v="Murmansk poxvirus"/>
    <x v="15"/>
    <x v="15"/>
    <n v="27"/>
    <x v="0"/>
  </r>
  <r>
    <n v="22"/>
    <x v="21"/>
    <s v="NPH-II"/>
    <s v="AEN03645.1"/>
    <s v="PROT:AEN03645.1"/>
    <s v="RNA-helicase, DExH-NPH-II domain"/>
    <s v="Yokapox virus"/>
    <x v="16"/>
    <x v="16"/>
    <n v="57"/>
    <x v="0"/>
  </r>
  <r>
    <n v="22"/>
    <x v="21"/>
    <s v="NPH-II"/>
    <s v="ABI99213.1"/>
    <s v="PROT:ABI99213.1"/>
    <s v="RNA helicase"/>
    <s v="Deerpox virus W-848-83"/>
    <x v="17"/>
    <x v="17"/>
    <n v="15"/>
    <x v="0"/>
  </r>
  <r>
    <n v="22"/>
    <x v="21"/>
    <s v="NPH-II"/>
    <s v="ABJ08962.1"/>
    <s v="PROT:ABJ08962.1"/>
    <s v="RNA helicase NPH-II"/>
    <s v="Nile crocodilepox virus"/>
    <x v="18"/>
    <x v="18"/>
    <n v="34"/>
    <x v="0"/>
  </r>
  <r>
    <n v="22"/>
    <x v="21"/>
    <s v="NPH-II"/>
    <s v="AAF14932.1"/>
    <s v="PROT:AAF14932.1"/>
    <s v="m44R"/>
    <s v="Myxoma virus strain Lausanne"/>
    <x v="19"/>
    <x v="19"/>
    <n v="32"/>
    <x v="0"/>
  </r>
  <r>
    <n v="22"/>
    <x v="21"/>
    <s v="NPH-II"/>
    <s v="AFU77309.1"/>
    <s v="PROT:AFU77309.1"/>
    <s v="m44R"/>
    <s v="Myxoma virus isolate BRK 897"/>
    <x v="20"/>
    <x v="20"/>
    <n v="33"/>
    <x v="1"/>
  </r>
  <r>
    <n v="22"/>
    <x v="21"/>
    <s v="NPH-II"/>
    <s v="AAF17926.1"/>
    <s v="PROT:AAF17926.1"/>
    <s v="gp044R"/>
    <s v="Rabbit fibroma virus"/>
    <x v="21"/>
    <x v="21"/>
    <n v="43"/>
    <x v="0"/>
  </r>
  <r>
    <n v="22"/>
    <x v="21"/>
    <s v="NPH-II"/>
    <s v="AAC55178.1"/>
    <s v="PROT:AAC55178.1"/>
    <s v="MC050R"/>
    <s v="Molluscum contagiosum virus subtype 1"/>
    <x v="22"/>
    <x v="22"/>
    <n v="26"/>
    <x v="0"/>
  </r>
  <r>
    <n v="22"/>
    <x v="21"/>
    <s v="NPH-II"/>
    <s v="AYN64644.1"/>
    <s v="PROT:AYN64644.1"/>
    <s v="putative I8R protein"/>
    <s v="Orthopoxvirus Abatino"/>
    <x v="23"/>
    <x v="23"/>
    <n v="1"/>
    <x v="0"/>
  </r>
  <r>
    <n v="22"/>
    <x v="21"/>
    <s v="NPH-II"/>
    <s v="AXN74869.1"/>
    <s v="PROT:AXN74869.1"/>
    <s v="RNA helicase"/>
    <s v="Akhmeta virus"/>
    <x v="24"/>
    <x v="24"/>
    <n v="4"/>
    <x v="0"/>
  </r>
  <r>
    <n v="22"/>
    <x v="21"/>
    <s v="NPH-II"/>
    <s v="ABH08184.1"/>
    <s v="PROT:ABH08184.1"/>
    <s v="HSPV078"/>
    <s v="Horsepox virus"/>
    <x v="25"/>
    <x v="25"/>
    <n v="24"/>
    <x v="0"/>
  </r>
  <r>
    <n v="22"/>
    <x v="21"/>
    <s v="NPH-II"/>
    <s v="AAG37544.1"/>
    <s v="PROT:AAG37544.1"/>
    <s v="CMP74R"/>
    <s v="Camelpox virus CMS"/>
    <x v="26"/>
    <x v="26"/>
    <n v="9"/>
    <x v="1"/>
  </r>
  <r>
    <n v="22"/>
    <x v="21"/>
    <s v="NPH-II"/>
    <s v="AAL73782.1"/>
    <s v="PROT:AAL73782.1"/>
    <s v="putative NPH-II RNA helicase"/>
    <s v="Camelpox virus M-96"/>
    <x v="27"/>
    <x v="27"/>
    <n v="8"/>
    <x v="0"/>
  </r>
  <r>
    <n v="22"/>
    <x v="21"/>
    <s v="NPH-II"/>
    <s v="AAM13532.1"/>
    <s v="PROT:AAM13532.1"/>
    <s v="CPXV087 protein"/>
    <s v="Cowpox virus"/>
    <x v="28"/>
    <x v="28"/>
    <n v="13"/>
    <x v="0"/>
  </r>
  <r>
    <n v="22"/>
    <x v="21"/>
    <s v="NPH-II"/>
    <s v="AAM92365.1"/>
    <s v="PROT:AAM92365.1"/>
    <s v="EVM061"/>
    <s v="Ectromelia virus"/>
    <x v="29"/>
    <x v="29"/>
    <n v="16"/>
    <x v="0"/>
  </r>
  <r>
    <n v="22"/>
    <x v="21"/>
    <s v="NPH-II"/>
    <s v="AFH54624.1"/>
    <s v="PROT:AFH54624.1"/>
    <s v="RNA helicase"/>
    <s v="Ectromelia virus ERPV"/>
    <x v="30"/>
    <x v="30"/>
    <n v="17"/>
    <x v="1"/>
  </r>
  <r>
    <n v="22"/>
    <x v="21"/>
    <s v="NPH-II"/>
    <s v="AAL40527.1"/>
    <s v="PROT:AAL40527.1"/>
    <s v="I8R"/>
    <s v="Monkeypox virus Zaire-96-I-16 (clade I)"/>
    <x v="31"/>
    <x v="31"/>
    <n v="29"/>
    <x v="0"/>
  </r>
  <r>
    <n v="22"/>
    <x v="21"/>
    <s v="NPH-II"/>
    <s v="AAX09164.1"/>
    <s v="PROT:AAX09164.1"/>
    <s v="MPXV-COP-063"/>
    <s v="monkeypox virus strain cOP-58 (clade IIa)"/>
    <x v="32"/>
    <x v="32"/>
    <n v="28"/>
    <x v="0"/>
  </r>
  <r>
    <n v="22"/>
    <x v="21"/>
    <s v="NPH-II"/>
    <s v="AKJ93706.1"/>
    <s v="PROT:AKJ93706.1"/>
    <s v="RNA-helicase, DExH-NPH-II"/>
    <s v="Raccoonpox virus"/>
    <x v="33"/>
    <x v="33"/>
    <n v="41"/>
    <x v="0"/>
  </r>
  <r>
    <n v="22"/>
    <x v="21"/>
    <s v="NPH-II"/>
    <s v="AOP31555.1"/>
    <s v="PROT:AOP31555.1"/>
    <s v="RNA helicase"/>
    <s v="Skunkpox virus"/>
    <x v="34"/>
    <x v="34"/>
    <n v="45"/>
    <x v="0"/>
  </r>
  <r>
    <n v="22"/>
    <x v="21"/>
    <s v="NPH-II"/>
    <s v="ABD97646.1"/>
    <s v="PROT:ABD97646.1"/>
    <s v="RNA-helicase"/>
    <s v="Taterapox virus"/>
    <x v="35"/>
    <x v="35"/>
    <n v="50"/>
    <x v="0"/>
  </r>
  <r>
    <n v="22"/>
    <x v="21"/>
    <s v="NPH-II"/>
    <s v="AAO89356.1"/>
    <s v="PROT:AAO89356.1"/>
    <s v="RNA-helicase, DExH-NPH-II"/>
    <s v="Vaccinia virus WR"/>
    <x v="36"/>
    <x v="36"/>
    <n v="52"/>
    <x v="0"/>
  </r>
  <r>
    <n v="22"/>
    <x v="21"/>
    <s v="NPH-II"/>
    <s v="CAA49003.1"/>
    <s v="PROT:CAA49003.1"/>
    <s v="K8R"/>
    <s v="Variola virus major"/>
    <x v="37"/>
    <x v="37"/>
    <n v="53"/>
    <x v="0"/>
  </r>
  <r>
    <n v="22"/>
    <x v="21"/>
    <s v="NPH-II"/>
    <s v="CAB54662.1"/>
    <s v="PROT:CAB54662.1"/>
    <s v="L8R protein"/>
    <s v="Variola minor virus"/>
    <x v="38"/>
    <x v="38"/>
    <n v="54"/>
    <x v="0"/>
  </r>
  <r>
    <n v="22"/>
    <x v="21"/>
    <s v="NPH-II"/>
    <s v="AOP31766.1"/>
    <s v="PROT:AOP31766.1"/>
    <s v="RNA helicase"/>
    <s v="Volepox virus"/>
    <x v="39"/>
    <x v="39"/>
    <n v="55"/>
    <x v="0"/>
  </r>
  <r>
    <n v="22"/>
    <x v="21"/>
    <s v="NPH-II"/>
    <s v="ASC55602.1"/>
    <s v="PROT:ASC55602.1"/>
    <s v="RNA helicase NPH-II-like protein"/>
    <s v="Seal parapoxvirus"/>
    <x v="40"/>
    <x v="40"/>
    <n v="22"/>
    <x v="0"/>
  </r>
  <r>
    <n v="22"/>
    <x v="21"/>
    <s v="NPH-II"/>
    <s v="AAR98393.1"/>
    <s v="PROT:AAR98393.1"/>
    <s v="ORF036 RNA helicase NPH-II"/>
    <s v="Bovine papular stomatitis virus"/>
    <x v="41"/>
    <x v="41"/>
    <n v="6"/>
    <x v="0"/>
  </r>
  <r>
    <n v="22"/>
    <x v="21"/>
    <s v="NPH-II"/>
    <s v="AAR98261.1"/>
    <s v="PROT:AAR98261.1"/>
    <s v="ORF036 RNA helicase NPH-II"/>
    <s v="Orf virus strain OV-SA00"/>
    <x v="42"/>
    <x v="42"/>
    <n v="35"/>
    <x v="0"/>
  </r>
  <r>
    <n v="22"/>
    <x v="21"/>
    <s v="NPH-II"/>
    <s v="ABA00553.1"/>
    <s v="PROT:ABA00553.1"/>
    <s v="RNA helicase"/>
    <s v="Orf virus strain NZ2"/>
    <x v="43"/>
    <x v="43"/>
    <n v="36"/>
    <x v="1"/>
  </r>
  <r>
    <n v="22"/>
    <x v="21"/>
    <s v="NPH-II"/>
    <s v="AIZ77287.1"/>
    <s v="PROT:AIZ77287.1"/>
    <s v="putative RNA helicase NPH-II"/>
    <s v="Parapoxvirus red deer/HL953"/>
    <x v="44"/>
    <x v="44"/>
    <n v="42"/>
    <x v="0"/>
  </r>
  <r>
    <n v="22"/>
    <x v="21"/>
    <s v="NPH-II"/>
    <s v="ADC53937.1"/>
    <s v="PROT:ADC53937.1"/>
    <s v="RNA helicase NPH-II"/>
    <s v="Pseudocowpox virus"/>
    <x v="45"/>
    <x v="45"/>
    <n v="37"/>
    <x v="0"/>
  </r>
  <r>
    <n v="22"/>
    <x v="21"/>
    <s v="NPH-II"/>
    <s v="AAL69785.1"/>
    <s v="PROT:AAL69785.1"/>
    <s v="SPV046 putative NPH-II RNA helicase"/>
    <s v="Swinepox virus"/>
    <x v="46"/>
    <x v="46"/>
    <n v="49"/>
    <x v="0"/>
  </r>
  <r>
    <n v="22"/>
    <x v="21"/>
    <s v="NPH-II"/>
    <s v="CAC21287.1"/>
    <s v="PROT:CAC21287.1"/>
    <s v="49R protein"/>
    <s v="Yaba-like disease virus"/>
    <x v="47"/>
    <x v="47"/>
    <n v="58"/>
    <x v="0"/>
  </r>
  <r>
    <n v="22"/>
    <x v="21"/>
    <s v="NPH-II"/>
    <s v="AAR07405.1"/>
    <s v="PROT:AAR07405.1"/>
    <s v="49R"/>
    <s v="Yaba monkey tumor virus"/>
    <x v="48"/>
    <x v="48"/>
    <n v="59"/>
    <x v="0"/>
  </r>
  <r>
    <n v="22"/>
    <x v="21"/>
    <s v="NPH-II"/>
    <s v="AAC97810.1"/>
    <s v="PROT:AAC97810.1"/>
    <s v="ORF MSV086 putative RNA helicase (vaccinia I8R), similar to GB:L22579"/>
    <s v="Melanoplus sanguinipes entomopoxvirus 'O'"/>
    <x v="49"/>
    <x v="49"/>
    <n v="30"/>
    <x v="0"/>
  </r>
  <r>
    <n v="22"/>
    <x v="21"/>
    <s v="NPH-II"/>
    <s v="BAO49530.1"/>
    <s v="PROT:BAO49530.1"/>
    <s v="RNA helicase NPH-II"/>
    <s v="Anomala cuprea entomopoxvirus"/>
    <x v="50"/>
    <x v="50"/>
    <n v="2"/>
    <x v="0"/>
  </r>
  <r>
    <n v="22"/>
    <x v="21"/>
    <s v="NPH-II"/>
    <s v="CCU55400.1"/>
    <s v="PROT:CCU55400.1"/>
    <s v="RNA helicase, DExH-NPH-II domain"/>
    <s v="Adoxophyes honmai entomopoxvirus 'L'"/>
    <x v="51"/>
    <x v="51"/>
    <n v="3"/>
    <x v="0"/>
  </r>
  <r>
    <n v="22"/>
    <x v="21"/>
    <s v="NPH-II"/>
    <s v="AAG02787.1"/>
    <s v="PROT:AAG02787.1"/>
    <s v="AMV081"/>
    <s v="Amsacta moorei entomopoxvirus"/>
    <x v="52"/>
    <x v="52"/>
    <n v="5"/>
    <x v="0"/>
  </r>
  <r>
    <n v="22"/>
    <x v="21"/>
    <s v="NPH-II"/>
    <s v="CCU55706.1"/>
    <s v="PROT:CCU55706.1"/>
    <s v="RNA helicase, DExH-NPH-II domain"/>
    <s v="Choristoneura biennis entomopoxvirus"/>
    <x v="53"/>
    <x v="53"/>
    <n v="10"/>
    <x v="0"/>
  </r>
  <r>
    <n v="22"/>
    <x v="21"/>
    <s v="NPH-II"/>
    <s v="CCU56008.1"/>
    <s v="PROT:CCU56008.1"/>
    <s v="RNA helicase, DExH-NPH-II domain"/>
    <s v="Choristoneura rosaceana entomopoxvirus 'L'"/>
    <x v="54"/>
    <x v="54"/>
    <n v="14"/>
    <x v="0"/>
  </r>
  <r>
    <n v="22"/>
    <x v="21"/>
    <s v="NPH-II"/>
    <s v="CCU56302.1"/>
    <s v="PROT:CCU56302.1"/>
    <s v="RNA helicase, DExH-NPH-II domain"/>
    <s v="Mythimna separata entomopoxvirus 'L'"/>
    <x v="55"/>
    <x v="55"/>
    <n v="31"/>
    <x v="0"/>
  </r>
  <r>
    <n v="22"/>
    <x v="21"/>
    <s v="NPH-II"/>
    <s v="NP_659621.1"/>
    <s v="PROT:NP_659621.1"/>
    <s v="NPH-II, RNA helicase"/>
    <s v="Sheeppox virus"/>
    <x v="56"/>
    <x v="56"/>
    <n v="44"/>
    <x v="0"/>
  </r>
  <r>
    <n v="22"/>
    <x v="21"/>
    <s v="NPH-II"/>
    <s v="YP_001293240.1"/>
    <s v="PROT:YP_001293240.1"/>
    <s v="hypothetical protein GTPV_gp045"/>
    <s v="Goatpox virus Pellor"/>
    <x v="57"/>
    <x v="57"/>
    <n v="23"/>
    <x v="0"/>
  </r>
  <r>
    <n v="23"/>
    <x v="22"/>
    <s v="polyA polymerase small"/>
    <s v="ATI21175.1"/>
    <s v="PROT:ATI21175.1"/>
    <s v="polymerase small subunit VP39"/>
    <s v="Eastern grey kangaroopox virus"/>
    <x v="0"/>
    <x v="0"/>
    <n v="18"/>
    <x v="0"/>
  </r>
  <r>
    <n v="23"/>
    <x v="22"/>
    <s v="polyA polymerase small"/>
    <s v="AWU47111.1"/>
    <s v="PROT:AWU47111.1"/>
    <s v="poly polymerase small subuni"/>
    <s v="Sea otter poxvirus"/>
    <x v="1"/>
    <x v="1"/>
    <n v="47"/>
    <x v="0"/>
  </r>
  <r>
    <n v="23"/>
    <x v="22"/>
    <s v="polyA polymerase small"/>
    <s v="APG58285.1"/>
    <s v="PROT:APG58285.1"/>
    <s v="cap-specific mRNA nucleoside-2'-O--methyltransferase"/>
    <s v="BeAn 58058 virus"/>
    <x v="2"/>
    <x v="2"/>
    <n v="7"/>
    <x v="1"/>
  </r>
  <r>
    <n v="23"/>
    <x v="22"/>
    <s v="polyA polymerase small"/>
    <s v="ADT91098.1"/>
    <s v="PROT:ADT91098.1"/>
    <s v="polyA polymerase small subuni"/>
    <s v="Cotia virus SPAn232"/>
    <x v="3"/>
    <x v="3"/>
    <n v="12"/>
    <x v="0"/>
  </r>
  <r>
    <n v="23"/>
    <x v="22"/>
    <s v="polyA polymerase small"/>
    <s v="ANS71155.1"/>
    <s v="PROT:ANS71155.1"/>
    <s v="poly(a) polymerase small subuni"/>
    <s v="Pteropox virus"/>
    <x v="4"/>
    <x v="4"/>
    <n v="40"/>
    <x v="0"/>
  </r>
  <r>
    <n v="23"/>
    <x v="22"/>
    <s v="polyA polymerase small"/>
    <s v="AKR04186.1"/>
    <s v="PROT:AKR04186.1"/>
    <s v="poly(A) polymerase small subunit PAPS"/>
    <s v="Salmon gill poxvirus"/>
    <x v="5"/>
    <x v="5"/>
    <n v="46"/>
    <x v="0"/>
  </r>
  <r>
    <n v="23"/>
    <x v="22"/>
    <s v="polyA polymerase small"/>
    <s v="CCD83243.1"/>
    <s v="PROT:CCD83243.1"/>
    <s v="poly(A) polymerase and RNA methyltransferase"/>
    <s v="Squirrelpox virus"/>
    <x v="6"/>
    <x v="6"/>
    <n v="48"/>
    <x v="0"/>
  </r>
  <r>
    <n v="23"/>
    <x v="22"/>
    <s v="polyA polymerase small"/>
    <s v="ASK51273.1"/>
    <s v="PROT:ASK51273.1"/>
    <s v="Poly (A) polymerase small subuni"/>
    <s v="Eptesipox virus"/>
    <x v="7"/>
    <x v="7"/>
    <n v="19"/>
    <x v="0"/>
  </r>
  <r>
    <n v="23"/>
    <x v="22"/>
    <s v="polyA polymerase small"/>
    <s v="AUD40238.1"/>
    <s v="PROT:AUD40238.1"/>
    <s v="polyA polymerase small subuni"/>
    <s v="Flamingopox virus FGPVKD09"/>
    <x v="8"/>
    <x v="8"/>
    <n v="20"/>
    <x v="0"/>
  </r>
  <r>
    <n v="23"/>
    <x v="22"/>
    <s v="polyA polymerase small"/>
    <s v="AID46870.1"/>
    <s v="PROT:AID46870.1"/>
    <s v="polyA polymerase PAPs"/>
    <s v="Penguinpox virus"/>
    <x v="9"/>
    <x v="9"/>
    <n v="39"/>
    <x v="0"/>
  </r>
  <r>
    <n v="23"/>
    <x v="22"/>
    <s v="polyA polymerase small"/>
    <s v="AID46641.1"/>
    <s v="PROT:AID46641.1"/>
    <s v="polyA polymerase PAPs"/>
    <s v="Pigeonpox virus"/>
    <x v="10"/>
    <x v="10"/>
    <n v="38"/>
    <x v="0"/>
  </r>
  <r>
    <n v="23"/>
    <x v="22"/>
    <s v="polyA polymerase small"/>
    <s v="ALA62471.1"/>
    <s v="PROT:ALA62471.1"/>
    <s v="poly(A) polymerase small subunit PAPS"/>
    <s v="Turkeypox virus"/>
    <x v="11"/>
    <x v="11"/>
    <n v="51"/>
    <x v="0"/>
  </r>
  <r>
    <n v="23"/>
    <x v="22"/>
    <s v="polyA polymerase small"/>
    <s v="AAR83525.1"/>
    <s v="PROT:AAR83525.1"/>
    <s v="CNPV179 poly(A) polymerase small subunit PAPS"/>
    <s v="Canarypox virus"/>
    <x v="12"/>
    <x v="12"/>
    <n v="11"/>
    <x v="0"/>
  </r>
  <r>
    <n v="23"/>
    <x v="22"/>
    <s v="polyA polymerase small"/>
    <s v="AAF44478.1"/>
    <s v="PROT:AAF44478.1"/>
    <s v="ORF FPV134 Poly(A) polymerase small subunit PAP-S"/>
    <s v="Fowlpox virus"/>
    <x v="13"/>
    <x v="13"/>
    <n v="21"/>
    <x v="0"/>
  </r>
  <r>
    <n v="23"/>
    <x v="22"/>
    <s v="polyA polymerase small"/>
    <s v="AAK85029.1"/>
    <s v="PROT:AAK85029.1"/>
    <s v="LSDV068 poly(A) polymerase small subuni"/>
    <s v="Lumpy skin disease virus NI-2490"/>
    <x v="14"/>
    <x v="14"/>
    <n v="25"/>
    <x v="0"/>
  </r>
  <r>
    <n v="23"/>
    <x v="22"/>
    <s v="polyA polymerase small"/>
    <s v="AST09286.1"/>
    <s v="PROT:AST09286.1"/>
    <s v="VP39"/>
    <s v="Murmansk poxvirus"/>
    <x v="15"/>
    <x v="15"/>
    <n v="27"/>
    <x v="0"/>
  </r>
  <r>
    <n v="23"/>
    <x v="22"/>
    <s v="polyA polymerase small"/>
    <s v="AEN03664.1"/>
    <s v="PROT:AEN03664.1"/>
    <s v="VP39"/>
    <s v="Yokapox virus"/>
    <x v="16"/>
    <x v="16"/>
    <n v="57"/>
    <x v="0"/>
  </r>
  <r>
    <n v="23"/>
    <x v="22"/>
    <s v="polyA polymerase small"/>
    <s v="ABI99232.1"/>
    <s v="PROT:ABI99232.1"/>
    <s v="poly(A) polymerase small subuni"/>
    <s v="Deerpox virus W-848-83"/>
    <x v="17"/>
    <x v="17"/>
    <n v="15"/>
    <x v="0"/>
  </r>
  <r>
    <n v="23"/>
    <x v="22"/>
    <s v="polyA polymerase small"/>
    <s v="ABJ08987.1"/>
    <s v="PROT:ABJ08987.1"/>
    <s v="poly(A) polymerase small subuni"/>
    <s v="Nile crocodilepox virus"/>
    <x v="18"/>
    <x v="18"/>
    <n v="34"/>
    <x v="0"/>
  </r>
  <r>
    <n v="23"/>
    <x v="22"/>
    <s v="polyA polymerase small"/>
    <s v="AAF14953.1"/>
    <s v="PROT:AAF14953.1"/>
    <s v="m65R"/>
    <s v="Myxoma virus strain Lausanne"/>
    <x v="19"/>
    <x v="19"/>
    <n v="32"/>
    <x v="0"/>
  </r>
  <r>
    <n v="23"/>
    <x v="22"/>
    <s v="polyA polymerase small"/>
    <s v="AFU77329.1"/>
    <s v="PROT:AFU77329.1"/>
    <s v="m65R"/>
    <s v="Myxoma virus isolate BRK 897"/>
    <x v="20"/>
    <x v="20"/>
    <n v="33"/>
    <x v="1"/>
  </r>
  <r>
    <n v="23"/>
    <x v="22"/>
    <s v="polyA polymerase small"/>
    <s v="AAF17947.1"/>
    <s v="PROT:AAF17947.1"/>
    <s v="gp065R"/>
    <s v="Rabbit fibroma virus"/>
    <x v="21"/>
    <x v="21"/>
    <n v="43"/>
    <x v="0"/>
  </r>
  <r>
    <n v="23"/>
    <x v="22"/>
    <s v="polyA polymerase small"/>
    <s v="AAC55204.1"/>
    <s v="PROT:AAC55204.1"/>
    <s v="MC076R"/>
    <s v="Molluscum contagiosum virus subtype 1"/>
    <x v="22"/>
    <x v="22"/>
    <n v="26"/>
    <x v="0"/>
  </r>
  <r>
    <n v="23"/>
    <x v="22"/>
    <s v="polyA polymerase small"/>
    <s v="AYN64661.1"/>
    <s v="PROT:AYN64661.1"/>
    <s v="putative J3R protein"/>
    <s v="Orthopoxvirus Abatino"/>
    <x v="23"/>
    <x v="23"/>
    <n v="1"/>
    <x v="0"/>
  </r>
  <r>
    <n v="23"/>
    <x v="22"/>
    <s v="polyA polymerase small"/>
    <s v="AXN74888.1"/>
    <s v="PROT:AXN74888.1"/>
    <s v="Poly(A) polymerase small subuni"/>
    <s v="Akhmeta virus"/>
    <x v="24"/>
    <x v="24"/>
    <n v="4"/>
    <x v="0"/>
  </r>
  <r>
    <n v="23"/>
    <x v="22"/>
    <s v="polyA polymerase small"/>
    <s v="ABH08202.1"/>
    <s v="PROT:ABH08202.1"/>
    <s v="HSPV096"/>
    <s v="Horsepox virus"/>
    <x v="25"/>
    <x v="25"/>
    <n v="24"/>
    <x v="0"/>
  </r>
  <r>
    <n v="23"/>
    <x v="22"/>
    <s v="polyA polymerase small"/>
    <s v="AAG37564.1"/>
    <s v="PROT:AAG37564.1"/>
    <s v="CMP92R"/>
    <s v="Camelpox virus CMS"/>
    <x v="26"/>
    <x v="26"/>
    <n v="9"/>
    <x v="1"/>
  </r>
  <r>
    <n v="23"/>
    <x v="22"/>
    <s v="polyA polymerase small"/>
    <s v="AAL73800.1"/>
    <s v="PROT:AAL73800.1"/>
    <s v="poly(A) polymerase small subunit PAPS"/>
    <s v="Camelpox virus M-96"/>
    <x v="27"/>
    <x v="27"/>
    <n v="8"/>
    <x v="0"/>
  </r>
  <r>
    <n v="23"/>
    <x v="22"/>
    <s v="polyA polymerase small"/>
    <s v="AAM13549.1"/>
    <s v="PROT:AAM13549.1"/>
    <s v="CPXV106 protein"/>
    <s v="Cowpox virus"/>
    <x v="28"/>
    <x v="28"/>
    <n v="13"/>
    <x v="0"/>
  </r>
  <r>
    <n v="23"/>
    <x v="22"/>
    <s v="polyA polymerase small"/>
    <s v="AAM92383.1"/>
    <s v="PROT:AAM92383.1"/>
    <s v="EVM079"/>
    <s v="Ectromelia virus"/>
    <x v="29"/>
    <x v="29"/>
    <n v="16"/>
    <x v="0"/>
  </r>
  <r>
    <n v="23"/>
    <x v="22"/>
    <s v="polyA polymerase small"/>
    <s v="AFH54642.1"/>
    <s v="PROT:AFH54642.1"/>
    <s v="poly(a) polymerase small subuni"/>
    <s v="Ectromelia virus ERPV"/>
    <x v="30"/>
    <x v="30"/>
    <n v="17"/>
    <x v="1"/>
  </r>
  <r>
    <n v="23"/>
    <x v="22"/>
    <s v="polyA polymerase small"/>
    <s v="AAL40545.1"/>
    <s v="PROT:AAL40545.1"/>
    <s v="L3R"/>
    <s v="Monkeypox virus Zaire-96-I-16 (clade I)"/>
    <x v="31"/>
    <x v="31"/>
    <n v="29"/>
    <x v="0"/>
  </r>
  <r>
    <n v="23"/>
    <x v="22"/>
    <s v="polyA polymerase small"/>
    <s v="AAX09182.1"/>
    <s v="PROT:AAX09182.1"/>
    <s v="MPXV-COP-081"/>
    <s v="monkeypox virus strain cOP-58 (clade IIa)"/>
    <x v="32"/>
    <x v="32"/>
    <n v="28"/>
    <x v="0"/>
  </r>
  <r>
    <n v="23"/>
    <x v="22"/>
    <s v="polyA polymerase small"/>
    <s v="AKJ93724.1"/>
    <s v="PROT:AKJ93724.1"/>
    <s v="Multifunctional poly-A polymerase small subunit protein VP39"/>
    <s v="Raccoonpox virus"/>
    <x v="33"/>
    <x v="33"/>
    <n v="41"/>
    <x v="0"/>
  </r>
  <r>
    <n v="23"/>
    <x v="22"/>
    <s v="polyA polymerase small"/>
    <s v="AOP31573.1"/>
    <s v="PROT:AOP31573.1"/>
    <s v="poly polymerase small subuni"/>
    <s v="Skunkpox virus"/>
    <x v="34"/>
    <x v="34"/>
    <n v="45"/>
    <x v="0"/>
  </r>
  <r>
    <n v="23"/>
    <x v="22"/>
    <s v="polyA polymerase small"/>
    <s v="ABD97664.1"/>
    <s v="PROT:ABD97664.1"/>
    <s v="poly-A polymerase subuni"/>
    <s v="Taterapox virus"/>
    <x v="35"/>
    <x v="35"/>
    <n v="50"/>
    <x v="0"/>
  </r>
  <r>
    <n v="23"/>
    <x v="22"/>
    <s v="polyA polymerase small"/>
    <s v="AAO89374.1"/>
    <s v="PROT:AAO89374.1"/>
    <s v="multifunctional poly-A polymerase subuni"/>
    <s v="Vaccinia virus WR"/>
    <x v="36"/>
    <x v="36"/>
    <n v="52"/>
    <x v="0"/>
  </r>
  <r>
    <n v="23"/>
    <x v="22"/>
    <s v="polyA polymerase small"/>
    <s v="CAA49021.1"/>
    <s v="PROT:CAA49021.1"/>
    <s v="L3R"/>
    <s v="Variola virus major"/>
    <x v="37"/>
    <x v="37"/>
    <n v="53"/>
    <x v="0"/>
  </r>
  <r>
    <n v="23"/>
    <x v="22"/>
    <s v="polyA polymerase small"/>
    <s v="CAB54680.1"/>
    <s v="PROT:CAB54680.1"/>
    <s v="M3R protein"/>
    <s v="Variola minor virus"/>
    <x v="38"/>
    <x v="38"/>
    <n v="54"/>
    <x v="0"/>
  </r>
  <r>
    <n v="23"/>
    <x v="22"/>
    <s v="polyA polymerase small"/>
    <s v="AOP31784.1"/>
    <s v="PROT:AOP31784.1"/>
    <s v="poly polymerase small subuni"/>
    <s v="Volepox virus"/>
    <x v="39"/>
    <x v="39"/>
    <n v="55"/>
    <x v="0"/>
  </r>
  <r>
    <n v="23"/>
    <x v="22"/>
    <s v="polyA polymerase small"/>
    <s v="ASC55587.1"/>
    <s v="PROT:ASC55587.1"/>
    <s v="poly(A) polymerase small subunit-like protein"/>
    <s v="Seal parapoxvirus"/>
    <x v="40"/>
    <x v="40"/>
    <n v="22"/>
    <x v="0"/>
  </r>
  <r>
    <n v="23"/>
    <x v="22"/>
    <s v="polyA polymerase small"/>
    <s v="AAR98410.1"/>
    <s v="PROT:AAR98410.1"/>
    <s v="ORF053 poly-A polymerase small subunit VP39 PAPS"/>
    <s v="Bovine papular stomatitis virus"/>
    <x v="41"/>
    <x v="41"/>
    <n v="6"/>
    <x v="0"/>
  </r>
  <r>
    <n v="23"/>
    <x v="22"/>
    <s v="polyA polymerase small"/>
    <s v="AAR98278.1"/>
    <s v="PROT:AAR98278.1"/>
    <s v="ORF053 poly-A polymerase small subunit VP39 PAPS"/>
    <s v="Orf virus strain OV-SA00"/>
    <x v="42"/>
    <x v="42"/>
    <n v="35"/>
    <x v="0"/>
  </r>
  <r>
    <n v="23"/>
    <x v="22"/>
    <s v="polyA polymerase small"/>
    <s v="ABA00570.1"/>
    <s v="PROT:ABA00570.1"/>
    <s v="poly(A) polymerase subuni"/>
    <s v="Orf virus strain NZ2"/>
    <x v="43"/>
    <x v="43"/>
    <n v="36"/>
    <x v="1"/>
  </r>
  <r>
    <n v="23"/>
    <x v="22"/>
    <s v="polyA polymerase small"/>
    <s v="AIZ77304.1"/>
    <s v="PROT:AIZ77304.1"/>
    <s v="putative poly-A polymerase small subunit VP39 PAPS"/>
    <s v="Parapoxvirus red deer/HL953"/>
    <x v="44"/>
    <x v="44"/>
    <n v="42"/>
    <x v="0"/>
  </r>
  <r>
    <n v="23"/>
    <x v="22"/>
    <s v="polyA polymerase small"/>
    <s v="ADC53954.1"/>
    <s v="PROT:ADC53954.1"/>
    <s v="poly(A)-polymerase subuni"/>
    <s v="Pseudocowpox virus"/>
    <x v="45"/>
    <x v="45"/>
    <n v="37"/>
    <x v="0"/>
  </r>
  <r>
    <n v="23"/>
    <x v="22"/>
    <s v="polyA polymerase small"/>
    <s v="AAL69804.1"/>
    <s v="PROT:AAL69804.1"/>
    <s v="SPV065 poly(A) polymerase small subunit PAPS"/>
    <s v="Swinepox virus"/>
    <x v="46"/>
    <x v="46"/>
    <n v="49"/>
    <x v="0"/>
  </r>
  <r>
    <n v="23"/>
    <x v="22"/>
    <s v="polyA polymerase small"/>
    <s v="CAC21306.1"/>
    <s v="PROT:CAC21306.1"/>
    <s v="68R protein"/>
    <s v="Yaba-like disease virus"/>
    <x v="47"/>
    <x v="47"/>
    <n v="58"/>
    <x v="0"/>
  </r>
  <r>
    <n v="23"/>
    <x v="22"/>
    <s v="polyA polymerase small"/>
    <s v="AAR07424.1"/>
    <s v="PROT:AAR07424.1"/>
    <s v="68R"/>
    <s v="Yaba monkey tumor virus"/>
    <x v="48"/>
    <x v="48"/>
    <n v="59"/>
    <x v="0"/>
  </r>
  <r>
    <n v="23"/>
    <x v="22"/>
    <s v="polyA polymerase small"/>
    <s v="AAC97833.1"/>
    <s v="PROT:AAC97833.1"/>
    <s v="ORF MSV041 putative poly(A) polymerase small subunit PAP-S homolog (vaccinia J3R), similar to GB:L22579"/>
    <s v="Melanoplus sanguinipes entomopoxvirus 'O'"/>
    <x v="49"/>
    <x v="49"/>
    <n v="30"/>
    <x v="0"/>
  </r>
  <r>
    <n v="23"/>
    <x v="22"/>
    <s v="polyA polymerase small"/>
    <s v="BAO49540.1"/>
    <s v="PROT:BAO49540.1"/>
    <s v="putative poly(A) polymerase small subuni"/>
    <s v="Anomala cuprea entomopoxvirus"/>
    <x v="50"/>
    <x v="50"/>
    <n v="2"/>
    <x v="0"/>
  </r>
  <r>
    <n v="23"/>
    <x v="22"/>
    <s v="polyA polymerase small"/>
    <s v="CCU55378.1"/>
    <s v="PROT:CCU55378.1"/>
    <s v="poly(A) polymerase small subunit VP39"/>
    <s v="Adoxophyes honmai entomopoxvirus 'L'"/>
    <x v="51"/>
    <x v="51"/>
    <n v="3"/>
    <x v="0"/>
  </r>
  <r>
    <n v="23"/>
    <x v="22"/>
    <s v="polyA polymerase small"/>
    <s v="AAG02766.1"/>
    <s v="PROT:AAG02766.1"/>
    <s v="AMV060"/>
    <s v="Amsacta moorei entomopoxvirus"/>
    <x v="52"/>
    <x v="52"/>
    <n v="5"/>
    <x v="0"/>
  </r>
  <r>
    <n v="23"/>
    <x v="22"/>
    <s v="polyA polymerase small"/>
    <s v="CCU55673.1"/>
    <s v="PROT:CCU55673.1"/>
    <s v="poly(A) polymerase small subunit VP39"/>
    <s v="Choristoneura biennis entomopoxvirus"/>
    <x v="53"/>
    <x v="53"/>
    <n v="10"/>
    <x v="0"/>
  </r>
  <r>
    <n v="23"/>
    <x v="22"/>
    <s v="polyA polymerase small"/>
    <s v="CCU55984.1"/>
    <s v="PROT:CCU55984.1"/>
    <s v="poly(A) polymerase small subunit VP39"/>
    <s v="Choristoneura rosaceana entomopoxvirus 'L'"/>
    <x v="54"/>
    <x v="54"/>
    <n v="14"/>
    <x v="0"/>
  </r>
  <r>
    <n v="23"/>
    <x v="22"/>
    <s v="polyA polymerase small"/>
    <s v="CCU56281.1"/>
    <s v="PROT:CCU56281.1"/>
    <s v="poly(A) polymerase small subunit VP39"/>
    <s v="Mythimna separata entomopoxvirus 'L'"/>
    <x v="55"/>
    <x v="55"/>
    <n v="31"/>
    <x v="0"/>
  </r>
  <r>
    <n v="23"/>
    <x v="22"/>
    <s v="polyA polymerase small"/>
    <s v="NP_659640.1"/>
    <s v="PROT:NP_659640.1"/>
    <s v="Poly(A) polymerase small subunit PAPs"/>
    <s v="Sheeppox virus"/>
    <x v="56"/>
    <x v="56"/>
    <n v="44"/>
    <x v="0"/>
  </r>
  <r>
    <n v="23"/>
    <x v="22"/>
    <s v="polyA polymerase small"/>
    <s v="YP_001293259.1"/>
    <s v="PROT:YP_001293259.1"/>
    <s v="hypothetical protein GTPV_gp064"/>
    <s v="Goatpox virus Pellor"/>
    <x v="57"/>
    <x v="57"/>
    <n v="23"/>
    <x v="0"/>
  </r>
  <r>
    <n v="24"/>
    <x v="23"/>
    <s v="RPO147"/>
    <s v="ATI21178.1"/>
    <s v="PROT:ATI21178.1"/>
    <s v="RNA polymerase"/>
    <s v="Eastern grey kangaroopox virus"/>
    <x v="0"/>
    <x v="0"/>
    <n v="18"/>
    <x v="0"/>
  </r>
  <r>
    <n v="24"/>
    <x v="23"/>
    <s v="RPO147"/>
    <s v="AWU47114.1"/>
    <s v="PROT:AWU47114.1"/>
    <s v="RNA polymerase"/>
    <s v="Sea otter poxvirus"/>
    <x v="1"/>
    <x v="1"/>
    <n v="47"/>
    <x v="0"/>
  </r>
  <r>
    <n v="24"/>
    <x v="23"/>
    <s v="RPO147"/>
    <s v="APG58288.1"/>
    <s v="PROT:APG58288.1"/>
    <s v="DNA-directed RNA polymerase 147 kDa polypeptide"/>
    <s v="BeAn 58058 virus"/>
    <x v="2"/>
    <x v="2"/>
    <n v="7"/>
    <x v="1"/>
  </r>
  <r>
    <n v="24"/>
    <x v="23"/>
    <s v="RPO147"/>
    <s v="ADT91101.1"/>
    <s v="PROT:ADT91101.1"/>
    <s v="DNA-dependent RNA polymerase subunit RPO147"/>
    <s v="Cotia virus SPAn232"/>
    <x v="3"/>
    <x v="3"/>
    <n v="12"/>
    <x v="0"/>
  </r>
  <r>
    <n v="24"/>
    <x v="23"/>
    <s v="RPO147"/>
    <s v="ANS71158.1"/>
    <s v="PROT:ANS71158.1"/>
    <s v="RNA polymerase"/>
    <s v="Pteropox virus"/>
    <x v="4"/>
    <x v="4"/>
    <n v="40"/>
    <x v="0"/>
  </r>
  <r>
    <n v="24"/>
    <x v="23"/>
    <s v="RPO147"/>
    <s v="AKR04289.1"/>
    <s v="PROT:AKR04289.1"/>
    <s v="DNA-directed RNA polymerase subunit alpha"/>
    <s v="Salmon gill poxvirus"/>
    <x v="5"/>
    <x v="5"/>
    <n v="46"/>
    <x v="0"/>
  </r>
  <r>
    <n v="24"/>
    <x v="23"/>
    <s v="RPO147"/>
    <s v="CCD83246.1"/>
    <s v="PROT:CCD83246.1"/>
    <s v="DNA-dependent RNA polymerase subunit rpo147"/>
    <s v="Squirrelpox virus"/>
    <x v="6"/>
    <x v="6"/>
    <n v="48"/>
    <x v="0"/>
  </r>
  <r>
    <n v="24"/>
    <x v="23"/>
    <s v="RPO147"/>
    <s v="ASK51276.1"/>
    <s v="PROT:ASK51276.1"/>
    <s v="RNA polymerase subuni"/>
    <s v="Eptesipox virus"/>
    <x v="7"/>
    <x v="7"/>
    <n v="19"/>
    <x v="0"/>
  </r>
  <r>
    <n v="24"/>
    <x v="23"/>
    <s v="RPO147"/>
    <s v="AUD40241.1"/>
    <s v="PROT:AUD40241.1"/>
    <s v="RNA polymerase subunit 147"/>
    <s v="Flamingopox virus FGPVKD09"/>
    <x v="8"/>
    <x v="8"/>
    <n v="20"/>
    <x v="0"/>
  </r>
  <r>
    <n v="24"/>
    <x v="23"/>
    <s v="RPO147"/>
    <s v="AID46873.1"/>
    <s v="PROT:AID46873.1"/>
    <s v="RNA polymerase subunit RPO147"/>
    <s v="Penguinpox virus"/>
    <x v="9"/>
    <x v="9"/>
    <n v="39"/>
    <x v="0"/>
  </r>
  <r>
    <n v="24"/>
    <x v="23"/>
    <s v="RPO147"/>
    <s v="AID46644.1"/>
    <s v="PROT:AID46644.1"/>
    <s v="RNA polymerase subunit RPO147"/>
    <s v="Pigeonpox virus"/>
    <x v="10"/>
    <x v="10"/>
    <n v="38"/>
    <x v="0"/>
  </r>
  <r>
    <n v="24"/>
    <x v="23"/>
    <s v="RPO147"/>
    <s v="ALA62474.1"/>
    <s v="PROT:ALA62474.1"/>
    <s v="RNA polymerase subuni"/>
    <s v="Turkeypox virus"/>
    <x v="11"/>
    <x v="11"/>
    <n v="51"/>
    <x v="0"/>
  </r>
  <r>
    <n v="24"/>
    <x v="23"/>
    <s v="RPO147"/>
    <s v="AAR83528.1"/>
    <s v="PROT:AAR83528.1"/>
    <s v="CNPV182 RNA polymerase subunit RPO147"/>
    <s v="Canarypox virus"/>
    <x v="12"/>
    <x v="12"/>
    <n v="11"/>
    <x v="0"/>
  </r>
  <r>
    <n v="24"/>
    <x v="23"/>
    <s v="RPO147"/>
    <s v="AAF44481.1"/>
    <s v="PROT:AAF44481.1"/>
    <s v="ORF FPV137 RNA polymerase subunit, RPO147"/>
    <s v="Fowlpox virus"/>
    <x v="13"/>
    <x v="13"/>
    <n v="21"/>
    <x v="0"/>
  </r>
  <r>
    <n v="24"/>
    <x v="23"/>
    <s v="RPO147"/>
    <s v="AAK85032.1"/>
    <s v="PROT:AAK85032.1"/>
    <s v="LSDV071 RNA polymerase subuni"/>
    <s v="Lumpy skin disease virus NI-2490"/>
    <x v="14"/>
    <x v="14"/>
    <n v="25"/>
    <x v="0"/>
  </r>
  <r>
    <n v="24"/>
    <x v="23"/>
    <s v="RPO147"/>
    <s v="AST09289.1"/>
    <s v="PROT:AST09289.1"/>
    <s v="DNA-dependent RNA polymerase subunit rpo147"/>
    <s v="Murmansk poxvirus"/>
    <x v="15"/>
    <x v="15"/>
    <n v="27"/>
    <x v="0"/>
  </r>
  <r>
    <n v="24"/>
    <x v="23"/>
    <s v="RPO147"/>
    <s v="AEN03667.1"/>
    <s v="PROT:AEN03667.1"/>
    <s v="DNA-dependent RNA polymerase subunit rpo147"/>
    <s v="Yokapox virus"/>
    <x v="16"/>
    <x v="16"/>
    <n v="57"/>
    <x v="0"/>
  </r>
  <r>
    <n v="24"/>
    <x v="23"/>
    <s v="RPO147"/>
    <s v="ABI99235.1"/>
    <s v="PROT:ABI99235.1"/>
    <s v="RNA polymerase subunit RPO147"/>
    <s v="Deerpox virus W-848-83"/>
    <x v="17"/>
    <x v="17"/>
    <n v="15"/>
    <x v="0"/>
  </r>
  <r>
    <n v="24"/>
    <x v="23"/>
    <s v="RPO147"/>
    <s v="ABJ08990.1"/>
    <s v="PROT:ABJ08990.1"/>
    <s v="RNA polymerase subunit RPO147"/>
    <s v="Nile crocodilepox virus"/>
    <x v="18"/>
    <x v="18"/>
    <n v="34"/>
    <x v="0"/>
  </r>
  <r>
    <n v="24"/>
    <x v="23"/>
    <s v="RPO147"/>
    <s v="AAF14956.1"/>
    <s v="PROT:AAF14956.1"/>
    <s v="m68R"/>
    <s v="Myxoma virus strain Lausanne"/>
    <x v="19"/>
    <x v="19"/>
    <n v="32"/>
    <x v="0"/>
  </r>
  <r>
    <n v="24"/>
    <x v="23"/>
    <s v="RPO147"/>
    <s v="AFU77332.1"/>
    <s v="PROT:AFU77332.1"/>
    <s v="m68R"/>
    <s v="Myxoma virus isolate BRK 897"/>
    <x v="20"/>
    <x v="20"/>
    <n v="33"/>
    <x v="1"/>
  </r>
  <r>
    <n v="24"/>
    <x v="23"/>
    <s v="RPO147"/>
    <s v="AAF17950.1"/>
    <s v="PROT:AAF17950.1"/>
    <s v="gp068R"/>
    <s v="Rabbit fibroma virus"/>
    <x v="21"/>
    <x v="21"/>
    <n v="43"/>
    <x v="0"/>
  </r>
  <r>
    <n v="24"/>
    <x v="23"/>
    <s v="RPO147"/>
    <s v="AAC55207.1"/>
    <s v="PROT:AAC55207.1"/>
    <s v="MC079R"/>
    <s v="Molluscum contagiosum virus subtype 1"/>
    <x v="22"/>
    <x v="22"/>
    <n v="26"/>
    <x v="0"/>
  </r>
  <r>
    <n v="24"/>
    <x v="23"/>
    <s v="RPO147"/>
    <s v="AYN64664.1"/>
    <s v="PROT:AYN64664.1"/>
    <s v="putative J6R protein"/>
    <s v="Orthopoxvirus Abatino"/>
    <x v="23"/>
    <x v="23"/>
    <n v="1"/>
    <x v="0"/>
  </r>
  <r>
    <n v="24"/>
    <x v="23"/>
    <s v="RPO147"/>
    <s v="AXN74891.1"/>
    <s v="PROT:AXN74891.1"/>
    <s v="RNA polymerase subuni"/>
    <s v="Akhmeta virus"/>
    <x v="24"/>
    <x v="24"/>
    <n v="4"/>
    <x v="0"/>
  </r>
  <r>
    <n v="24"/>
    <x v="23"/>
    <s v="RPO147"/>
    <s v="ABH08205.1"/>
    <s v="PROT:ABH08205.1"/>
    <s v="HSPV099"/>
    <s v="Horsepox virus"/>
    <x v="25"/>
    <x v="25"/>
    <n v="24"/>
    <x v="0"/>
  </r>
  <r>
    <n v="24"/>
    <x v="23"/>
    <s v="RPO147"/>
    <s v="AAG37567.1"/>
    <s v="PROT:AAG37567.1"/>
    <s v="CMP95R"/>
    <s v="Camelpox virus CMS"/>
    <x v="26"/>
    <x v="26"/>
    <n v="9"/>
    <x v="1"/>
  </r>
  <r>
    <n v="24"/>
    <x v="23"/>
    <s v="RPO147"/>
    <s v="AAL73803.1"/>
    <s v="PROT:AAL73803.1"/>
    <s v="RNA polymerase subunit RPO147"/>
    <s v="Camelpox virus M-96"/>
    <x v="27"/>
    <x v="27"/>
    <n v="8"/>
    <x v="0"/>
  </r>
  <r>
    <n v="24"/>
    <x v="23"/>
    <s v="RPO147"/>
    <s v="AAM13552.1"/>
    <s v="PROT:AAM13552.1"/>
    <s v="CPXV109 protein"/>
    <s v="Cowpox virus"/>
    <x v="28"/>
    <x v="28"/>
    <n v="13"/>
    <x v="0"/>
  </r>
  <r>
    <n v="24"/>
    <x v="23"/>
    <s v="RPO147"/>
    <s v="AAM92386.1"/>
    <s v="PROT:AAM92386.1"/>
    <s v="EVM082"/>
    <s v="Ectromelia virus"/>
    <x v="29"/>
    <x v="29"/>
    <n v="16"/>
    <x v="0"/>
  </r>
  <r>
    <n v="24"/>
    <x v="23"/>
    <s v="RPO147"/>
    <s v="AFH54645.1"/>
    <s v="PROT:AFH54645.1"/>
    <s v="RNA polymerase 147 subuni"/>
    <s v="Ectromelia virus ERPV"/>
    <x v="30"/>
    <x v="30"/>
    <n v="17"/>
    <x v="1"/>
  </r>
  <r>
    <n v="24"/>
    <x v="23"/>
    <s v="RPO147"/>
    <s v="AAL40548.1"/>
    <s v="PROT:AAL40548.1"/>
    <s v="L6R"/>
    <s v="Monkeypox virus Zaire-96-I-16 (clade I)"/>
    <x v="31"/>
    <x v="31"/>
    <n v="29"/>
    <x v="0"/>
  </r>
  <r>
    <n v="24"/>
    <x v="23"/>
    <s v="RPO147"/>
    <s v="AAX09185.1"/>
    <s v="PROT:AAX09185.1"/>
    <s v="MPXV-COP-084"/>
    <s v="monkeypox virus strain cOP-58 (clade IIa)"/>
    <x v="32"/>
    <x v="32"/>
    <n v="28"/>
    <x v="0"/>
  </r>
  <r>
    <n v="24"/>
    <x v="23"/>
    <s v="RPO147"/>
    <s v="AKJ93727.1"/>
    <s v="PROT:AKJ93727.1"/>
    <s v="RNA polymerase subunit RPO147 protein"/>
    <s v="Raccoonpox virus"/>
    <x v="33"/>
    <x v="33"/>
    <n v="41"/>
    <x v="0"/>
  </r>
  <r>
    <n v="24"/>
    <x v="23"/>
    <s v="RPO147"/>
    <s v="AOP31576.1"/>
    <s v="PROT:AOP31576.1"/>
    <s v="RNA polymerase"/>
    <s v="Skunkpox virus"/>
    <x v="34"/>
    <x v="34"/>
    <n v="45"/>
    <x v="0"/>
  </r>
  <r>
    <n v="24"/>
    <x v="23"/>
    <s v="RPO147"/>
    <s v="ABD97666.1"/>
    <s v="PROT:ABD97666.1"/>
    <s v="DNA-dependent RNA polymerase subunit rpo147"/>
    <s v="Taterapox virus"/>
    <x v="35"/>
    <x v="35"/>
    <n v="50"/>
    <x v="0"/>
  </r>
  <r>
    <n v="24"/>
    <x v="23"/>
    <s v="RPO147"/>
    <s v="AAO89377.1"/>
    <s v="PROT:AAO89377.1"/>
    <s v="DNA-dependent RNA polymerase subunit rpo147"/>
    <s v="Vaccinia virus WR"/>
    <x v="36"/>
    <x v="36"/>
    <n v="52"/>
    <x v="0"/>
  </r>
  <r>
    <n v="24"/>
    <x v="23"/>
    <s v="RPO147"/>
    <s v="CAA49024.1"/>
    <s v="PROT:CAA49024.1"/>
    <s v="L6R"/>
    <s v="Variola virus major"/>
    <x v="37"/>
    <x v="37"/>
    <n v="53"/>
    <x v="0"/>
  </r>
  <r>
    <n v="24"/>
    <x v="23"/>
    <s v="RPO147"/>
    <s v="CAB54683.1"/>
    <s v="PROT:CAB54683.1"/>
    <s v="M6R protein"/>
    <s v="Variola minor virus"/>
    <x v="38"/>
    <x v="38"/>
    <n v="54"/>
    <x v="0"/>
  </r>
  <r>
    <n v="24"/>
    <x v="23"/>
    <s v="RPO147"/>
    <s v="AOP31787.1"/>
    <s v="PROT:AOP31787.1"/>
    <s v="RNA polymerase"/>
    <s v="Volepox virus"/>
    <x v="39"/>
    <x v="39"/>
    <n v="55"/>
    <x v="0"/>
  </r>
  <r>
    <n v="24"/>
    <x v="23"/>
    <s v="RPO147"/>
    <s v="ASC55584.1"/>
    <s v="PROT:ASC55584.1"/>
    <s v="RNA polymerase subunit RPO147-like protein"/>
    <s v="Seal parapoxvirus"/>
    <x v="40"/>
    <x v="40"/>
    <n v="22"/>
    <x v="0"/>
  </r>
  <r>
    <n v="24"/>
    <x v="23"/>
    <s v="RPO147"/>
    <s v="AAR98413.1"/>
    <s v="PROT:AAR98413.1"/>
    <s v="ORF056 RNA polymerase subunit RPO147"/>
    <s v="Bovine papular stomatitis virus"/>
    <x v="41"/>
    <x v="41"/>
    <n v="6"/>
    <x v="0"/>
  </r>
  <r>
    <n v="24"/>
    <x v="23"/>
    <s v="RPO147"/>
    <s v="AAR98281.1"/>
    <s v="PROT:AAR98281.1"/>
    <s v="ORF056 RNA polymerase subunit RPO147"/>
    <s v="Orf virus strain OV-SA00"/>
    <x v="42"/>
    <x v="42"/>
    <n v="35"/>
    <x v="0"/>
  </r>
  <r>
    <n v="24"/>
    <x v="23"/>
    <s v="RPO147"/>
    <s v="ABA00573.1"/>
    <s v="PROT:ABA00573.1"/>
    <s v="RNA polymerase subunit RPO147"/>
    <s v="Orf virus strain NZ2"/>
    <x v="43"/>
    <x v="43"/>
    <n v="36"/>
    <x v="1"/>
  </r>
  <r>
    <n v="24"/>
    <x v="23"/>
    <s v="RPO147"/>
    <s v="AIZ77307.1"/>
    <s v="PROT:AIZ77307.1"/>
    <s v="putative RNA polymerase subunit RPO147"/>
    <s v="Parapoxvirus red deer/HL953"/>
    <x v="44"/>
    <x v="44"/>
    <n v="42"/>
    <x v="0"/>
  </r>
  <r>
    <n v="24"/>
    <x v="23"/>
    <s v="RPO147"/>
    <s v="ADC53957.1"/>
    <s v="PROT:ADC53957.1"/>
    <s v="RNA-polymerase subunit RPO147"/>
    <s v="Pseudocowpox virus"/>
    <x v="45"/>
    <x v="45"/>
    <n v="37"/>
    <x v="0"/>
  </r>
  <r>
    <n v="24"/>
    <x v="23"/>
    <s v="RPO147"/>
    <s v="AAL69807.1"/>
    <s v="PROT:AAL69807.1"/>
    <s v="SPV068 RNA polymerase subunit RPO147"/>
    <s v="Swinepox virus"/>
    <x v="46"/>
    <x v="46"/>
    <n v="49"/>
    <x v="0"/>
  </r>
  <r>
    <n v="24"/>
    <x v="23"/>
    <s v="RPO147"/>
    <s v="CAC21309.1"/>
    <s v="PROT:CAC21309.1"/>
    <s v="71R protein"/>
    <s v="Yaba-like disease virus"/>
    <x v="47"/>
    <x v="47"/>
    <n v="58"/>
    <x v="0"/>
  </r>
  <r>
    <n v="24"/>
    <x v="23"/>
    <s v="RPO147"/>
    <s v="AAR07427.1"/>
    <s v="PROT:AAR07427.1"/>
    <s v="71R"/>
    <s v="Yaba monkey tumor virus"/>
    <x v="48"/>
    <x v="48"/>
    <n v="59"/>
    <x v="0"/>
  </r>
  <r>
    <n v="24"/>
    <x v="23"/>
    <s v="RPO147"/>
    <s v="AAC97832.1"/>
    <s v="PROT:AAC97832.1"/>
    <s v="ORF MSV043 putative RNA polymerase largest subunit RPO147 homolog (vaccinia J6R), similar to SW:P20504"/>
    <s v="Melanoplus sanguinipes entomopoxvirus 'O'"/>
    <x v="49"/>
    <x v="49"/>
    <n v="30"/>
    <x v="0"/>
  </r>
  <r>
    <n v="24"/>
    <x v="23"/>
    <s v="RPO147"/>
    <s v="BAO49590.1"/>
    <s v="PROT:BAO49590.1"/>
    <s v="putative RNA polymerase largest subuni"/>
    <s v="Anomala cuprea entomopoxvirus"/>
    <x v="50"/>
    <x v="50"/>
    <n v="2"/>
    <x v="0"/>
  </r>
  <r>
    <n v="24"/>
    <x v="23"/>
    <s v="RPO147"/>
    <s v="CCU55520.1"/>
    <s v="PROT:CCU55520.1"/>
    <s v="RNA polymerase RPO147"/>
    <s v="Adoxophyes honmai entomopoxvirus 'L'"/>
    <x v="51"/>
    <x v="51"/>
    <n v="3"/>
    <x v="0"/>
  </r>
  <r>
    <n v="24"/>
    <x v="23"/>
    <s v="RPO147"/>
    <s v="AAG02927.1"/>
    <s v="PROT:AAG02927.1"/>
    <s v="AMV221"/>
    <s v="Amsacta moorei entomopoxvirus"/>
    <x v="52"/>
    <x v="52"/>
    <n v="5"/>
    <x v="0"/>
  </r>
  <r>
    <n v="24"/>
    <x v="23"/>
    <s v="RPO147"/>
    <s v="CCU55824.1"/>
    <s v="PROT:CCU55824.1"/>
    <s v="RNA polymerase RPO147"/>
    <s v="Choristoneura biennis entomopoxvirus"/>
    <x v="53"/>
    <x v="53"/>
    <n v="10"/>
    <x v="0"/>
  </r>
  <r>
    <n v="24"/>
    <x v="23"/>
    <s v="RPO147"/>
    <s v="CCU56124.1"/>
    <s v="PROT:CCU56124.1"/>
    <s v="RNA polymerase RPO147"/>
    <s v="Choristoneura rosaceana entomopoxvirus 'L'"/>
    <x v="54"/>
    <x v="54"/>
    <n v="14"/>
    <x v="0"/>
  </r>
  <r>
    <n v="24"/>
    <x v="23"/>
    <s v="RPO147"/>
    <s v="CCU56442.1"/>
    <s v="PROT:CCU56442.1"/>
    <s v="RNA polymerase RPO147"/>
    <s v="Mythimna separata entomopoxvirus 'L'"/>
    <x v="55"/>
    <x v="55"/>
    <n v="31"/>
    <x v="0"/>
  </r>
  <r>
    <n v="24"/>
    <x v="23"/>
    <s v="RPO147"/>
    <s v="NP_659643.1"/>
    <s v="PROT:NP_659643.1"/>
    <s v="RNA polymerase subunit RPO147"/>
    <s v="Sheeppox virus"/>
    <x v="56"/>
    <x v="56"/>
    <n v="44"/>
    <x v="0"/>
  </r>
  <r>
    <n v="24"/>
    <x v="23"/>
    <s v="RPO147"/>
    <s v="YP_001293262.1"/>
    <s v="PROT:YP_001293262.1"/>
    <s v="hypothetical protein GTPV_gp067"/>
    <s v="Goatpox virus Pellor"/>
    <x v="57"/>
    <x v="57"/>
    <n v="23"/>
    <x v="0"/>
  </r>
  <r>
    <n v="25"/>
    <x v="24"/>
    <s v="IMV membrane protein"/>
    <s v="ATI21168.1"/>
    <s v="PROT:ATI21168.1"/>
    <s v="IMV membrane protein"/>
    <s v="Eastern grey kangaroopox virus"/>
    <x v="0"/>
    <x v="0"/>
    <n v="18"/>
    <x v="0"/>
  </r>
  <r>
    <n v="25"/>
    <x v="24"/>
    <s v="IMV membrane protein"/>
    <s v="AWU47105.1"/>
    <s v="PROT:AWU47105.1"/>
    <s v="IMV myristylated membrane protein"/>
    <s v="Sea otter poxvirus"/>
    <x v="1"/>
    <x v="1"/>
    <n v="47"/>
    <x v="0"/>
  </r>
  <r>
    <n v="25"/>
    <x v="24"/>
    <s v="IMV membrane protein"/>
    <s v="APG58277.1"/>
    <s v="PROT:APG58277.1"/>
    <s v="protein L1"/>
    <s v="BeAn 58058 virus"/>
    <x v="2"/>
    <x v="2"/>
    <n v="7"/>
    <x v="1"/>
  </r>
  <r>
    <n v="25"/>
    <x v="24"/>
    <s v="IMV membrane protein"/>
    <s v="ADT91092.1"/>
    <s v="PROT:ADT91092.1"/>
    <s v="myristylated MV membrane protein"/>
    <s v="Cotia virus SPAn232"/>
    <x v="3"/>
    <x v="3"/>
    <n v="12"/>
    <x v="0"/>
  </r>
  <r>
    <n v="25"/>
    <x v="24"/>
    <s v="IMV membrane protein"/>
    <s v="ANS71149.1"/>
    <s v="PROT:ANS71149.1"/>
    <s v="imv membrane protein"/>
    <s v="Pteropox virus"/>
    <x v="4"/>
    <x v="4"/>
    <n v="40"/>
    <x v="0"/>
  </r>
  <r>
    <n v="25"/>
    <x v="24"/>
    <s v="IMV membrane protein"/>
    <s v="AKR04221.1"/>
    <s v="PROT:AKR04221.1"/>
    <s v="myristylated IMV envelope protein L1R"/>
    <s v="Salmon gill poxvirus"/>
    <x v="5"/>
    <x v="5"/>
    <n v="46"/>
    <x v="0"/>
  </r>
  <r>
    <n v="25"/>
    <x v="24"/>
    <s v="IMV membrane protein"/>
    <s v="CCD83237.1"/>
    <s v="PROT:CCD83237.1"/>
    <s v="myristylprotein / IMV protein"/>
    <s v="Squirrelpox virus"/>
    <x v="6"/>
    <x v="6"/>
    <n v="48"/>
    <x v="0"/>
  </r>
  <r>
    <n v="25"/>
    <x v="24"/>
    <s v="IMV membrane protein"/>
    <s v="ASK51265.1"/>
    <s v="PROT:ASK51265.1"/>
    <s v="Myristylated IMV envelope protein"/>
    <s v="Eptesipox virus"/>
    <x v="7"/>
    <x v="7"/>
    <n v="19"/>
    <x v="0"/>
  </r>
  <r>
    <n v="25"/>
    <x v="24"/>
    <s v="IMV membrane protein"/>
    <s v="AUD40232.1"/>
    <s v="PROT:AUD40232.1"/>
    <s v="myristylated MV membrane protein"/>
    <s v="Flamingopox virus FGPVKD09"/>
    <x v="8"/>
    <x v="8"/>
    <n v="20"/>
    <x v="0"/>
  </r>
  <r>
    <n v="25"/>
    <x v="24"/>
    <s v="IMV membrane protein"/>
    <s v="AID46864.1"/>
    <s v="PROT:AID46864.1"/>
    <s v="myristylated protein"/>
    <s v="Penguinpox virus"/>
    <x v="9"/>
    <x v="9"/>
    <n v="39"/>
    <x v="0"/>
  </r>
  <r>
    <n v="25"/>
    <x v="24"/>
    <s v="IMV membrane protein"/>
    <s v="AID46635.1"/>
    <s v="PROT:AID46635.1"/>
    <s v="myristylated protein"/>
    <s v="Pigeonpox virus"/>
    <x v="10"/>
    <x v="10"/>
    <n v="38"/>
    <x v="0"/>
  </r>
  <r>
    <n v="25"/>
    <x v="24"/>
    <s v="IMV membrane protein"/>
    <s v="ALA62465.1"/>
    <s v="PROT:ALA62465.1"/>
    <s v="myristylated membrane protein"/>
    <s v="Turkeypox virus"/>
    <x v="11"/>
    <x v="11"/>
    <n v="51"/>
    <x v="0"/>
  </r>
  <r>
    <n v="25"/>
    <x v="24"/>
    <s v="IMV membrane protein"/>
    <s v="AAR83519.1"/>
    <s v="PROT:AAR83519.1"/>
    <s v="CNPV173 putative myristylated IMV envelope protein"/>
    <s v="Canarypox virus"/>
    <x v="12"/>
    <x v="12"/>
    <n v="11"/>
    <x v="0"/>
  </r>
  <r>
    <n v="25"/>
    <x v="24"/>
    <s v="IMV membrane protein"/>
    <s v="AAF44472.1"/>
    <s v="PROT:AAF44472.1"/>
    <s v="ORF FPV128 Myristylated membrane protein"/>
    <s v="Fowlpox virus"/>
    <x v="13"/>
    <x v="13"/>
    <n v="21"/>
    <x v="0"/>
  </r>
  <r>
    <n v="25"/>
    <x v="24"/>
    <s v="IMV membrane protein"/>
    <s v="YP_001293251.1"/>
    <s v="PROT:YP_001293251.1"/>
    <s v="hypothetical protein GTPV_gp056"/>
    <s v="Goatpox virus Pellor"/>
    <x v="57"/>
    <x v="57"/>
    <n v="23"/>
    <x v="0"/>
  </r>
  <r>
    <n v="25"/>
    <x v="24"/>
    <s v="IMV membrane protein"/>
    <s v="AAK85021.1"/>
    <s v="PROT:AAK85021.1"/>
    <s v="LSDV060 putative myristylated IMV envelope protein"/>
    <s v="Lumpy skin disease virus NI-2490"/>
    <x v="14"/>
    <x v="14"/>
    <n v="25"/>
    <x v="0"/>
  </r>
  <r>
    <n v="25"/>
    <x v="24"/>
    <s v="IMV membrane protein"/>
    <s v="NP_659632.1"/>
    <s v="PROT:NP_659632.1"/>
    <s v="Myristylated IMV envelope protein"/>
    <s v="Sheeppox virus"/>
    <x v="56"/>
    <x v="56"/>
    <n v="44"/>
    <x v="0"/>
  </r>
  <r>
    <n v="25"/>
    <x v="24"/>
    <s v="IMV membrane protein"/>
    <s v="AST09279.1"/>
    <s v="PROT:AST09279.1"/>
    <s v="IMV membrane protein"/>
    <s v="Murmansk poxvirus"/>
    <x v="15"/>
    <x v="15"/>
    <n v="27"/>
    <x v="0"/>
  </r>
  <r>
    <n v="25"/>
    <x v="24"/>
    <s v="IMV membrane protein"/>
    <s v="AEN03657.1"/>
    <s v="PROT:AEN03657.1"/>
    <s v="IMV membrane protein"/>
    <s v="Yokapox virus"/>
    <x v="16"/>
    <x v="16"/>
    <n v="57"/>
    <x v="0"/>
  </r>
  <r>
    <n v="25"/>
    <x v="24"/>
    <s v="IMV membrane protein"/>
    <s v="ABI99224.1"/>
    <s v="PROT:ABI99224.1"/>
    <s v="myristylated IMV envelope protein"/>
    <s v="Deerpox virus W-848-83"/>
    <x v="17"/>
    <x v="17"/>
    <n v="15"/>
    <x v="0"/>
  </r>
  <r>
    <n v="25"/>
    <x v="24"/>
    <s v="IMV membrane protein"/>
    <s v="ABJ08973.1"/>
    <s v="PROT:ABJ08973.1"/>
    <s v="myristylated IMV envelope protein"/>
    <s v="Nile crocodilepox virus"/>
    <x v="18"/>
    <x v="18"/>
    <n v="34"/>
    <x v="0"/>
  </r>
  <r>
    <n v="25"/>
    <x v="24"/>
    <s v="IMV membrane protein"/>
    <s v="AAF14943.1"/>
    <s v="PROT:AAF14943.1"/>
    <s v="m55R"/>
    <s v="Myxoma virus strain Lausanne"/>
    <x v="19"/>
    <x v="19"/>
    <n v="32"/>
    <x v="0"/>
  </r>
  <r>
    <n v="25"/>
    <x v="24"/>
    <s v="IMV membrane protein"/>
    <s v="AFU77319.1"/>
    <s v="PROT:AFU77319.1"/>
    <s v="m55R"/>
    <s v="Myxoma virus isolate BRK 897"/>
    <x v="20"/>
    <x v="20"/>
    <n v="33"/>
    <x v="1"/>
  </r>
  <r>
    <n v="25"/>
    <x v="24"/>
    <s v="IMV membrane protein"/>
    <s v="AAF17937.1"/>
    <s v="PROT:AAF17937.1"/>
    <s v="gp055R"/>
    <s v="Rabbit fibroma virus"/>
    <x v="21"/>
    <x v="21"/>
    <n v="43"/>
    <x v="0"/>
  </r>
  <r>
    <n v="25"/>
    <x v="24"/>
    <s v="IMV membrane protein"/>
    <s v="AAC55197.1"/>
    <s v="PROT:AAC55197.1"/>
    <s v="MC069R"/>
    <s v="Molluscum contagiosum virus subtype 1"/>
    <x v="22"/>
    <x v="22"/>
    <n v="26"/>
    <x v="0"/>
  </r>
  <r>
    <n v="25"/>
    <x v="24"/>
    <s v="IMV membrane protein"/>
    <s v="AYN64654.1"/>
    <s v="PROT:AYN64654.1"/>
    <s v="putative L1R protein"/>
    <s v="Orthopoxvirus Abatino"/>
    <x v="23"/>
    <x v="23"/>
    <n v="1"/>
    <x v="0"/>
  </r>
  <r>
    <n v="25"/>
    <x v="24"/>
    <s v="IMV membrane protein"/>
    <s v="AXN74881.1"/>
    <s v="PROT:AXN74881.1"/>
    <s v="IMV membrane protein"/>
    <s v="Akhmeta virus"/>
    <x v="24"/>
    <x v="24"/>
    <n v="4"/>
    <x v="0"/>
  </r>
  <r>
    <n v="25"/>
    <x v="24"/>
    <s v="IMV membrane protein"/>
    <s v="ABH08195.1"/>
    <s v="PROT:ABH08195.1"/>
    <s v="HSPV089"/>
    <s v="Horsepox virus"/>
    <x v="25"/>
    <x v="25"/>
    <n v="24"/>
    <x v="0"/>
  </r>
  <r>
    <n v="25"/>
    <x v="24"/>
    <s v="IMV membrane protein"/>
    <s v="AAG37557.1"/>
    <s v="PROT:AAG37557.1"/>
    <s v="CMP85R"/>
    <s v="Camelpox virus CMS"/>
    <x v="26"/>
    <x v="26"/>
    <n v="9"/>
    <x v="1"/>
  </r>
  <r>
    <n v="25"/>
    <x v="24"/>
    <s v="IMV membrane protein"/>
    <s v="AAL73793.1"/>
    <s v="PROT:AAL73793.1"/>
    <s v="putative myristylated IMV envelope protein"/>
    <s v="Camelpox virus M-96"/>
    <x v="27"/>
    <x v="27"/>
    <n v="8"/>
    <x v="0"/>
  </r>
  <r>
    <n v="25"/>
    <x v="24"/>
    <s v="IMV membrane protein"/>
    <s v="AAM13543.1"/>
    <s v="PROT:AAM13543.1"/>
    <s v="CPXV099 protein"/>
    <s v="Cowpox virus"/>
    <x v="28"/>
    <x v="28"/>
    <n v="13"/>
    <x v="0"/>
  </r>
  <r>
    <n v="25"/>
    <x v="24"/>
    <s v="IMV membrane protein"/>
    <s v="AAM92376.1"/>
    <s v="PROT:AAM92376.1"/>
    <s v="EVM072"/>
    <s v="Ectromelia virus"/>
    <x v="29"/>
    <x v="29"/>
    <n v="16"/>
    <x v="0"/>
  </r>
  <r>
    <n v="25"/>
    <x v="24"/>
    <s v="IMV membrane protein"/>
    <s v="AFH54635.1"/>
    <s v="PROT:AFH54635.1"/>
    <s v="IMV myristylated membrane protein"/>
    <s v="Ectromelia virus ERPV"/>
    <x v="30"/>
    <x v="30"/>
    <n v="17"/>
    <x v="1"/>
  </r>
  <r>
    <n v="25"/>
    <x v="24"/>
    <s v="IMV membrane protein"/>
    <s v="AAL40538.1"/>
    <s v="PROT:AAL40538.1"/>
    <s v="M1R"/>
    <s v="Monkeypox virus Zaire-96-I-16 (clade I)"/>
    <x v="31"/>
    <x v="31"/>
    <n v="29"/>
    <x v="0"/>
  </r>
  <r>
    <n v="25"/>
    <x v="24"/>
    <s v="IMV membrane protein"/>
    <s v="AAX09175.1"/>
    <s v="PROT:AAX09175.1"/>
    <s v="MPXV-COP-074"/>
    <s v="monkeypox virus strain cOP-58 (clade IIa)"/>
    <x v="32"/>
    <x v="32"/>
    <n v="28"/>
    <x v="0"/>
  </r>
  <r>
    <n v="25"/>
    <x v="24"/>
    <s v="IMV membrane protein"/>
    <s v="AKJ93717.1"/>
    <s v="PROT:AKJ93717.1"/>
    <s v="IMV membrane protein"/>
    <s v="Raccoonpox virus"/>
    <x v="33"/>
    <x v="33"/>
    <n v="41"/>
    <x v="0"/>
  </r>
  <r>
    <n v="25"/>
    <x v="24"/>
    <s v="IMV membrane protein"/>
    <s v="AOP31566.1"/>
    <s v="PROT:AOP31566.1"/>
    <s v="imv membrane protein"/>
    <s v="Skunkpox virus"/>
    <x v="34"/>
    <x v="34"/>
    <n v="45"/>
    <x v="0"/>
  </r>
  <r>
    <n v="25"/>
    <x v="24"/>
    <s v="IMV membrane protein"/>
    <s v="ABD97657.1"/>
    <s v="PROT:ABD97657.1"/>
    <s v="IMV membrane protein"/>
    <s v="Taterapox virus"/>
    <x v="35"/>
    <x v="35"/>
    <n v="50"/>
    <x v="0"/>
  </r>
  <r>
    <n v="25"/>
    <x v="24"/>
    <s v="IMV membrane protein"/>
    <s v="AAO89367.1"/>
    <s v="PROT:AAO89367.1"/>
    <s v="IMV membrane protein"/>
    <s v="Vaccinia virus WR"/>
    <x v="36"/>
    <x v="36"/>
    <n v="52"/>
    <x v="0"/>
  </r>
  <r>
    <n v="25"/>
    <x v="24"/>
    <s v="IMV membrane protein"/>
    <s v="CAA49014.1"/>
    <s v="PROT:CAA49014.1"/>
    <s v="M1R"/>
    <s v="Variola virus major"/>
    <x v="37"/>
    <x v="37"/>
    <n v="53"/>
    <x v="0"/>
  </r>
  <r>
    <n v="25"/>
    <x v="24"/>
    <s v="IMV membrane protein"/>
    <s v="CAB54673.1"/>
    <s v="PROT:CAB54673.1"/>
    <s v="N1R protein"/>
    <s v="Variola minor virus"/>
    <x v="38"/>
    <x v="38"/>
    <n v="54"/>
    <x v="0"/>
  </r>
  <r>
    <n v="25"/>
    <x v="24"/>
    <s v="IMV membrane protein"/>
    <s v="AOP31777.1"/>
    <s v="PROT:AOP31777.1"/>
    <s v="imv membrane protein"/>
    <s v="Volepox virus"/>
    <x v="39"/>
    <x v="39"/>
    <n v="55"/>
    <x v="0"/>
  </r>
  <r>
    <n v="25"/>
    <x v="24"/>
    <s v="IMV membrane protein"/>
    <s v="ASC55592.1"/>
    <s v="PROT:ASC55592.1"/>
    <s v="myristylated IMV envelope protein-like protein"/>
    <s v="Seal parapoxvirus"/>
    <x v="40"/>
    <x v="40"/>
    <n v="22"/>
    <x v="0"/>
  </r>
  <r>
    <n v="25"/>
    <x v="24"/>
    <s v="IMV membrane protein"/>
    <s v="AAR98404.1"/>
    <s v="PROT:AAR98404.1"/>
    <s v="ORF047 myristylated IMV envelope protein"/>
    <s v="Bovine papular stomatitis virus"/>
    <x v="41"/>
    <x v="41"/>
    <n v="6"/>
    <x v="0"/>
  </r>
  <r>
    <n v="25"/>
    <x v="24"/>
    <s v="IMV membrane protein"/>
    <s v="AAR98272.1"/>
    <s v="PROT:AAR98272.1"/>
    <s v="ORF047 putative myristylated IMV envelope protein"/>
    <s v="Orf virus strain OV-SA00"/>
    <x v="42"/>
    <x v="42"/>
    <n v="35"/>
    <x v="0"/>
  </r>
  <r>
    <n v="25"/>
    <x v="24"/>
    <s v="IMV membrane protein"/>
    <s v="ABA00564.1"/>
    <s v="PROT:ABA00564.1"/>
    <s v="IMV protein"/>
    <s v="Orf virus strain NZ2"/>
    <x v="43"/>
    <x v="43"/>
    <n v="36"/>
    <x v="1"/>
  </r>
  <r>
    <n v="25"/>
    <x v="24"/>
    <s v="IMV membrane protein"/>
    <s v="AIZ77298.1"/>
    <s v="PROT:AIZ77298.1"/>
    <s v="putative myristylated IMV envelope protein"/>
    <s v="Parapoxvirus red deer/HL953"/>
    <x v="44"/>
    <x v="44"/>
    <n v="42"/>
    <x v="0"/>
  </r>
  <r>
    <n v="25"/>
    <x v="24"/>
    <s v="IMV membrane protein"/>
    <s v="ADC53948.1"/>
    <s v="PROT:ADC53948.1"/>
    <s v="IMV protein"/>
    <s v="Pseudocowpox virus"/>
    <x v="45"/>
    <x v="45"/>
    <n v="37"/>
    <x v="0"/>
  </r>
  <r>
    <n v="25"/>
    <x v="24"/>
    <s v="IMV membrane protein"/>
    <s v="AAL69796.1"/>
    <s v="PROT:AAL69796.1"/>
    <s v="SPV057 putative myristylated IMV envelope protein"/>
    <s v="Swinepox virus"/>
    <x v="46"/>
    <x v="46"/>
    <n v="49"/>
    <x v="0"/>
  </r>
  <r>
    <n v="25"/>
    <x v="24"/>
    <s v="IMV membrane protein"/>
    <s v="CAC21298.1"/>
    <s v="PROT:CAC21298.1"/>
    <s v="60R protein"/>
    <s v="Yaba-like disease virus"/>
    <x v="47"/>
    <x v="47"/>
    <n v="58"/>
    <x v="0"/>
  </r>
  <r>
    <n v="25"/>
    <x v="24"/>
    <s v="IMV membrane protein"/>
    <s v="AAR07416.1"/>
    <s v="PROT:AAR07416.1"/>
    <s v="60R"/>
    <s v="Yaba monkey tumor virus"/>
    <x v="48"/>
    <x v="48"/>
    <n v="59"/>
    <x v="0"/>
  </r>
  <r>
    <n v="25"/>
    <x v="24"/>
    <s v="IMV membrane protein"/>
    <s v="AAC97691.1"/>
    <s v="PROT:AAC97691.1"/>
    <s v="ORF MSV183 putative myristylated membrane protein, Molluscum contagiosum virus MC069R (vaccinia L1R) homolog, similar to GB:U60315"/>
    <s v="Melanoplus sanguinipes entomopoxvirus 'O'"/>
    <x v="49"/>
    <x v="49"/>
    <n v="30"/>
    <x v="0"/>
  </r>
  <r>
    <n v="25"/>
    <x v="24"/>
    <s v="IMV membrane protein"/>
    <s v="BAO49457.1"/>
    <s v="PROT:BAO49457.1"/>
    <s v="putative myristylated membrane protein"/>
    <s v="Anomala cuprea entomopoxvirus"/>
    <x v="50"/>
    <x v="50"/>
    <n v="2"/>
    <x v="0"/>
  </r>
  <r>
    <n v="25"/>
    <x v="24"/>
    <s v="IMV membrane protein"/>
    <s v="CCU55456.1"/>
    <s v="PROT:CCU55456.1"/>
    <s v="IMV membrane protein (Cop-L1R)"/>
    <s v="Adoxophyes honmai entomopoxvirus 'L'"/>
    <x v="51"/>
    <x v="51"/>
    <n v="3"/>
    <x v="0"/>
  </r>
  <r>
    <n v="25"/>
    <x v="24"/>
    <s v="IMV membrane protein"/>
    <s v="AAG02923.1"/>
    <s v="PROT:AAG02923.1"/>
    <s v="AMV217"/>
    <s v="Amsacta moorei entomopoxvirus"/>
    <x v="52"/>
    <x v="52"/>
    <n v="5"/>
    <x v="0"/>
  </r>
  <r>
    <n v="25"/>
    <x v="24"/>
    <s v="IMV membrane protein"/>
    <s v="CCU55814.1"/>
    <s v="PROT:CCU55814.1"/>
    <s v="IMV membrane protein (Cop-L1R)"/>
    <s v="Choristoneura biennis entomopoxvirus"/>
    <x v="53"/>
    <x v="53"/>
    <n v="10"/>
    <x v="0"/>
  </r>
  <r>
    <n v="25"/>
    <x v="24"/>
    <s v="IMV membrane protein"/>
    <s v="CCU56113.1"/>
    <s v="PROT:CCU56113.1"/>
    <s v="IMV membrane protein (Cop-L1R)"/>
    <s v="Choristoneura rosaceana entomopoxvirus 'L'"/>
    <x v="54"/>
    <x v="54"/>
    <n v="14"/>
    <x v="0"/>
  </r>
  <r>
    <n v="25"/>
    <x v="24"/>
    <s v="IMV membrane protein"/>
    <s v="CCU56438.1"/>
    <s v="PROT:CCU56438.1"/>
    <s v="IMV membrane protein (Cop-L1R)"/>
    <s v="Mythimna separata entomopoxvirus 'L'"/>
    <x v="55"/>
    <x v="55"/>
    <n v="31"/>
    <x v="0"/>
  </r>
  <r>
    <n v="1"/>
    <x v="0"/>
    <s v="DNA helicase"/>
    <s v="ATI21056.1"/>
    <s v="PROT:ATI21056.1"/>
    <m/>
    <s v="Western grey kangaroopox virus"/>
    <x v="58"/>
    <x v="58"/>
    <n v="56"/>
    <x v="0"/>
  </r>
  <r>
    <n v="2"/>
    <x v="2"/>
    <s v="holliday junction resolvase"/>
    <s v="ATI21060.1"/>
    <s v="PROT:ATI21060.1"/>
    <m/>
    <s v="Western grey kangaroopox virus"/>
    <x v="58"/>
    <x v="58"/>
    <n v="56"/>
    <x v="0"/>
  </r>
  <r>
    <n v="3"/>
    <x v="3"/>
    <s v="VITF-3"/>
    <s v="ATI21061.1"/>
    <s v="PROT:ATI21061.1"/>
    <m/>
    <s v="Western grey kangaroopox virus"/>
    <x v="58"/>
    <x v="58"/>
    <n v="56"/>
    <x v="0"/>
  </r>
  <r>
    <n v="4"/>
    <x v="4"/>
    <s v="RPO132"/>
    <s v="ATI21062.1"/>
    <s v="PROT:ATI21062.1"/>
    <m/>
    <s v="Western grey kangaroopox virus"/>
    <x v="58"/>
    <x v="58"/>
    <n v="56"/>
    <x v="0"/>
  </r>
  <r>
    <n v="5"/>
    <x v="5"/>
    <s v="IMV-MP"/>
    <s v="ATI21067.1"/>
    <s v="PROT:ATI21067.1"/>
    <m/>
    <s v="Western grey kangaroopox virus"/>
    <x v="58"/>
    <x v="58"/>
    <n v="56"/>
    <x v="0"/>
  </r>
  <r>
    <n v="6"/>
    <x v="1"/>
    <s v="VLTF-3"/>
    <s v="ATI21037.1"/>
    <s v="PROT:ATI21037.1"/>
    <m/>
    <s v="Western grey kangaroopox virus"/>
    <x v="58"/>
    <x v="58"/>
    <n v="56"/>
    <x v="0"/>
  </r>
  <r>
    <n v="7"/>
    <x v="7"/>
    <s v="ATPase DNA packaging protein"/>
    <s v="ATI21073.1"/>
    <s v="PROT:ATI21073.1"/>
    <m/>
    <s v="Western grey kangaroopox virus"/>
    <x v="58"/>
    <x v="58"/>
    <n v="56"/>
    <x v="0"/>
  </r>
  <r>
    <n v="8"/>
    <x v="6"/>
    <s v="P4b"/>
    <s v="ATI21039.1"/>
    <s v="PROT:ATI21039.1"/>
    <m/>
    <s v="Western grey kangaroopox virus"/>
    <x v="58"/>
    <x v="58"/>
    <n v="56"/>
    <x v="0"/>
  </r>
  <r>
    <n v="9"/>
    <x v="8"/>
    <s v="VETF-L"/>
    <s v="ATI21043.1"/>
    <s v="PROT:ATI21043.1"/>
    <m/>
    <s v="Western grey kangaroopox virus"/>
    <x v="58"/>
    <x v="58"/>
    <n v="56"/>
    <x v="0"/>
  </r>
  <r>
    <n v="10"/>
    <x v="10"/>
    <s v="NPH-I"/>
    <s v="ATI21033.1"/>
    <s v="PROT:ATI21033.1"/>
    <m/>
    <s v="Western grey kangaroopox virus"/>
    <x v="58"/>
    <x v="58"/>
    <n v="56"/>
    <x v="0"/>
  </r>
  <r>
    <n v="11"/>
    <x v="11"/>
    <s v="small capping enzyme"/>
    <s v="ATI21034.1"/>
    <s v="PROT:ATI21034.1"/>
    <m/>
    <s v="Western grey kangaroopox virus"/>
    <x v="58"/>
    <x v="58"/>
    <n v="56"/>
    <x v="0"/>
  </r>
  <r>
    <n v="12"/>
    <x v="9"/>
    <s v="large capping enzyme"/>
    <s v="ATI21024.1"/>
    <s v="PROT:ATI21024.1"/>
    <m/>
    <s v="Western grey kangaroopox virus"/>
    <x v="58"/>
    <x v="58"/>
    <n v="56"/>
    <x v="0"/>
  </r>
  <r>
    <n v="13"/>
    <x v="12"/>
    <s v="NTPase"/>
    <s v="ATI21028.1"/>
    <s v="PROT:ATI21028.1"/>
    <m/>
    <s v="Western grey kangaroopox virus"/>
    <x v="58"/>
    <x v="58"/>
    <n v="56"/>
    <x v="0"/>
  </r>
  <r>
    <n v="14"/>
    <x v="13"/>
    <s v="VETF-S"/>
    <s v="ATI21029.1"/>
    <s v="PROT:ATI21029.1"/>
    <m/>
    <s v="Western grey kangaroopox virus"/>
    <x v="58"/>
    <x v="58"/>
    <n v="56"/>
    <x v="0"/>
  </r>
  <r>
    <n v="15"/>
    <x v="15"/>
    <s v="sulfhydryl oxidase"/>
    <s v="ATI20982.1"/>
    <s v="PROT:ATI20982.1"/>
    <m/>
    <s v="Western grey kangaroopox virus"/>
    <x v="58"/>
    <x v="58"/>
    <n v="56"/>
    <x v="0"/>
  </r>
  <r>
    <n v="16"/>
    <x v="14"/>
    <s v="polyA polymerase large"/>
    <s v="ATI20974.1"/>
    <s v="PROT:ATI20974.1"/>
    <m/>
    <s v="Western grey kangaroopox virus"/>
    <x v="58"/>
    <x v="58"/>
    <n v="56"/>
    <x v="0"/>
  </r>
  <r>
    <n v="17"/>
    <x v="16"/>
    <s v="DNA-polymerase"/>
    <s v="ATI20981.1"/>
    <s v="PROT:ATI20981.1"/>
    <m/>
    <s v="Western grey kangaroopox virus"/>
    <x v="58"/>
    <x v="58"/>
    <n v="56"/>
    <x v="0"/>
  </r>
  <r>
    <n v="18"/>
    <x v="17"/>
    <s v="FEN1"/>
    <s v="ATI20998.1"/>
    <s v="PROT:ATI20998.1"/>
    <m/>
    <s v="Western grey kangaroopox virus"/>
    <x v="58"/>
    <x v="58"/>
    <n v="56"/>
    <x v="0"/>
  </r>
  <r>
    <n v="19"/>
    <x v="18"/>
    <s v="IMV entry-fusion"/>
    <s v="ATI21017.1"/>
    <s v="PROT:ATI21017.1"/>
    <m/>
    <s v="Western grey kangaroopox virus"/>
    <x v="58"/>
    <x v="58"/>
    <n v="56"/>
    <x v="0"/>
  </r>
  <r>
    <n v="20"/>
    <x v="19"/>
    <s v="RAP94"/>
    <s v="ATI21019.1"/>
    <s v="PROT:ATI21019.1"/>
    <m/>
    <s v="Western grey kangaroopox virus"/>
    <x v="58"/>
    <x v="58"/>
    <n v="56"/>
    <x v="0"/>
  </r>
  <r>
    <n v="21"/>
    <x v="20"/>
    <s v="DNA topoisomerase"/>
    <s v="ATI21021.1"/>
    <s v="PROT:ATI21021.1"/>
    <m/>
    <s v="Western grey kangaroopox virus"/>
    <x v="58"/>
    <x v="58"/>
    <n v="56"/>
    <x v="0"/>
  </r>
  <r>
    <n v="22"/>
    <x v="21"/>
    <s v="NPH-II"/>
    <s v="ATI20993.1"/>
    <s v="PROT:ATI20993.1"/>
    <m/>
    <s v="Western grey kangaroopox virus"/>
    <x v="58"/>
    <x v="58"/>
    <n v="56"/>
    <x v="0"/>
  </r>
  <r>
    <n v="23"/>
    <x v="22"/>
    <s v="polyA polymerase small"/>
    <s v="ATI21011.1"/>
    <s v="PROT:ATI21011.1"/>
    <m/>
    <s v="Western grey kangaroopox virus"/>
    <x v="58"/>
    <x v="58"/>
    <n v="56"/>
    <x v="0"/>
  </r>
  <r>
    <n v="24"/>
    <x v="23"/>
    <s v="RPO147"/>
    <s v="ATI21014.1"/>
    <s v="PROT:ATI21014.1"/>
    <m/>
    <s v="Western grey kangaroopox virus"/>
    <x v="58"/>
    <x v="58"/>
    <n v="56"/>
    <x v="0"/>
  </r>
  <r>
    <n v="25"/>
    <x v="24"/>
    <s v="IMV membrane protein"/>
    <s v="ATI21004.1"/>
    <s v="PROT:ATI21004.1"/>
    <m/>
    <s v="Western grey kangaroopox virus"/>
    <x v="58"/>
    <x v="58"/>
    <n v="56"/>
    <x v="0"/>
  </r>
  <r>
    <n v="1"/>
    <x v="0"/>
    <s v="DNA helicase"/>
    <s v="ORF100"/>
    <s v="PROT:ORF100"/>
    <m/>
    <s v="madamurpox virus"/>
    <x v="59"/>
    <x v="59"/>
    <n v="60"/>
    <x v="0"/>
  </r>
  <r>
    <n v="2"/>
    <x v="2"/>
    <s v="holliday junction resolvase"/>
    <s v="ORF104"/>
    <s v="PROT:ORF104"/>
    <m/>
    <s v="madamurpox virus"/>
    <x v="59"/>
    <x v="59"/>
    <n v="60"/>
    <x v="0"/>
  </r>
  <r>
    <n v="3"/>
    <x v="3"/>
    <s v="VITF-3"/>
    <s v="ORF105"/>
    <s v="PROT:ORF105"/>
    <m/>
    <s v="madamurpox virus"/>
    <x v="59"/>
    <x v="59"/>
    <n v="60"/>
    <x v="0"/>
  </r>
  <r>
    <n v="4"/>
    <x v="4"/>
    <s v="RPO132"/>
    <s v="ORF106"/>
    <s v="PROT:ORF106"/>
    <m/>
    <s v="madamurpox virus"/>
    <x v="59"/>
    <x v="59"/>
    <n v="60"/>
    <x v="0"/>
  </r>
  <r>
    <n v="5"/>
    <x v="5"/>
    <s v="IMV-MP"/>
    <s v="ORF110"/>
    <s v="PROT:ORF110"/>
    <m/>
    <s v="madamurpox virus"/>
    <x v="59"/>
    <x v="59"/>
    <n v="60"/>
    <x v="0"/>
  </r>
  <r>
    <n v="6"/>
    <x v="1"/>
    <s v="VLTF-3"/>
    <s v="ORF081"/>
    <s v="PROT:ORF081"/>
    <m/>
    <s v="madamurpox virus"/>
    <x v="59"/>
    <x v="59"/>
    <n v="60"/>
    <x v="0"/>
  </r>
  <r>
    <n v="7"/>
    <x v="7"/>
    <s v="ATPase DNA packaging protein"/>
    <s v="ORF114"/>
    <s v="PROT:ORF114"/>
    <m/>
    <s v="madamurpox virus"/>
    <x v="59"/>
    <x v="59"/>
    <n v="60"/>
    <x v="0"/>
  </r>
  <r>
    <n v="8"/>
    <x v="6"/>
    <s v="P4b"/>
    <s v="ORF083"/>
    <s v="PROT:ORF083"/>
    <m/>
    <s v="madamurpox virus"/>
    <x v="59"/>
    <x v="59"/>
    <n v="60"/>
    <x v="0"/>
  </r>
  <r>
    <n v="9"/>
    <x v="8"/>
    <s v="VETF-L"/>
    <s v="ORF087"/>
    <s v="PROT:ORF087"/>
    <m/>
    <s v="madamurpox virus"/>
    <x v="59"/>
    <x v="59"/>
    <n v="60"/>
    <x v="0"/>
  </r>
  <r>
    <n v="10"/>
    <x v="10"/>
    <s v="NPH-I"/>
    <s v="ORF077"/>
    <s v="PROT:ORF077"/>
    <m/>
    <s v="madamurpox virus"/>
    <x v="59"/>
    <x v="59"/>
    <n v="60"/>
    <x v="0"/>
  </r>
  <r>
    <n v="11"/>
    <x v="11"/>
    <s v="small capping enzyme"/>
    <s v="ORF078"/>
    <s v="PROT:ORF078"/>
    <m/>
    <s v="madamurpox virus"/>
    <x v="59"/>
    <x v="59"/>
    <n v="60"/>
    <x v="0"/>
  </r>
  <r>
    <n v="12"/>
    <x v="9"/>
    <s v="large capping enzyme"/>
    <s v="ORF068"/>
    <s v="PROT:ORF068"/>
    <m/>
    <s v="madamurpox virus"/>
    <x v="59"/>
    <x v="59"/>
    <n v="60"/>
    <x v="0"/>
  </r>
  <r>
    <n v="13"/>
    <x v="12"/>
    <s v="NTPase"/>
    <s v="ORF072"/>
    <s v="PROT:ORF072"/>
    <m/>
    <s v="madamurpox virus"/>
    <x v="59"/>
    <x v="59"/>
    <n v="60"/>
    <x v="0"/>
  </r>
  <r>
    <n v="14"/>
    <x v="13"/>
    <s v="VETF-S"/>
    <s v="ORF073"/>
    <s v="PROT:ORF073"/>
    <m/>
    <s v="madamurpox virus"/>
    <x v="59"/>
    <x v="59"/>
    <n v="60"/>
    <x v="0"/>
  </r>
  <r>
    <n v="15"/>
    <x v="15"/>
    <s v="sulfhydryl oxidase"/>
    <s v="ORF030"/>
    <s v="PROT:ORF030"/>
    <m/>
    <s v="madamurpox virus"/>
    <x v="59"/>
    <x v="59"/>
    <n v="60"/>
    <x v="0"/>
  </r>
  <r>
    <n v="16"/>
    <x v="14"/>
    <s v="polyA polymerase large"/>
    <s v="ORF021"/>
    <s v="PROT:ORF021"/>
    <m/>
    <s v="madamurpox virus"/>
    <x v="59"/>
    <x v="59"/>
    <n v="60"/>
    <x v="0"/>
  </r>
  <r>
    <n v="17"/>
    <x v="16"/>
    <s v="DNA-polymerase"/>
    <s v="ORF029"/>
    <s v="PROT:ORF029"/>
    <m/>
    <s v="madamurpox virus"/>
    <x v="59"/>
    <x v="59"/>
    <n v="60"/>
    <x v="0"/>
  </r>
  <r>
    <n v="18"/>
    <x v="17"/>
    <s v="FEN1"/>
    <s v="ORF044"/>
    <s v="PROT:ORF044"/>
    <m/>
    <s v="madamurpox virus"/>
    <x v="59"/>
    <x v="59"/>
    <n v="60"/>
    <x v="0"/>
  </r>
  <r>
    <n v="19"/>
    <x v="18"/>
    <s v="IMV entry-fusion"/>
    <s v="ORF062"/>
    <s v="PROT:ORF062"/>
    <m/>
    <s v="madamurpox virus"/>
    <x v="59"/>
    <x v="59"/>
    <n v="60"/>
    <x v="0"/>
  </r>
  <r>
    <n v="20"/>
    <x v="19"/>
    <s v="RAP94"/>
    <s v="ORF064"/>
    <s v="PROT:ORF064"/>
    <m/>
    <s v="madamurpox virus"/>
    <x v="59"/>
    <x v="59"/>
    <n v="60"/>
    <x v="0"/>
  </r>
  <r>
    <n v="21"/>
    <x v="20"/>
    <s v="DNA topoisomerase"/>
    <s v="ORF066"/>
    <s v="PROT:ORF066"/>
    <m/>
    <s v="madamurpox virus"/>
    <x v="59"/>
    <x v="59"/>
    <n v="60"/>
    <x v="0"/>
  </r>
  <r>
    <n v="22"/>
    <x v="21"/>
    <s v="NPH-II"/>
    <s v="ORF040"/>
    <s v="PROT:ORF040"/>
    <m/>
    <s v="madamurpox virus"/>
    <x v="59"/>
    <x v="59"/>
    <n v="60"/>
    <x v="0"/>
  </r>
  <r>
    <n v="23"/>
    <x v="22"/>
    <s v="polyA polymerase small"/>
    <s v="ORF057"/>
    <s v="PROT:ORF057"/>
    <m/>
    <s v="madamurpox virus"/>
    <x v="59"/>
    <x v="59"/>
    <n v="60"/>
    <x v="0"/>
  </r>
  <r>
    <n v="24"/>
    <x v="23"/>
    <s v="RPO147"/>
    <s v="ORF060"/>
    <s v="PROT:ORF060"/>
    <m/>
    <s v="madamurpox virus"/>
    <x v="59"/>
    <x v="59"/>
    <n v="60"/>
    <x v="0"/>
  </r>
  <r>
    <n v="25"/>
    <x v="24"/>
    <s v="IMV membrane protein"/>
    <s v="ORF050"/>
    <s v="PROT:ORF050"/>
    <m/>
    <s v="madamurpox virus"/>
    <x v="59"/>
    <x v="59"/>
    <n v="60"/>
    <x v="0"/>
  </r>
  <r>
    <n v="1"/>
    <x v="0"/>
    <s v="DNA helicase"/>
    <s v="XBH23847.1"/>
    <s v="PROT:XBH23847.1"/>
    <s v="DNA helicase"/>
    <s v="Rousettus bat poxvirus isolate 1A/Uganda/UGR70/2019"/>
    <x v="60"/>
    <x v="60"/>
    <n v="61"/>
    <x v="0"/>
  </r>
  <r>
    <n v="2"/>
    <x v="2"/>
    <s v="holliday junction resolvase"/>
    <s v="XBH23851.1"/>
    <s v="PROT:XBH23851.1"/>
    <s v="holliday junction resolvase"/>
    <s v="Rousettus bat poxvirus isolate 1A/Uganda/UGR70/2019"/>
    <x v="60"/>
    <x v="60"/>
    <n v="61"/>
    <x v="0"/>
  </r>
  <r>
    <n v="3"/>
    <x v="3"/>
    <s v="VITF-3"/>
    <s v="XBH23852.1"/>
    <s v="PROT:XBH23852.1"/>
    <s v="intermediate transcription factor VITF-3"/>
    <s v="Rousettus bat poxvirus isolate 1A/Uganda/UGR70/2019"/>
    <x v="60"/>
    <x v="60"/>
    <n v="61"/>
    <x v="0"/>
  </r>
  <r>
    <n v="4"/>
    <x v="4"/>
    <s v="RPO132"/>
    <s v="XBH23853.1"/>
    <s v="PROT:XBH23853.1"/>
    <s v="DNA-dependent RNA polymerase subunit rpo132"/>
    <s v="Rousettus bat poxvirus isolate 1A/Uganda/UGR70/2019"/>
    <x v="60"/>
    <x v="60"/>
    <n v="61"/>
    <x v="0"/>
  </r>
  <r>
    <n v="5"/>
    <x v="5"/>
    <s v="IMV-MP"/>
    <s v="XBH23857.1"/>
    <s v="PROT:XBH23857.1"/>
    <s v="hypothetical protein"/>
    <s v="Rousettus bat poxvirus isolate 1A/Uganda/UGR70/2019"/>
    <x v="60"/>
    <x v="60"/>
    <n v="61"/>
    <x v="0"/>
  </r>
  <r>
    <n v="6"/>
    <x v="1"/>
    <s v="VLTF-3"/>
    <s v="XBH23832.1"/>
    <s v="PROT:XBH23832.1"/>
    <s v="late transcription factor VLTF-3"/>
    <s v="Rousettus bat poxvirus isolate 1A/Uganda/UGR70/2019"/>
    <x v="60"/>
    <x v="60"/>
    <n v="61"/>
    <x v="0"/>
  </r>
  <r>
    <n v="7"/>
    <x v="7"/>
    <s v="ATPase DNA packaging protein"/>
    <s v="XBH23862.1"/>
    <s v="PROT:XBH23862.1"/>
    <s v="ATPase/DNA packaging protein"/>
    <s v="Rousettus bat poxvirus isolate 1A/Uganda/UGR70/2019"/>
    <x v="60"/>
    <x v="60"/>
    <n v="61"/>
    <x v="0"/>
  </r>
  <r>
    <n v="8"/>
    <x v="6"/>
    <s v="P4b"/>
    <s v="XBH23834.1"/>
    <s v="PROT:XBH23834.1"/>
    <s v="P4b precursor"/>
    <s v="Rousettus bat poxvirus isolate 1A/Uganda/UGR70/2019"/>
    <x v="60"/>
    <x v="60"/>
    <n v="61"/>
    <x v="0"/>
  </r>
  <r>
    <n v="9"/>
    <x v="8"/>
    <s v="VETF-L"/>
    <s v="PP711852.1-A7"/>
    <s v="PROT:PP711852.1-A7"/>
    <s v="NOT ANNOTATED (tblastn-2sequences)"/>
    <s v="Rousettus bat poxvirus isolate 1A/Uganda/UGR70/2019"/>
    <x v="60"/>
    <x v="60"/>
    <n v="61"/>
    <x v="0"/>
  </r>
  <r>
    <n v="10"/>
    <x v="10"/>
    <s v="NPH-I"/>
    <s v="PP711852.1-D11"/>
    <s v="PROT:PP711852.1-D11"/>
    <s v="NOT ANNOTATED (tblastn-2sequences)"/>
    <s v="Rousettus bat poxvirus isolate 1A/Uganda/UGR70/2019"/>
    <x v="60"/>
    <x v="60"/>
    <n v="61"/>
    <x v="0"/>
  </r>
  <r>
    <n v="11"/>
    <x v="11"/>
    <s v="small capping enzyme"/>
    <s v="XBH23830.1"/>
    <s v="PROT:XBH23830.1"/>
    <s v="mRNA capping enzyme small subunit"/>
    <s v="Rousettus bat poxvirus isolate 1A/Uganda/UGR70/2019"/>
    <x v="60"/>
    <x v="60"/>
    <n v="61"/>
    <x v="0"/>
  </r>
  <r>
    <n v="12"/>
    <x v="9"/>
    <s v="large capping enzyme"/>
    <s v="XBH23825.1"/>
    <s v="PROT:XBH23825.1"/>
    <s v="mRNA capping enzyme large subunit"/>
    <s v="Rousettus bat poxvirus isolate 1A/Uganda/UGR70/2019"/>
    <x v="60"/>
    <x v="60"/>
    <n v="61"/>
    <x v="0"/>
  </r>
  <r>
    <n v="13"/>
    <x v="12"/>
    <s v="NTPase"/>
    <s v="XBH23828.1"/>
    <s v="PROT:XBH23828.1"/>
    <s v="NTPase protein"/>
    <s v="Rousettus bat poxvirus isolate 1A/Uganda/UGR70/2019"/>
    <x v="60"/>
    <x v="60"/>
    <n v="61"/>
    <x v="0"/>
  </r>
  <r>
    <n v="14"/>
    <x v="13"/>
    <s v="VETF-S"/>
    <s v="PP711852.1-D6"/>
    <s v="PROT:PP711852.1-D6"/>
    <s v="NOT ANNOTATED (tblastn-2sequences)"/>
    <s v="Rousettus bat poxvirus isolate 1A/Uganda/UGR70/2019"/>
    <x v="60"/>
    <x v="60"/>
    <n v="61"/>
    <x v="0"/>
  </r>
  <r>
    <n v="15"/>
    <x v="15"/>
    <s v="sulfhydryl oxidase"/>
    <s v="XBH23788.1"/>
    <s v="PROT:XBH23788.1"/>
    <s v="sulfhydryl oxidase"/>
    <s v="Rousettus bat poxvirus isolate 1A/Uganda/UGR70/2019"/>
    <x v="60"/>
    <x v="60"/>
    <n v="61"/>
    <x v="0"/>
  </r>
  <r>
    <n v="16"/>
    <x v="14"/>
    <s v="polyA polymerase large"/>
    <s v="XBH23780.1"/>
    <s v="PROT:XBH23780.1"/>
    <s v="poly(A) polymerase large subunit"/>
    <s v="Rousettus bat poxvirus isolate 1A/Uganda/UGR70/2019"/>
    <x v="60"/>
    <x v="60"/>
    <n v="61"/>
    <x v="0"/>
  </r>
  <r>
    <n v="17"/>
    <x v="16"/>
    <s v="DNA-polymerase"/>
    <s v="XBH23787.1"/>
    <s v="PROT:XBH23787.1"/>
    <s v="DNA polymerase"/>
    <s v="Rousettus bat poxvirus isolate 1A/Uganda/UGR70/2019"/>
    <x v="60"/>
    <x v="60"/>
    <n v="61"/>
    <x v="0"/>
  </r>
  <r>
    <n v="18"/>
    <x v="17"/>
    <s v="FEN1"/>
    <s v="XBH23802.1"/>
    <s v="PROT:XBH23802.1"/>
    <s v="hypothetical protein"/>
    <s v="Rousettus bat poxvirus isolate 1A/Uganda/UGR70/2019"/>
    <x v="60"/>
    <x v="60"/>
    <n v="61"/>
    <x v="0"/>
  </r>
  <r>
    <n v="19"/>
    <x v="18"/>
    <s v="IMV entry-fusion"/>
    <s v="XBH23819.1"/>
    <s v="PROT:XBH23819.1"/>
    <s v="putative viral membrane protein"/>
    <s v="Rousettus bat poxvirus isolate 1A/Uganda/UGR70/2019"/>
    <x v="60"/>
    <x v="60"/>
    <n v="61"/>
    <x v="0"/>
  </r>
  <r>
    <n v="20"/>
    <x v="19"/>
    <s v="RAP94"/>
    <s v="PP711852.1-H4"/>
    <s v="PROT:PP711852.1-H4"/>
    <s v="NOT ANNOTATED (tblastn-2sequences)"/>
    <s v="Rousettus bat poxvirus isolate 1A/Uganda/UGR70/2019"/>
    <x v="60"/>
    <x v="60"/>
    <n v="61"/>
    <x v="0"/>
  </r>
  <r>
    <n v="21"/>
    <x v="20"/>
    <s v="DNA topoisomerase"/>
    <s v="XBH23822.1"/>
    <s v="PROT:XBH23822.1"/>
    <s v="DNA topoisomerase type I"/>
    <s v="Rousettus bat poxvirus isolate 1A/Uganda/UGR70/2019"/>
    <x v="60"/>
    <x v="60"/>
    <n v="61"/>
    <x v="0"/>
  </r>
  <r>
    <n v="22"/>
    <x v="21"/>
    <s v="NPH-II"/>
    <s v="XBH23797.1"/>
    <s v="PROT:XBH23797.1"/>
    <s v="RNA helicase NPH-II"/>
    <s v="Rousettus bat poxvirus isolate 1A/Uganda/UGR70/2019"/>
    <x v="60"/>
    <x v="60"/>
    <n v="61"/>
    <x v="0"/>
  </r>
  <r>
    <n v="23"/>
    <x v="22"/>
    <s v="polyA polymerase small"/>
    <s v="XBH23815.1"/>
    <s v="PROT:XBH23815.1"/>
    <s v="poly(A) polymerase small subunit"/>
    <s v="Rousettus bat poxvirus isolate 1A/Uganda/UGR70/2019"/>
    <x v="60"/>
    <x v="60"/>
    <n v="61"/>
    <x v="0"/>
  </r>
  <r>
    <n v="24"/>
    <x v="23"/>
    <s v="RPO147"/>
    <s v="XBH23817.1"/>
    <s v="PROT:XBH23817.1"/>
    <s v="DNA-dependent RNA polymerase subunit rpo147"/>
    <s v="Rousettus bat poxvirus isolate 1A/Uganda/UGR70/2019"/>
    <x v="60"/>
    <x v="60"/>
    <n v="61"/>
    <x v="0"/>
  </r>
  <r>
    <n v="25"/>
    <x v="24"/>
    <s v="IMV membrane protein"/>
    <s v="XBH23769.1"/>
    <s v="PROT:XBH23769.1"/>
    <s v="S-S bond formation pathway protein"/>
    <s v="Rousettus bat poxvirus isolate 1A/Uganda/UGR70/2019"/>
    <x v="60"/>
    <x v="60"/>
    <n v="61"/>
    <x v="0"/>
  </r>
  <r>
    <n v="1"/>
    <x v="0"/>
    <s v="DNA helicase"/>
    <s v="AAA48140.1"/>
    <s v="PROT:AAA48140.1"/>
    <s v="DNA helicase"/>
    <s v="Vaccinia virus Copenhagen "/>
    <x v="61"/>
    <x v="61"/>
    <n v="62"/>
    <x v="1"/>
  </r>
  <r>
    <n v="6"/>
    <x v="1"/>
    <s v="VLTF-3"/>
    <s v="AAA48117.1"/>
    <s v="PROT:AAA48117.1"/>
    <s v="VLTF-3"/>
    <s v="Vaccinia virus Copenhagen "/>
    <x v="61"/>
    <x v="61"/>
    <n v="62"/>
    <x v="1"/>
  </r>
  <r>
    <n v="2"/>
    <x v="2"/>
    <s v="holliday junction resolvase"/>
    <s v="AAA48146.1"/>
    <s v="PROT:AAA48146.1"/>
    <s v="holliday junction resolvase"/>
    <s v="Vaccinia virus Copenhagen "/>
    <x v="61"/>
    <x v="61"/>
    <n v="62"/>
    <x v="1"/>
  </r>
  <r>
    <n v="3"/>
    <x v="3"/>
    <s v="VITF-3"/>
    <s v="AAA48147.1"/>
    <s v="PROT:AAA48147.1"/>
    <s v="VITF-3"/>
    <s v="Vaccinia virus Copenhagen "/>
    <x v="61"/>
    <x v="61"/>
    <n v="62"/>
    <x v="1"/>
  </r>
  <r>
    <n v="4"/>
    <x v="4"/>
    <s v="RPO132"/>
    <s v="AAA48148.1"/>
    <s v="PROT:AAA48148.1"/>
    <s v="RPO132"/>
    <s v="Vaccinia virus Copenhagen "/>
    <x v="61"/>
    <x v="61"/>
    <n v="62"/>
    <x v="1"/>
  </r>
  <r>
    <n v="5"/>
    <x v="5"/>
    <s v="IMV-MP"/>
    <s v="AAA48153.1"/>
    <s v="PROT:AAA48153.1"/>
    <s v="IMV-MP"/>
    <s v="Vaccinia virus Copenhagen "/>
    <x v="61"/>
    <x v="61"/>
    <n v="62"/>
    <x v="1"/>
  </r>
  <r>
    <n v="8"/>
    <x v="6"/>
    <s v="P4b"/>
    <s v="AAA48118.1"/>
    <s v="PROT:AAA48118.1"/>
    <s v="P4b"/>
    <s v="Vaccinia virus Copenhagen "/>
    <x v="61"/>
    <x v="61"/>
    <n v="62"/>
    <x v="1"/>
  </r>
  <r>
    <n v="7"/>
    <x v="7"/>
    <s v="ATPase DNA packaging protein"/>
    <s v="AAA48158.1"/>
    <s v="PROT:AAA48158.1"/>
    <s v="ATPase DNA packaging protein"/>
    <s v="Vaccinia virus Copenhagen "/>
    <x v="61"/>
    <x v="61"/>
    <n v="62"/>
    <x v="1"/>
  </r>
  <r>
    <n v="9"/>
    <x v="8"/>
    <s v="VETF-L"/>
    <s v="AAA48124.1"/>
    <s v="PROT:AAA48124.1"/>
    <s v="VETF-L"/>
    <s v="Vaccinia virus Copenhagen "/>
    <x v="61"/>
    <x v="61"/>
    <n v="62"/>
    <x v="1"/>
  </r>
  <r>
    <n v="12"/>
    <x v="9"/>
    <s v="large capping enzyme"/>
    <s v="AAA48095.1"/>
    <s v="PROT:AAA48095.1"/>
    <s v="large capping enzyme"/>
    <s v="Vaccinia virus Copenhagen "/>
    <x v="61"/>
    <x v="61"/>
    <n v="62"/>
    <x v="1"/>
  </r>
  <r>
    <n v="10"/>
    <x v="10"/>
    <s v="NPH-I"/>
    <s v="AAA48110.1"/>
    <s v="PROT:AAA48110.1"/>
    <s v="NPH-I"/>
    <s v="Vaccinia virus Copenhagen "/>
    <x v="61"/>
    <x v="61"/>
    <n v="62"/>
    <x v="1"/>
  </r>
  <r>
    <n v="11"/>
    <x v="11"/>
    <s v="small capping enzyme"/>
    <s v="AAA48113.1"/>
    <s v="PROT:AAA48113.1"/>
    <s v="small capping enzyme"/>
    <s v="Vaccinia virus Copenhagen "/>
    <x v="61"/>
    <x v="61"/>
    <n v="62"/>
    <x v="1"/>
  </r>
  <r>
    <n v="13"/>
    <x v="12"/>
    <s v="NTPase"/>
    <s v="AAA48102.1"/>
    <s v="PROT:AAA48102.1"/>
    <s v="NTPase"/>
    <s v="Vaccinia virus Copenhagen "/>
    <x v="61"/>
    <x v="61"/>
    <n v="62"/>
    <x v="1"/>
  </r>
  <r>
    <n v="14"/>
    <x v="13"/>
    <s v="VETF-S"/>
    <s v="AAA48105.1"/>
    <s v="PROT:AAA48105.1"/>
    <s v="VETF-S"/>
    <s v="Vaccinia virus Copenhagen "/>
    <x v="61"/>
    <x v="61"/>
    <n v="62"/>
    <x v="1"/>
  </r>
  <r>
    <n v="16"/>
    <x v="14"/>
    <s v="polyA polymerase large"/>
    <s v="AAA48038.1"/>
    <s v="PROT:AAA48038.1"/>
    <s v="polyA polymerase large"/>
    <s v="Vaccinia virus Copenhagen "/>
    <x v="61"/>
    <x v="61"/>
    <n v="62"/>
    <x v="1"/>
  </r>
  <r>
    <n v="15"/>
    <x v="15"/>
    <s v="sulfhydryl oxidase"/>
    <s v="AAA48051.1"/>
    <s v="PROT:AAA48051.1"/>
    <s v="sulfhydryl oxidase"/>
    <s v="Vaccinia virus Copenhagen "/>
    <x v="61"/>
    <x v="61"/>
    <n v="62"/>
    <x v="1"/>
  </r>
  <r>
    <n v="17"/>
    <x v="16"/>
    <s v="DNA-polymerase"/>
    <s v="AAA48049.1"/>
    <s v="PROT:AAA48049.1"/>
    <s v="DNA polymerase"/>
    <s v="Vaccinia virus Copenhagen "/>
    <x v="61"/>
    <x v="61"/>
    <n v="62"/>
    <x v="1"/>
  </r>
  <r>
    <n v="18"/>
    <x v="17"/>
    <s v="FEN1"/>
    <s v="AAA48069.1"/>
    <s v="PROT:AAA48069.1"/>
    <s v="FEN1"/>
    <s v="Vaccinia virus Copenhagen "/>
    <x v="61"/>
    <x v="61"/>
    <n v="62"/>
    <x v="1"/>
  </r>
  <r>
    <n v="19"/>
    <x v="18"/>
    <s v="IMV entry-fusion"/>
    <s v="AAA48089.1"/>
    <s v="PROT:AAA48089.1"/>
    <s v="IMV entry-fusion"/>
    <s v="Vaccinia virus Copenhagen "/>
    <x v="61"/>
    <x v="61"/>
    <n v="62"/>
    <x v="1"/>
  </r>
  <r>
    <n v="20"/>
    <x v="19"/>
    <s v="RAP94"/>
    <s v="AAA48091.1"/>
    <s v="PROT:AAA48091.1"/>
    <s v="RAP94"/>
    <s v="Vaccinia virus Copenhagen "/>
    <x v="61"/>
    <x v="61"/>
    <n v="62"/>
    <x v="1"/>
  </r>
  <r>
    <n v="21"/>
    <x v="20"/>
    <s v="DNA topoisomerase"/>
    <s v="AAA48093.1"/>
    <s v="PROT:AAA48093.1"/>
    <s v="DNA topoisomerase"/>
    <s v="Vaccinia virus Copenhagen "/>
    <x v="61"/>
    <x v="61"/>
    <n v="62"/>
    <x v="1"/>
  </r>
  <r>
    <n v="22"/>
    <x v="21"/>
    <s v="NPH-II"/>
    <s v="AAA48064.1"/>
    <s v="PROT:AAA48064.1"/>
    <s v="NPH-II"/>
    <s v="Vaccinia virus Copenhagen "/>
    <x v="61"/>
    <x v="61"/>
    <n v="62"/>
    <x v="1"/>
  </r>
  <r>
    <n v="23"/>
    <x v="22"/>
    <s v="polyA polymerase small"/>
    <s v="AAA48083.1"/>
    <s v="PROT:AAA48083.1"/>
    <s v="polyA polymerase small"/>
    <s v="Vaccinia virus Copenhagen "/>
    <x v="61"/>
    <x v="61"/>
    <n v="62"/>
    <x v="1"/>
  </r>
  <r>
    <n v="24"/>
    <x v="23"/>
    <s v="RPO147"/>
    <s v="AAA48086.1"/>
    <s v="PROT:AAA48086.1"/>
    <s v="RPO147"/>
    <s v="Vaccinia virus Copenhagen "/>
    <x v="61"/>
    <x v="61"/>
    <n v="62"/>
    <x v="1"/>
  </r>
  <r>
    <n v="25"/>
    <x v="24"/>
    <s v="IMV membrane protein"/>
    <s v="AAA48076.1"/>
    <s v="PROT:AAA48076.1"/>
    <s v="IMV membrane protein"/>
    <s v="Vaccinia virus Copenhagen "/>
    <x v="61"/>
    <x v="61"/>
    <n v="62"/>
    <x v="1"/>
  </r>
  <r>
    <m/>
    <x v="25"/>
    <m/>
    <m/>
    <m/>
    <m/>
    <m/>
    <x v="62"/>
    <x v="62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66C12-7307-7342-8858-D9C1A58CE07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A69" firstHeaderRow="1" firstDataRow="2" firstDataCol="1"/>
  <pivotFields count="11">
    <pivotField showAll="0"/>
    <pivotField axis="axisCol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t="default"/>
      </items>
    </pivotField>
    <pivotField showAll="0"/>
    <pivotField dataField="1" showAll="0"/>
    <pivotField showAll="0"/>
    <pivotField showAll="0"/>
    <pivotField showAll="0"/>
    <pivotField showAll="0">
      <items count="64">
        <item x="29"/>
        <item x="49"/>
        <item x="21"/>
        <item x="19"/>
        <item x="13"/>
        <item x="52"/>
        <item x="14"/>
        <item x="31"/>
        <item x="46"/>
        <item x="27"/>
        <item x="28"/>
        <item x="47"/>
        <item x="50"/>
        <item x="26"/>
        <item x="36"/>
        <item x="12"/>
        <item x="42"/>
        <item x="41"/>
        <item x="48"/>
        <item x="17"/>
        <item x="32"/>
        <item x="43"/>
        <item x="18"/>
        <item x="35"/>
        <item x="25"/>
        <item x="45"/>
        <item x="6"/>
        <item x="51"/>
        <item x="53"/>
        <item x="54"/>
        <item x="55"/>
        <item x="3"/>
        <item x="16"/>
        <item x="30"/>
        <item x="20"/>
        <item x="10"/>
        <item x="9"/>
        <item x="44"/>
        <item x="33"/>
        <item x="11"/>
        <item x="5"/>
        <item x="34"/>
        <item x="39"/>
        <item x="4"/>
        <item x="2"/>
        <item x="40"/>
        <item x="7"/>
        <item x="61"/>
        <item x="15"/>
        <item x="58"/>
        <item x="0"/>
        <item x="8"/>
        <item x="1"/>
        <item x="24"/>
        <item x="23"/>
        <item x="59"/>
        <item x="56"/>
        <item x="57"/>
        <item x="60"/>
        <item x="22"/>
        <item x="37"/>
        <item x="38"/>
        <item x="62"/>
        <item t="default"/>
      </items>
    </pivotField>
    <pivotField axis="axisRow" showAll="0">
      <items count="64">
        <item x="51"/>
        <item x="24"/>
        <item x="52"/>
        <item x="50"/>
        <item x="2"/>
        <item x="41"/>
        <item x="27"/>
        <item x="26"/>
        <item x="12"/>
        <item x="53"/>
        <item x="54"/>
        <item x="3"/>
        <item x="28"/>
        <item x="0"/>
        <item x="29"/>
        <item x="30"/>
        <item x="7"/>
        <item x="8"/>
        <item x="13"/>
        <item x="57"/>
        <item x="25"/>
        <item x="14"/>
        <item x="59"/>
        <item x="49"/>
        <item x="22"/>
        <item x="31"/>
        <item x="32"/>
        <item x="17"/>
        <item x="15"/>
        <item x="55"/>
        <item x="19"/>
        <item x="20"/>
        <item x="18"/>
        <item x="42"/>
        <item x="43"/>
        <item x="23"/>
        <item x="44"/>
        <item x="9"/>
        <item x="10"/>
        <item x="45"/>
        <item x="4"/>
        <item x="21"/>
        <item x="33"/>
        <item x="60"/>
        <item x="5"/>
        <item x="1"/>
        <item x="40"/>
        <item x="56"/>
        <item x="34"/>
        <item x="6"/>
        <item x="46"/>
        <item x="47"/>
        <item x="35"/>
        <item x="11"/>
        <item x="36"/>
        <item x="61"/>
        <item x="37"/>
        <item x="38"/>
        <item x="39"/>
        <item x="58"/>
        <item x="48"/>
        <item x="16"/>
        <item h="1" x="6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</pivotFields>
  <rowFields count="2">
    <field x="10"/>
    <field x="8"/>
  </rowFields>
  <rowItems count="65">
    <i>
      <x/>
    </i>
    <i r="1">
      <x v="4"/>
    </i>
    <i r="1">
      <x v="7"/>
    </i>
    <i r="1">
      <x v="15"/>
    </i>
    <i r="1">
      <x v="31"/>
    </i>
    <i r="1">
      <x v="34"/>
    </i>
    <i r="1">
      <x v="55"/>
    </i>
    <i>
      <x v="1"/>
    </i>
    <i r="1"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6"/>
    </i>
    <i r="1">
      <x v="57"/>
    </i>
    <i r="1">
      <x v="58"/>
    </i>
    <i r="1">
      <x v="59"/>
    </i>
    <i r="1">
      <x v="60"/>
    </i>
    <i r="1">
      <x v="61"/>
    </i>
    <i t="grand">
      <x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Count of GeneAccess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51"/>
  <sheetViews>
    <sheetView tabSelected="1" workbookViewId="0">
      <pane xSplit="4" ySplit="1" topLeftCell="F1466" activePane="bottomRight" state="frozen"/>
      <selection pane="topRight" activeCell="D1" sqref="D1"/>
      <selection pane="bottomLeft" activeCell="A2" sqref="A2"/>
      <selection pane="bottomRight" activeCell="I1483" sqref="I1483"/>
    </sheetView>
  </sheetViews>
  <sheetFormatPr baseColWidth="10" defaultRowHeight="16" x14ac:dyDescent="0.2"/>
  <cols>
    <col min="1" max="1" width="10.1640625" bestFit="1" customWidth="1"/>
    <col min="2" max="2" width="11" bestFit="1" customWidth="1"/>
    <col min="3" max="3" width="25.6640625" bestFit="1" customWidth="1"/>
    <col min="4" max="4" width="14.5" bestFit="1" customWidth="1"/>
    <col min="5" max="5" width="19.5" bestFit="1" customWidth="1"/>
    <col min="6" max="6" width="67.6640625" customWidth="1"/>
    <col min="7" max="7" width="46.1640625" bestFit="1" customWidth="1"/>
    <col min="8" max="8" width="11" bestFit="1" customWidth="1"/>
    <col min="9" max="9" width="35.5" bestFit="1" customWidth="1"/>
  </cols>
  <sheetData>
    <row r="1" spans="1:11" x14ac:dyDescent="0.2">
      <c r="A1" t="s">
        <v>2574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tr">
        <f>INDEX(Genomes!$I:$I,(MATCH(AllProteins!H1,Genomes!$B:$B,0)))</f>
        <v>GenomeDisplayName</v>
      </c>
      <c r="J1" t="str">
        <f>INDEX(Genomes!$A:$A,(MATCH(AllProteins!H1,Genomes!$B:$B,0)))</f>
        <v>GenomeOrder</v>
      </c>
      <c r="K1" t="str">
        <f>INDEX(Genomes!$J:$J,(MATCH(AllProteins!H1,Genomes!$B:$B,0)))</f>
        <v>inNewPoxAlign</v>
      </c>
    </row>
    <row r="2" spans="1:11" x14ac:dyDescent="0.2">
      <c r="A2">
        <f>INDEX(CoreProteinGroups!A:A,MATCH(B2,CoreProteinGroups!B:B,0))</f>
        <v>1</v>
      </c>
      <c r="B2" s="1" t="s">
        <v>7</v>
      </c>
      <c r="C2" t="str">
        <f>VLOOKUP(B2,CoreProteinGroups!$B:$C,2,FALSE)</f>
        <v>DNA helicase</v>
      </c>
      <c r="D2" t="s">
        <v>9</v>
      </c>
      <c r="E2" s="6" t="str">
        <f t="shared" ref="E2:E65" si="0">HYPERLINK(_xlfn.CONCAT("https://www.ncbi.nlm.nih.gov/protein/",D2),_xlfn.CONCAT("PROT:",D2))</f>
        <v>PROT:ATI21220.1</v>
      </c>
      <c r="F2" t="s">
        <v>10</v>
      </c>
      <c r="G2" t="s">
        <v>11</v>
      </c>
      <c r="H2" t="s">
        <v>2663</v>
      </c>
      <c r="I2" t="str">
        <f>INDEX(Genomes!$I:$I,(MATCH(AllProteins!H2,Genomes!$B:$B,0)))</f>
        <v>MF467281-Eastern_grey_kangaroopox_virus</v>
      </c>
      <c r="J2">
        <f>INDEX(Genomes!$A:$A,(MATCH(AllProteins!H2,Genomes!$B:$B,0)))</f>
        <v>18</v>
      </c>
      <c r="K2" t="str">
        <f>INDEX(Genomes!$J:$J,(MATCH(AllProteins!H2,Genomes!$B:$B,0)))</f>
        <v>Y</v>
      </c>
    </row>
    <row r="3" spans="1:11" x14ac:dyDescent="0.2">
      <c r="A3">
        <f>INDEX(CoreProteinGroups!A:A,MATCH(B3,CoreProteinGroups!B:B,0))</f>
        <v>1</v>
      </c>
      <c r="B3" s="1" t="s">
        <v>7</v>
      </c>
      <c r="C3" t="str">
        <f>VLOOKUP(B3,CoreProteinGroups!$B:$C,2,FALSE)</f>
        <v>DNA helicase</v>
      </c>
      <c r="D3" t="s">
        <v>12</v>
      </c>
      <c r="E3" s="6" t="str">
        <f t="shared" si="0"/>
        <v>PROT:AWU47153.1</v>
      </c>
      <c r="F3" t="s">
        <v>8</v>
      </c>
      <c r="G3" t="s">
        <v>13</v>
      </c>
      <c r="H3" t="s">
        <v>2688</v>
      </c>
      <c r="I3" t="str">
        <f>INDEX(Genomes!$I:$I,(MATCH(AllProteins!H3,Genomes!$B:$B,0)))</f>
        <v>MH427217-sea_otter_poxvirus</v>
      </c>
      <c r="J3">
        <f>INDEX(Genomes!$A:$A,(MATCH(AllProteins!H3,Genomes!$B:$B,0)))</f>
        <v>47</v>
      </c>
      <c r="K3" t="str">
        <f>INDEX(Genomes!$J:$J,(MATCH(AllProteins!H3,Genomes!$B:$B,0)))</f>
        <v>Y</v>
      </c>
    </row>
    <row r="4" spans="1:11" x14ac:dyDescent="0.2">
      <c r="A4">
        <f>INDEX(CoreProteinGroups!A:A,MATCH(B4,CoreProteinGroups!B:B,0))</f>
        <v>1</v>
      </c>
      <c r="B4" s="1" t="s">
        <v>7</v>
      </c>
      <c r="C4" t="str">
        <f>VLOOKUP(B4,CoreProteinGroups!$B:$C,2,FALSE)</f>
        <v>DNA helicase</v>
      </c>
      <c r="D4" t="s">
        <v>14</v>
      </c>
      <c r="E4" s="6" t="str">
        <f t="shared" si="0"/>
        <v>PROT:APG58328.1</v>
      </c>
      <c r="F4" t="s">
        <v>15</v>
      </c>
      <c r="G4" t="s">
        <v>16</v>
      </c>
      <c r="H4" t="s">
        <v>2653</v>
      </c>
      <c r="I4" t="str">
        <f>INDEX(Genomes!$I:$I,(MATCH(AllProteins!H4,Genomes!$B:$B,0)))</f>
        <v>KY094066-BeAn_58058_virus</v>
      </c>
      <c r="J4">
        <f>INDEX(Genomes!$A:$A,(MATCH(AllProteins!H4,Genomes!$B:$B,0)))</f>
        <v>7</v>
      </c>
      <c r="K4" t="str">
        <f>INDEX(Genomes!$J:$J,(MATCH(AllProteins!H4,Genomes!$B:$B,0)))</f>
        <v>N</v>
      </c>
    </row>
    <row r="5" spans="1:11" x14ac:dyDescent="0.2">
      <c r="A5">
        <f>INDEX(CoreProteinGroups!A:A,MATCH(B5,CoreProteinGroups!B:B,0))</f>
        <v>1</v>
      </c>
      <c r="B5" s="1" t="s">
        <v>7</v>
      </c>
      <c r="C5" t="str">
        <f>VLOOKUP(B5,CoreProteinGroups!$B:$C,2,FALSE)</f>
        <v>DNA helicase</v>
      </c>
      <c r="D5" t="s">
        <v>17</v>
      </c>
      <c r="E5" s="6" t="str">
        <f t="shared" si="0"/>
        <v>PROT:ADT91137.1</v>
      </c>
      <c r="F5" t="s">
        <v>18</v>
      </c>
      <c r="G5" t="s">
        <v>19</v>
      </c>
      <c r="H5" t="s">
        <v>2658</v>
      </c>
      <c r="I5" t="str">
        <f>INDEX(Genomes!$I:$I,(MATCH(AllProteins!H5,Genomes!$B:$B,0)))</f>
        <v>HQ647181-Cotia_virus</v>
      </c>
      <c r="J5">
        <f>INDEX(Genomes!$A:$A,(MATCH(AllProteins!H5,Genomes!$B:$B,0)))</f>
        <v>12</v>
      </c>
      <c r="K5" t="str">
        <f>INDEX(Genomes!$J:$J,(MATCH(AllProteins!H5,Genomes!$B:$B,0)))</f>
        <v>Y</v>
      </c>
    </row>
    <row r="6" spans="1:11" x14ac:dyDescent="0.2">
      <c r="A6">
        <f>INDEX(CoreProteinGroups!A:A,MATCH(B6,CoreProteinGroups!B:B,0))</f>
        <v>1</v>
      </c>
      <c r="B6" s="1" t="s">
        <v>7</v>
      </c>
      <c r="C6" t="str">
        <f>VLOOKUP(B6,CoreProteinGroups!$B:$C,2,FALSE)</f>
        <v>DNA helicase</v>
      </c>
      <c r="D6" t="s">
        <v>20</v>
      </c>
      <c r="E6" s="6" t="str">
        <f t="shared" si="0"/>
        <v>PROT:ANS71197.1</v>
      </c>
      <c r="F6" t="s">
        <v>10</v>
      </c>
      <c r="G6" t="s">
        <v>21</v>
      </c>
      <c r="H6" t="s">
        <v>2682</v>
      </c>
      <c r="I6" t="str">
        <f>INDEX(Genomes!$I:$I,(MATCH(AllProteins!H6,Genomes!$B:$B,0)))</f>
        <v>KU980965-pteropox_virus</v>
      </c>
      <c r="J6">
        <f>INDEX(Genomes!$A:$A,(MATCH(AllProteins!H6,Genomes!$B:$B,0)))</f>
        <v>40</v>
      </c>
      <c r="K6" t="str">
        <f>INDEX(Genomes!$J:$J,(MATCH(AllProteins!H6,Genomes!$B:$B,0)))</f>
        <v>Y</v>
      </c>
    </row>
    <row r="7" spans="1:11" x14ac:dyDescent="0.2">
      <c r="A7">
        <f>INDEX(CoreProteinGroups!A:A,MATCH(B7,CoreProteinGroups!B:B,0))</f>
        <v>1</v>
      </c>
      <c r="B7" s="1" t="s">
        <v>7</v>
      </c>
      <c r="C7" t="str">
        <f>VLOOKUP(B7,CoreProteinGroups!$B:$C,2,FALSE)</f>
        <v>DNA helicase</v>
      </c>
      <c r="D7" t="s">
        <v>22</v>
      </c>
      <c r="E7" s="6" t="str">
        <f t="shared" si="0"/>
        <v>PROT:AKR04244.1</v>
      </c>
      <c r="F7" t="s">
        <v>23</v>
      </c>
      <c r="G7" t="s">
        <v>24</v>
      </c>
      <c r="H7" t="s">
        <v>2687</v>
      </c>
      <c r="I7" t="str">
        <f>INDEX(Genomes!$I:$I,(MATCH(AllProteins!H7,Genomes!$B:$B,0)))</f>
        <v>KT159937-salmon_gill_poxvirus</v>
      </c>
      <c r="J7">
        <f>INDEX(Genomes!$A:$A,(MATCH(AllProteins!H7,Genomes!$B:$B,0)))</f>
        <v>46</v>
      </c>
      <c r="K7" t="str">
        <f>INDEX(Genomes!$J:$J,(MATCH(AllProteins!H7,Genomes!$B:$B,0)))</f>
        <v>Y</v>
      </c>
    </row>
    <row r="8" spans="1:11" x14ac:dyDescent="0.2">
      <c r="A8">
        <f>INDEX(CoreProteinGroups!A:A,MATCH(B8,CoreProteinGroups!B:B,0))</f>
        <v>1</v>
      </c>
      <c r="B8" s="1" t="s">
        <v>7</v>
      </c>
      <c r="C8" t="str">
        <f>VLOOKUP(B8,CoreProteinGroups!$B:$C,2,FALSE)</f>
        <v>DNA helicase</v>
      </c>
      <c r="D8" t="s">
        <v>25</v>
      </c>
      <c r="E8" s="6" t="str">
        <f t="shared" si="0"/>
        <v>PROT:CCD83290.1</v>
      </c>
      <c r="F8" t="s">
        <v>26</v>
      </c>
      <c r="G8" t="s">
        <v>27</v>
      </c>
      <c r="H8" t="s">
        <v>2689</v>
      </c>
      <c r="I8" t="str">
        <f>INDEX(Genomes!$I:$I,(MATCH(AllProteins!H8,Genomes!$B:$B,0)))</f>
        <v>HE601899-squirrelpox_virus</v>
      </c>
      <c r="J8">
        <f>INDEX(Genomes!$A:$A,(MATCH(AllProteins!H8,Genomes!$B:$B,0)))</f>
        <v>48</v>
      </c>
      <c r="K8" t="str">
        <f>INDEX(Genomes!$J:$J,(MATCH(AllProteins!H8,Genomes!$B:$B,0)))</f>
        <v>Y</v>
      </c>
    </row>
    <row r="9" spans="1:11" x14ac:dyDescent="0.2">
      <c r="A9">
        <f>INDEX(CoreProteinGroups!A:A,MATCH(B9,CoreProteinGroups!B:B,0))</f>
        <v>1</v>
      </c>
      <c r="B9" s="1" t="s">
        <v>7</v>
      </c>
      <c r="C9" t="str">
        <f>VLOOKUP(B9,CoreProteinGroups!$B:$C,2,FALSE)</f>
        <v>DNA helicase</v>
      </c>
      <c r="D9" t="s">
        <v>28</v>
      </c>
      <c r="E9" s="6" t="str">
        <f t="shared" si="0"/>
        <v>PROT:ASK51316.1</v>
      </c>
      <c r="F9" t="s">
        <v>29</v>
      </c>
      <c r="G9" t="s">
        <v>30</v>
      </c>
      <c r="H9" t="s">
        <v>2664</v>
      </c>
      <c r="I9" t="str">
        <f>INDEX(Genomes!$I:$I,(MATCH(AllProteins!H9,Genomes!$B:$B,0)))</f>
        <v>KY747497-eptesipox_virus</v>
      </c>
      <c r="J9">
        <f>INDEX(Genomes!$A:$A,(MATCH(AllProteins!H9,Genomes!$B:$B,0)))</f>
        <v>19</v>
      </c>
      <c r="K9" t="str">
        <f>INDEX(Genomes!$J:$J,(MATCH(AllProteins!H9,Genomes!$B:$B,0)))</f>
        <v>Y</v>
      </c>
    </row>
    <row r="10" spans="1:11" x14ac:dyDescent="0.2">
      <c r="A10">
        <f>INDEX(CoreProteinGroups!A:A,MATCH(B10,CoreProteinGroups!B:B,0))</f>
        <v>1</v>
      </c>
      <c r="B10" s="1" t="s">
        <v>7</v>
      </c>
      <c r="C10" t="str">
        <f>VLOOKUP(B10,CoreProteinGroups!$B:$C,2,FALSE)</f>
        <v>DNA helicase</v>
      </c>
      <c r="D10" t="s">
        <v>31</v>
      </c>
      <c r="E10" s="6" t="str">
        <f t="shared" si="0"/>
        <v>PROT:AUD40291.1</v>
      </c>
      <c r="F10" t="s">
        <v>8</v>
      </c>
      <c r="G10" t="s">
        <v>32</v>
      </c>
      <c r="H10" t="s">
        <v>2665</v>
      </c>
      <c r="I10" t="str">
        <f>INDEX(Genomes!$I:$I,(MATCH(AllProteins!H10,Genomes!$B:$B,0)))</f>
        <v>MF678796-flamingopox_virus</v>
      </c>
      <c r="J10">
        <f>INDEX(Genomes!$A:$A,(MATCH(AllProteins!H10,Genomes!$B:$B,0)))</f>
        <v>20</v>
      </c>
      <c r="K10" t="str">
        <f>INDEX(Genomes!$J:$J,(MATCH(AllProteins!H10,Genomes!$B:$B,0)))</f>
        <v>Y</v>
      </c>
    </row>
    <row r="11" spans="1:11" x14ac:dyDescent="0.2">
      <c r="A11">
        <f>INDEX(CoreProteinGroups!A:A,MATCH(B11,CoreProteinGroups!B:B,0))</f>
        <v>1</v>
      </c>
      <c r="B11" s="1" t="s">
        <v>7</v>
      </c>
      <c r="C11" t="str">
        <f>VLOOKUP(B11,CoreProteinGroups!$B:$C,2,FALSE)</f>
        <v>DNA helicase</v>
      </c>
      <c r="D11" t="s">
        <v>33</v>
      </c>
      <c r="E11" s="6" t="str">
        <f t="shared" si="0"/>
        <v>PROT:AID46922.1</v>
      </c>
      <c r="F11" t="s">
        <v>8</v>
      </c>
      <c r="G11" t="s">
        <v>34</v>
      </c>
      <c r="H11" t="s">
        <v>2681</v>
      </c>
      <c r="I11" t="str">
        <f>INDEX(Genomes!$I:$I,(MATCH(AllProteins!H11,Genomes!$B:$B,0)))</f>
        <v>KJ859677-penguinpox_virus</v>
      </c>
      <c r="J11">
        <f>INDEX(Genomes!$A:$A,(MATCH(AllProteins!H11,Genomes!$B:$B,0)))</f>
        <v>39</v>
      </c>
      <c r="K11" t="str">
        <f>INDEX(Genomes!$J:$J,(MATCH(AllProteins!H11,Genomes!$B:$B,0)))</f>
        <v>Y</v>
      </c>
    </row>
    <row r="12" spans="1:11" x14ac:dyDescent="0.2">
      <c r="A12">
        <f>INDEX(CoreProteinGroups!A:A,MATCH(B12,CoreProteinGroups!B:B,0))</f>
        <v>1</v>
      </c>
      <c r="B12" s="1" t="s">
        <v>7</v>
      </c>
      <c r="C12" t="str">
        <f>VLOOKUP(B12,CoreProteinGroups!$B:$C,2,FALSE)</f>
        <v>DNA helicase</v>
      </c>
      <c r="D12" t="s">
        <v>35</v>
      </c>
      <c r="E12" s="6" t="str">
        <f t="shared" si="0"/>
        <v>PROT:AID46690.1</v>
      </c>
      <c r="F12" t="s">
        <v>8</v>
      </c>
      <c r="G12" t="s">
        <v>36</v>
      </c>
      <c r="H12" t="s">
        <v>2680</v>
      </c>
      <c r="I12" t="str">
        <f>INDEX(Genomes!$I:$I,(MATCH(AllProteins!H12,Genomes!$B:$B,0)))</f>
        <v>KJ801920-pigeonpox_virus</v>
      </c>
      <c r="J12">
        <f>INDEX(Genomes!$A:$A,(MATCH(AllProteins!H12,Genomes!$B:$B,0)))</f>
        <v>38</v>
      </c>
      <c r="K12" t="str">
        <f>INDEX(Genomes!$J:$J,(MATCH(AllProteins!H12,Genomes!$B:$B,0)))</f>
        <v>Y</v>
      </c>
    </row>
    <row r="13" spans="1:11" x14ac:dyDescent="0.2">
      <c r="A13">
        <f>INDEX(CoreProteinGroups!A:A,MATCH(B13,CoreProteinGroups!B:B,0))</f>
        <v>1</v>
      </c>
      <c r="B13" s="1" t="s">
        <v>7</v>
      </c>
      <c r="C13" t="str">
        <f>VLOOKUP(B13,CoreProteinGroups!$B:$C,2,FALSE)</f>
        <v>DNA helicase</v>
      </c>
      <c r="D13" t="s">
        <v>37</v>
      </c>
      <c r="E13" s="6" t="str">
        <f t="shared" si="0"/>
        <v>PROT:ALA62507.1</v>
      </c>
      <c r="F13" t="s">
        <v>38</v>
      </c>
      <c r="G13" t="s">
        <v>39</v>
      </c>
      <c r="H13" t="s">
        <v>2692</v>
      </c>
      <c r="I13" t="str">
        <f>INDEX(Genomes!$I:$I,(MATCH(AllProteins!H13,Genomes!$B:$B,0)))</f>
        <v>KP728110-turkeypox_virus</v>
      </c>
      <c r="J13">
        <f>INDEX(Genomes!$A:$A,(MATCH(AllProteins!H13,Genomes!$B:$B,0)))</f>
        <v>51</v>
      </c>
      <c r="K13" t="str">
        <f>INDEX(Genomes!$J:$J,(MATCH(AllProteins!H13,Genomes!$B:$B,0)))</f>
        <v>Y</v>
      </c>
    </row>
    <row r="14" spans="1:11" x14ac:dyDescent="0.2">
      <c r="A14">
        <f>INDEX(CoreProteinGroups!A:A,MATCH(B14,CoreProteinGroups!B:B,0))</f>
        <v>1</v>
      </c>
      <c r="B14" s="1" t="s">
        <v>7</v>
      </c>
      <c r="C14" t="str">
        <f>VLOOKUP(B14,CoreProteinGroups!$B:$C,2,FALSE)</f>
        <v>DNA helicase</v>
      </c>
      <c r="D14" t="s">
        <v>40</v>
      </c>
      <c r="E14" s="6" t="str">
        <f t="shared" si="0"/>
        <v>PROT:AAR83603.1</v>
      </c>
      <c r="F14" t="s">
        <v>41</v>
      </c>
      <c r="G14" t="s">
        <v>42</v>
      </c>
      <c r="H14" t="s">
        <v>2657</v>
      </c>
      <c r="I14" t="str">
        <f>INDEX(Genomes!$I:$I,(MATCH(AllProteins!H14,Genomes!$B:$B,0)))</f>
        <v>AY318871-canarypox_virus</v>
      </c>
      <c r="J14">
        <f>INDEX(Genomes!$A:$A,(MATCH(AllProteins!H14,Genomes!$B:$B,0)))</f>
        <v>11</v>
      </c>
      <c r="K14" t="str">
        <f>INDEX(Genomes!$J:$J,(MATCH(AllProteins!H14,Genomes!$B:$B,0)))</f>
        <v>Y</v>
      </c>
    </row>
    <row r="15" spans="1:11" x14ac:dyDescent="0.2">
      <c r="A15">
        <f>INDEX(CoreProteinGroups!A:A,MATCH(B15,CoreProteinGroups!B:B,0))</f>
        <v>1</v>
      </c>
      <c r="B15" s="1" t="s">
        <v>7</v>
      </c>
      <c r="C15" t="str">
        <f>VLOOKUP(B15,CoreProteinGroups!$B:$C,2,FALSE)</f>
        <v>DNA helicase</v>
      </c>
      <c r="D15" t="s">
        <v>43</v>
      </c>
      <c r="E15" s="6" t="str">
        <f t="shared" si="0"/>
        <v>PROT:AAF44527.1</v>
      </c>
      <c r="F15" t="s">
        <v>44</v>
      </c>
      <c r="G15" t="s">
        <v>45</v>
      </c>
      <c r="H15" t="s">
        <v>2666</v>
      </c>
      <c r="I15" t="str">
        <f>INDEX(Genomes!$I:$I,(MATCH(AllProteins!H15,Genomes!$B:$B,0)))</f>
        <v>AF198100-fowlpox_virus</v>
      </c>
      <c r="J15">
        <f>INDEX(Genomes!$A:$A,(MATCH(AllProteins!H15,Genomes!$B:$B,0)))</f>
        <v>21</v>
      </c>
      <c r="K15" t="str">
        <f>INDEX(Genomes!$J:$J,(MATCH(AllProteins!H15,Genomes!$B:$B,0)))</f>
        <v>Y</v>
      </c>
    </row>
    <row r="16" spans="1:11" x14ac:dyDescent="0.2">
      <c r="A16">
        <f>INDEX(CoreProteinGroups!A:A,MATCH(B16,CoreProteinGroups!B:B,0))</f>
        <v>1</v>
      </c>
      <c r="B16" s="1" t="s">
        <v>7</v>
      </c>
      <c r="C16" t="str">
        <f>VLOOKUP(B16,CoreProteinGroups!$B:$C,2,FALSE)</f>
        <v>DNA helicase</v>
      </c>
      <c r="D16" t="s">
        <v>46</v>
      </c>
      <c r="E16" s="6" t="str">
        <f t="shared" si="0"/>
        <v>PROT:AAK85071.1</v>
      </c>
      <c r="F16" t="s">
        <v>47</v>
      </c>
      <c r="G16" t="s">
        <v>48</v>
      </c>
      <c r="H16" t="s">
        <v>2669</v>
      </c>
      <c r="I16" t="str">
        <f>INDEX(Genomes!$I:$I,(MATCH(AllProteins!H16,Genomes!$B:$B,0)))</f>
        <v>AF325528-lumpy_skin_disease_virus</v>
      </c>
      <c r="J16">
        <f>INDEX(Genomes!$A:$A,(MATCH(AllProteins!H16,Genomes!$B:$B,0)))</f>
        <v>25</v>
      </c>
      <c r="K16" t="str">
        <f>INDEX(Genomes!$J:$J,(MATCH(AllProteins!H16,Genomes!$B:$B,0)))</f>
        <v>Y</v>
      </c>
    </row>
    <row r="17" spans="1:11" x14ac:dyDescent="0.2">
      <c r="A17">
        <f>INDEX(CoreProteinGroups!A:A,MATCH(B17,CoreProteinGroups!B:B,0))</f>
        <v>1</v>
      </c>
      <c r="B17" s="1" t="s">
        <v>7</v>
      </c>
      <c r="C17" t="str">
        <f>VLOOKUP(B17,CoreProteinGroups!$B:$C,2,FALSE)</f>
        <v>DNA helicase</v>
      </c>
      <c r="D17" t="s">
        <v>49</v>
      </c>
      <c r="E17" s="6" t="str">
        <f t="shared" si="0"/>
        <v>PROT:AST09329.1</v>
      </c>
      <c r="F17" t="s">
        <v>8</v>
      </c>
      <c r="G17" t="s">
        <v>50</v>
      </c>
      <c r="H17" t="s">
        <v>2671</v>
      </c>
      <c r="I17" t="str">
        <f>INDEX(Genomes!$I:$I,(MATCH(AllProteins!H17,Genomes!$B:$B,0)))</f>
        <v>MF001304-Murmansk_poxvirus</v>
      </c>
      <c r="J17">
        <f>INDEX(Genomes!$A:$A,(MATCH(AllProteins!H17,Genomes!$B:$B,0)))</f>
        <v>27</v>
      </c>
      <c r="K17" t="str">
        <f>INDEX(Genomes!$J:$J,(MATCH(AllProteins!H17,Genomes!$B:$B,0)))</f>
        <v>Y</v>
      </c>
    </row>
    <row r="18" spans="1:11" x14ac:dyDescent="0.2">
      <c r="A18">
        <f>INDEX(CoreProteinGroups!A:A,MATCH(B18,CoreProteinGroups!B:B,0))</f>
        <v>1</v>
      </c>
      <c r="B18" s="1" t="s">
        <v>7</v>
      </c>
      <c r="C18" t="str">
        <f>VLOOKUP(B18,CoreProteinGroups!$B:$C,2,FALSE)</f>
        <v>DNA helicase</v>
      </c>
      <c r="D18" t="s">
        <v>51</v>
      </c>
      <c r="E18" s="6" t="str">
        <f t="shared" si="0"/>
        <v>PROT:AEN03711.1</v>
      </c>
      <c r="F18" t="s">
        <v>8</v>
      </c>
      <c r="G18" t="s">
        <v>52</v>
      </c>
      <c r="H18" t="s">
        <v>2698</v>
      </c>
      <c r="I18" t="str">
        <f>INDEX(Genomes!$I:$I,(MATCH(AllProteins!H18,Genomes!$B:$B,0)))</f>
        <v>HQ849551-yokapox_virus</v>
      </c>
      <c r="J18">
        <f>INDEX(Genomes!$A:$A,(MATCH(AllProteins!H18,Genomes!$B:$B,0)))</f>
        <v>57</v>
      </c>
      <c r="K18" t="str">
        <f>INDEX(Genomes!$J:$J,(MATCH(AllProteins!H18,Genomes!$B:$B,0)))</f>
        <v>Y</v>
      </c>
    </row>
    <row r="19" spans="1:11" x14ac:dyDescent="0.2">
      <c r="A19">
        <f>INDEX(CoreProteinGroups!A:A,MATCH(B19,CoreProteinGroups!B:B,0))</f>
        <v>1</v>
      </c>
      <c r="B19" s="1" t="s">
        <v>7</v>
      </c>
      <c r="C19" t="str">
        <f>VLOOKUP(B19,CoreProteinGroups!$B:$C,2,FALSE)</f>
        <v>DNA helicase</v>
      </c>
      <c r="D19" t="s">
        <v>53</v>
      </c>
      <c r="E19" s="6" t="str">
        <f t="shared" si="0"/>
        <v>PROT:ABI99274.1</v>
      </c>
      <c r="F19" t="s">
        <v>8</v>
      </c>
      <c r="G19" t="s">
        <v>54</v>
      </c>
      <c r="H19" t="s">
        <v>2661</v>
      </c>
      <c r="I19" t="str">
        <f>INDEX(Genomes!$I:$I,(MATCH(AllProteins!H19,Genomes!$B:$B,0)))</f>
        <v>AY689436-mule_deerpox_virus</v>
      </c>
      <c r="J19">
        <f>INDEX(Genomes!$A:$A,(MATCH(AllProteins!H19,Genomes!$B:$B,0)))</f>
        <v>15</v>
      </c>
      <c r="K19" t="str">
        <f>INDEX(Genomes!$J:$J,(MATCH(AllProteins!H19,Genomes!$B:$B,0)))</f>
        <v>Y</v>
      </c>
    </row>
    <row r="20" spans="1:11" x14ac:dyDescent="0.2">
      <c r="A20">
        <f>INDEX(CoreProteinGroups!A:A,MATCH(B20,CoreProteinGroups!B:B,0))</f>
        <v>1</v>
      </c>
      <c r="B20" s="1" t="s">
        <v>7</v>
      </c>
      <c r="C20" t="str">
        <f>VLOOKUP(B20,CoreProteinGroups!$B:$C,2,FALSE)</f>
        <v>DNA helicase</v>
      </c>
      <c r="D20" t="s">
        <v>55</v>
      </c>
      <c r="E20" s="6" t="str">
        <f t="shared" si="0"/>
        <v>PROT:ABJ09032.1</v>
      </c>
      <c r="F20" t="s">
        <v>8</v>
      </c>
      <c r="G20" t="s">
        <v>56</v>
      </c>
      <c r="H20" t="s">
        <v>2677</v>
      </c>
      <c r="I20" t="str">
        <f>INDEX(Genomes!$I:$I,(MATCH(AllProteins!H20,Genomes!$B:$B,0)))</f>
        <v>DQ356948-Nile_crocodilepox_virus</v>
      </c>
      <c r="J20">
        <f>INDEX(Genomes!$A:$A,(MATCH(AllProteins!H20,Genomes!$B:$B,0)))</f>
        <v>34</v>
      </c>
      <c r="K20" t="str">
        <f>INDEX(Genomes!$J:$J,(MATCH(AllProteins!H20,Genomes!$B:$B,0)))</f>
        <v>Y</v>
      </c>
    </row>
    <row r="21" spans="1:11" x14ac:dyDescent="0.2">
      <c r="A21">
        <f>INDEX(CoreProteinGroups!A:A,MATCH(B21,CoreProteinGroups!B:B,0))</f>
        <v>1</v>
      </c>
      <c r="B21" s="1" t="s">
        <v>7</v>
      </c>
      <c r="C21" t="str">
        <f>VLOOKUP(B21,CoreProteinGroups!$B:$C,2,FALSE)</f>
        <v>DNA helicase</v>
      </c>
      <c r="D21" t="s">
        <v>57</v>
      </c>
      <c r="E21" s="6" t="str">
        <f t="shared" si="0"/>
        <v>PROT:AAF14996.1</v>
      </c>
      <c r="F21" t="s">
        <v>58</v>
      </c>
      <c r="G21" t="s">
        <v>2584</v>
      </c>
      <c r="H21" t="s">
        <v>2676</v>
      </c>
      <c r="I21" t="str">
        <f>INDEX(Genomes!$I:$I,(MATCH(AllProteins!H21,Genomes!$B:$B,0)))</f>
        <v>AF170726-myxoma_virus</v>
      </c>
      <c r="J21">
        <f>INDEX(Genomes!$A:$A,(MATCH(AllProteins!H21,Genomes!$B:$B,0)))</f>
        <v>32</v>
      </c>
      <c r="K21" t="str">
        <f>INDEX(Genomes!$J:$J,(MATCH(AllProteins!H21,Genomes!$B:$B,0)))</f>
        <v>Y</v>
      </c>
    </row>
    <row r="22" spans="1:11" x14ac:dyDescent="0.2">
      <c r="A22">
        <f>INDEX(CoreProteinGroups!A:A,MATCH(B22,CoreProteinGroups!B:B,0))</f>
        <v>1</v>
      </c>
      <c r="B22" s="1" t="s">
        <v>7</v>
      </c>
      <c r="C22" t="str">
        <f>VLOOKUP(B22,CoreProteinGroups!$B:$C,2,FALSE)</f>
        <v>DNA helicase</v>
      </c>
      <c r="D22" t="s">
        <v>59</v>
      </c>
      <c r="E22" s="6" t="str">
        <f t="shared" si="0"/>
        <v>PROT:AFU77372.1</v>
      </c>
      <c r="F22" t="s">
        <v>58</v>
      </c>
      <c r="G22" t="s">
        <v>2553</v>
      </c>
      <c r="H22" t="s">
        <v>2646</v>
      </c>
      <c r="I22" t="str">
        <f>INDEX(Genomes!$I:$I,(MATCH(AllProteins!H22,Genomes!$B:$B,0)))</f>
        <v>JX565564-myxoma_virus_isolate_BRK_897</v>
      </c>
      <c r="J22">
        <f>INDEX(Genomes!$A:$A,(MATCH(AllProteins!H22,Genomes!$B:$B,0)))</f>
        <v>33</v>
      </c>
      <c r="K22" t="str">
        <f>INDEX(Genomes!$J:$J,(MATCH(AllProteins!H22,Genomes!$B:$B,0)))</f>
        <v>N</v>
      </c>
    </row>
    <row r="23" spans="1:11" x14ac:dyDescent="0.2">
      <c r="A23">
        <f>INDEX(CoreProteinGroups!A:A,MATCH(B23,CoreProteinGroups!B:B,0))</f>
        <v>1</v>
      </c>
      <c r="B23" s="1" t="s">
        <v>7</v>
      </c>
      <c r="C23" t="str">
        <f>VLOOKUP(B23,CoreProteinGroups!$B:$C,2,FALSE)</f>
        <v>DNA helicase</v>
      </c>
      <c r="D23" t="s">
        <v>60</v>
      </c>
      <c r="E23" s="6" t="str">
        <f t="shared" si="0"/>
        <v>PROT:AAF17991.1</v>
      </c>
      <c r="F23" t="s">
        <v>61</v>
      </c>
      <c r="G23" t="s">
        <v>62</v>
      </c>
      <c r="H23" t="s">
        <v>2685</v>
      </c>
      <c r="I23" t="str">
        <f>INDEX(Genomes!$I:$I,(MATCH(AllProteins!H23,Genomes!$B:$B,0)))</f>
        <v>AF170722-rabbit_fibroma_virus</v>
      </c>
      <c r="J23">
        <f>INDEX(Genomes!$A:$A,(MATCH(AllProteins!H23,Genomes!$B:$B,0)))</f>
        <v>43</v>
      </c>
      <c r="K23" t="str">
        <f>INDEX(Genomes!$J:$J,(MATCH(AllProteins!H23,Genomes!$B:$B,0)))</f>
        <v>Y</v>
      </c>
    </row>
    <row r="24" spans="1:11" x14ac:dyDescent="0.2">
      <c r="A24">
        <f>INDEX(CoreProteinGroups!A:A,MATCH(B24,CoreProteinGroups!B:B,0))</f>
        <v>1</v>
      </c>
      <c r="B24" s="1" t="s">
        <v>7</v>
      </c>
      <c r="C24" t="str">
        <f>VLOOKUP(B24,CoreProteinGroups!$B:$C,2,FALSE)</f>
        <v>DNA helicase</v>
      </c>
      <c r="D24" t="s">
        <v>63</v>
      </c>
      <c r="E24" s="6" t="str">
        <f t="shared" si="0"/>
        <v>PROT:AAC55251.1</v>
      </c>
      <c r="F24" t="s">
        <v>64</v>
      </c>
      <c r="G24" t="s">
        <v>65</v>
      </c>
      <c r="H24" t="s">
        <v>2670</v>
      </c>
      <c r="I24" t="str">
        <f>INDEX(Genomes!$I:$I,(MATCH(AllProteins!H24,Genomes!$B:$B,0)))</f>
        <v>U60315-molluscum_contagiosum_virus</v>
      </c>
      <c r="J24">
        <f>INDEX(Genomes!$A:$A,(MATCH(AllProteins!H24,Genomes!$B:$B,0)))</f>
        <v>26</v>
      </c>
      <c r="K24" t="str">
        <f>INDEX(Genomes!$J:$J,(MATCH(AllProteins!H24,Genomes!$B:$B,0)))</f>
        <v>Y</v>
      </c>
    </row>
    <row r="25" spans="1:11" x14ac:dyDescent="0.2">
      <c r="A25">
        <f>INDEX(CoreProteinGroups!A:A,MATCH(B25,CoreProteinGroups!B:B,0))</f>
        <v>1</v>
      </c>
      <c r="B25" s="1" t="s">
        <v>7</v>
      </c>
      <c r="C25" t="str">
        <f>VLOOKUP(B25,CoreProteinGroups!$B:$C,2,FALSE)</f>
        <v>DNA helicase</v>
      </c>
      <c r="D25" t="s">
        <v>66</v>
      </c>
      <c r="E25" s="6" t="str">
        <f t="shared" si="0"/>
        <v>PROT:AYN64703.1</v>
      </c>
      <c r="F25" t="s">
        <v>67</v>
      </c>
      <c r="G25" t="s">
        <v>68</v>
      </c>
      <c r="H25" t="s">
        <v>2647</v>
      </c>
      <c r="I25" t="str">
        <f>INDEX(Genomes!$I:$I,(MATCH(AllProteins!H25,Genomes!$B:$B,0)))</f>
        <v>MH816996-orthopoxvirus_abatino</v>
      </c>
      <c r="J25">
        <f>INDEX(Genomes!$A:$A,(MATCH(AllProteins!H25,Genomes!$B:$B,0)))</f>
        <v>1</v>
      </c>
      <c r="K25" t="str">
        <f>INDEX(Genomes!$J:$J,(MATCH(AllProteins!H25,Genomes!$B:$B,0)))</f>
        <v>Y</v>
      </c>
    </row>
    <row r="26" spans="1:11" x14ac:dyDescent="0.2">
      <c r="A26">
        <f>INDEX(CoreProteinGroups!A:A,MATCH(B26,CoreProteinGroups!B:B,0))</f>
        <v>1</v>
      </c>
      <c r="B26" s="1" t="s">
        <v>7</v>
      </c>
      <c r="C26" t="str">
        <f>VLOOKUP(B26,CoreProteinGroups!$B:$C,2,FALSE)</f>
        <v>DNA helicase</v>
      </c>
      <c r="D26" t="s">
        <v>69</v>
      </c>
      <c r="E26" s="6" t="str">
        <f t="shared" si="0"/>
        <v>PROT:AXN74933.1</v>
      </c>
      <c r="F26" t="s">
        <v>8</v>
      </c>
      <c r="G26" t="s">
        <v>70</v>
      </c>
      <c r="H26" t="s">
        <v>2650</v>
      </c>
      <c r="I26" t="str">
        <f>INDEX(Genomes!$I:$I,(MATCH(AllProteins!H26,Genomes!$B:$B,0)))</f>
        <v>MH607141-Akhmeta_virus</v>
      </c>
      <c r="J26">
        <f>INDEX(Genomes!$A:$A,(MATCH(AllProteins!H26,Genomes!$B:$B,0)))</f>
        <v>4</v>
      </c>
      <c r="K26" t="str">
        <f>INDEX(Genomes!$J:$J,(MATCH(AllProteins!H26,Genomes!$B:$B,0)))</f>
        <v>Y</v>
      </c>
    </row>
    <row r="27" spans="1:11" x14ac:dyDescent="0.2">
      <c r="A27">
        <f>INDEX(CoreProteinGroups!A:A,MATCH(B27,CoreProteinGroups!B:B,0))</f>
        <v>1</v>
      </c>
      <c r="B27" s="1" t="s">
        <v>7</v>
      </c>
      <c r="C27" t="str">
        <f>VLOOKUP(B27,CoreProteinGroups!$B:$C,2,FALSE)</f>
        <v>DNA helicase</v>
      </c>
      <c r="D27" t="s">
        <v>71</v>
      </c>
      <c r="E27" s="6" t="str">
        <f t="shared" si="0"/>
        <v>PROT:ABH08245.1</v>
      </c>
      <c r="F27" t="s">
        <v>72</v>
      </c>
      <c r="G27" t="s">
        <v>73</v>
      </c>
      <c r="H27" t="s">
        <v>2668</v>
      </c>
      <c r="I27" t="str">
        <f>INDEX(Genomes!$I:$I,(MATCH(AllProteins!H27,Genomes!$B:$B,0)))</f>
        <v>DQ792504-horsepox_virus</v>
      </c>
      <c r="J27">
        <f>INDEX(Genomes!$A:$A,(MATCH(AllProteins!H27,Genomes!$B:$B,0)))</f>
        <v>24</v>
      </c>
      <c r="K27" t="str">
        <f>INDEX(Genomes!$J:$J,(MATCH(AllProteins!H27,Genomes!$B:$B,0)))</f>
        <v>Y</v>
      </c>
    </row>
    <row r="28" spans="1:11" x14ac:dyDescent="0.2">
      <c r="A28">
        <f>INDEX(CoreProteinGroups!A:A,MATCH(B28,CoreProteinGroups!B:B,0))</f>
        <v>1</v>
      </c>
      <c r="B28" s="1" t="s">
        <v>7</v>
      </c>
      <c r="C28" t="str">
        <f>VLOOKUP(B28,CoreProteinGroups!$B:$C,2,FALSE)</f>
        <v>DNA helicase</v>
      </c>
      <c r="D28" t="s">
        <v>74</v>
      </c>
      <c r="E28" s="6" t="str">
        <f t="shared" si="0"/>
        <v>PROT:AAG37625.1</v>
      </c>
      <c r="F28" t="s">
        <v>75</v>
      </c>
      <c r="G28" t="s">
        <v>76</v>
      </c>
      <c r="H28" t="s">
        <v>2655</v>
      </c>
      <c r="I28" t="str">
        <f>INDEX(Genomes!$I:$I,(MATCH(AllProteins!H28,Genomes!$B:$B,0)))</f>
        <v>AY009089-camelpox_virus_CMS</v>
      </c>
      <c r="J28">
        <f>INDEX(Genomes!$A:$A,(MATCH(AllProteins!H28,Genomes!$B:$B,0)))</f>
        <v>9</v>
      </c>
      <c r="K28" t="str">
        <f>INDEX(Genomes!$J:$J,(MATCH(AllProteins!H28,Genomes!$B:$B,0)))</f>
        <v>N</v>
      </c>
    </row>
    <row r="29" spans="1:11" x14ac:dyDescent="0.2">
      <c r="A29">
        <f>INDEX(CoreProteinGroups!A:A,MATCH(B29,CoreProteinGroups!B:B,0))</f>
        <v>1</v>
      </c>
      <c r="B29" s="1" t="s">
        <v>7</v>
      </c>
      <c r="C29" t="str">
        <f>VLOOKUP(B29,CoreProteinGroups!$B:$C,2,FALSE)</f>
        <v>DNA helicase</v>
      </c>
      <c r="D29" t="s">
        <v>77</v>
      </c>
      <c r="E29" s="6" t="str">
        <f t="shared" si="0"/>
        <v>PROT:AAL73843.1</v>
      </c>
      <c r="F29" t="s">
        <v>78</v>
      </c>
      <c r="G29" t="s">
        <v>79</v>
      </c>
      <c r="H29" t="s">
        <v>2654</v>
      </c>
      <c r="I29" t="str">
        <f>INDEX(Genomes!$I:$I,(MATCH(AllProteins!H29,Genomes!$B:$B,0)))</f>
        <v>AF438165-camelpox_virus</v>
      </c>
      <c r="J29">
        <f>INDEX(Genomes!$A:$A,(MATCH(AllProteins!H29,Genomes!$B:$B,0)))</f>
        <v>8</v>
      </c>
      <c r="K29" t="str">
        <f>INDEX(Genomes!$J:$J,(MATCH(AllProteins!H29,Genomes!$B:$B,0)))</f>
        <v>Y</v>
      </c>
    </row>
    <row r="30" spans="1:11" x14ac:dyDescent="0.2">
      <c r="A30">
        <f>INDEX(CoreProteinGroups!A:A,MATCH(B30,CoreProteinGroups!B:B,0))</f>
        <v>1</v>
      </c>
      <c r="B30" s="1" t="s">
        <v>7</v>
      </c>
      <c r="C30" t="str">
        <f>VLOOKUP(B30,CoreProteinGroups!$B:$C,2,FALSE)</f>
        <v>DNA helicase</v>
      </c>
      <c r="D30" t="s">
        <v>80</v>
      </c>
      <c r="E30" s="6" t="str">
        <f t="shared" si="0"/>
        <v>PROT:AAM13592.1</v>
      </c>
      <c r="F30" t="s">
        <v>81</v>
      </c>
      <c r="G30" t="s">
        <v>82</v>
      </c>
      <c r="H30" t="s">
        <v>2659</v>
      </c>
      <c r="I30" t="str">
        <f>INDEX(Genomes!$I:$I,(MATCH(AllProteins!H30,Genomes!$B:$B,0)))</f>
        <v>AF482758-cowpox_virus</v>
      </c>
      <c r="J30">
        <f>INDEX(Genomes!$A:$A,(MATCH(AllProteins!H30,Genomes!$B:$B,0)))</f>
        <v>13</v>
      </c>
      <c r="K30" t="str">
        <f>INDEX(Genomes!$J:$J,(MATCH(AllProteins!H30,Genomes!$B:$B,0)))</f>
        <v>Y</v>
      </c>
    </row>
    <row r="31" spans="1:11" x14ac:dyDescent="0.2">
      <c r="A31">
        <f>INDEX(CoreProteinGroups!A:A,MATCH(B31,CoreProteinGroups!B:B,0))</f>
        <v>1</v>
      </c>
      <c r="B31" s="1" t="s">
        <v>7</v>
      </c>
      <c r="C31" t="str">
        <f>VLOOKUP(B31,CoreProteinGroups!$B:$C,2,FALSE)</f>
        <v>DNA helicase</v>
      </c>
      <c r="D31" t="s">
        <v>83</v>
      </c>
      <c r="E31" s="6" t="str">
        <f t="shared" si="0"/>
        <v>PROT:AAM92426.1</v>
      </c>
      <c r="F31" t="s">
        <v>84</v>
      </c>
      <c r="G31" t="s">
        <v>85</v>
      </c>
      <c r="H31" t="s">
        <v>2662</v>
      </c>
      <c r="I31" t="str">
        <f>INDEX(Genomes!$I:$I,(MATCH(AllProteins!H31,Genomes!$B:$B,0)))</f>
        <v>AF012825-ectromelia_virus</v>
      </c>
      <c r="J31">
        <f>INDEX(Genomes!$A:$A,(MATCH(AllProteins!H31,Genomes!$B:$B,0)))</f>
        <v>16</v>
      </c>
      <c r="K31" t="str">
        <f>INDEX(Genomes!$J:$J,(MATCH(AllProteins!H31,Genomes!$B:$B,0)))</f>
        <v>Y</v>
      </c>
    </row>
    <row r="32" spans="1:11" x14ac:dyDescent="0.2">
      <c r="A32">
        <f>INDEX(CoreProteinGroups!A:A,MATCH(B32,CoreProteinGroups!B:B,0))</f>
        <v>1</v>
      </c>
      <c r="B32" s="1" t="s">
        <v>7</v>
      </c>
      <c r="C32" t="str">
        <f>VLOOKUP(B32,CoreProteinGroups!$B:$C,2,FALSE)</f>
        <v>DNA helicase</v>
      </c>
      <c r="D32" t="s">
        <v>86</v>
      </c>
      <c r="E32" s="6" t="str">
        <f t="shared" si="0"/>
        <v>PROT:AFH54685.1</v>
      </c>
      <c r="F32" t="s">
        <v>8</v>
      </c>
      <c r="G32" t="s">
        <v>87</v>
      </c>
      <c r="H32" t="s">
        <v>2619</v>
      </c>
      <c r="I32" t="str">
        <f>INDEX(Genomes!$I:$I,(MATCH(AllProteins!H32,Genomes!$B:$B,0)))</f>
        <v>JQ410350-ectromelia_virus_strain_ERPV</v>
      </c>
      <c r="J32">
        <f>INDEX(Genomes!$A:$A,(MATCH(AllProteins!H32,Genomes!$B:$B,0)))</f>
        <v>17</v>
      </c>
      <c r="K32" t="str">
        <f>INDEX(Genomes!$J:$J,(MATCH(AllProteins!H32,Genomes!$B:$B,0)))</f>
        <v>N</v>
      </c>
    </row>
    <row r="33" spans="1:11" x14ac:dyDescent="0.2">
      <c r="A33">
        <f>INDEX(CoreProteinGroups!A:A,MATCH(B33,CoreProteinGroups!B:B,0))</f>
        <v>1</v>
      </c>
      <c r="B33" s="1" t="s">
        <v>7</v>
      </c>
      <c r="C33" t="str">
        <f>VLOOKUP(B33,CoreProteinGroups!$B:$C,2,FALSE)</f>
        <v>DNA helicase</v>
      </c>
      <c r="D33" t="s">
        <v>88</v>
      </c>
      <c r="E33" s="6" t="str">
        <f t="shared" si="0"/>
        <v>PROT:AAL40587.1</v>
      </c>
      <c r="F33" t="s">
        <v>89</v>
      </c>
      <c r="G33" t="s">
        <v>90</v>
      </c>
      <c r="H33" t="s">
        <v>2673</v>
      </c>
      <c r="I33" t="str">
        <f>INDEX(Genomes!$I:$I,(MATCH(AllProteins!H33,Genomes!$B:$B,0)))</f>
        <v>AF380138-monkeypox_virus_(clade_I)</v>
      </c>
      <c r="J33">
        <f>INDEX(Genomes!$A:$A,(MATCH(AllProteins!H33,Genomes!$B:$B,0)))</f>
        <v>29</v>
      </c>
      <c r="K33" t="str">
        <f>INDEX(Genomes!$J:$J,(MATCH(AllProteins!H33,Genomes!$B:$B,0)))</f>
        <v>Y</v>
      </c>
    </row>
    <row r="34" spans="1:11" x14ac:dyDescent="0.2">
      <c r="A34">
        <f>INDEX(CoreProteinGroups!A:A,MATCH(B34,CoreProteinGroups!B:B,0))</f>
        <v>1</v>
      </c>
      <c r="B34" s="1" t="s">
        <v>7</v>
      </c>
      <c r="C34" t="str">
        <f>VLOOKUP(B34,CoreProteinGroups!$B:$C,2,FALSE)</f>
        <v>DNA helicase</v>
      </c>
      <c r="D34" t="s">
        <v>91</v>
      </c>
      <c r="E34" s="6" t="str">
        <f t="shared" si="0"/>
        <v>PROT:AAX09225.1</v>
      </c>
      <c r="F34" t="s">
        <v>92</v>
      </c>
      <c r="G34" t="s">
        <v>93</v>
      </c>
      <c r="H34" t="s">
        <v>2672</v>
      </c>
      <c r="I34" t="str">
        <f>INDEX(Genomes!$I:$I,(MATCH(AllProteins!H34,Genomes!$B:$B,0)))</f>
        <v>AY753185-monkeypox_virus_(clade_IIa)</v>
      </c>
      <c r="J34">
        <f>INDEX(Genomes!$A:$A,(MATCH(AllProteins!H34,Genomes!$B:$B,0)))</f>
        <v>28</v>
      </c>
      <c r="K34" t="str">
        <f>INDEX(Genomes!$J:$J,(MATCH(AllProteins!H34,Genomes!$B:$B,0)))</f>
        <v>Y</v>
      </c>
    </row>
    <row r="35" spans="1:11" x14ac:dyDescent="0.2">
      <c r="A35">
        <f>INDEX(CoreProteinGroups!A:A,MATCH(B35,CoreProteinGroups!B:B,0))</f>
        <v>1</v>
      </c>
      <c r="B35" s="1" t="s">
        <v>7</v>
      </c>
      <c r="C35" t="str">
        <f>VLOOKUP(B35,CoreProteinGroups!$B:$C,2,FALSE)</f>
        <v>DNA helicase</v>
      </c>
      <c r="D35" t="s">
        <v>94</v>
      </c>
      <c r="E35" s="6" t="str">
        <f t="shared" si="0"/>
        <v>PROT:AKJ93767.1</v>
      </c>
      <c r="F35" t="s">
        <v>8</v>
      </c>
      <c r="G35" t="s">
        <v>95</v>
      </c>
      <c r="H35" t="s">
        <v>2683</v>
      </c>
      <c r="I35" t="str">
        <f>INDEX(Genomes!$I:$I,(MATCH(AllProteins!H35,Genomes!$B:$B,0)))</f>
        <v>KP143769-raccoonpox_virus</v>
      </c>
      <c r="J35">
        <f>INDEX(Genomes!$A:$A,(MATCH(AllProteins!H35,Genomes!$B:$B,0)))</f>
        <v>41</v>
      </c>
      <c r="K35" t="str">
        <f>INDEX(Genomes!$J:$J,(MATCH(AllProteins!H35,Genomes!$B:$B,0)))</f>
        <v>Y</v>
      </c>
    </row>
    <row r="36" spans="1:11" x14ac:dyDescent="0.2">
      <c r="A36">
        <f>INDEX(CoreProteinGroups!A:A,MATCH(B36,CoreProteinGroups!B:B,0))</f>
        <v>1</v>
      </c>
      <c r="B36" s="1" t="s">
        <v>7</v>
      </c>
      <c r="C36" t="str">
        <f>VLOOKUP(B36,CoreProteinGroups!$B:$C,2,FALSE)</f>
        <v>DNA helicase</v>
      </c>
      <c r="D36" t="s">
        <v>96</v>
      </c>
      <c r="E36" s="6" t="str">
        <f t="shared" si="0"/>
        <v>PROT:AOP31616.1</v>
      </c>
      <c r="F36" t="s">
        <v>8</v>
      </c>
      <c r="G36" t="s">
        <v>97</v>
      </c>
      <c r="H36" t="s">
        <v>2686</v>
      </c>
      <c r="I36" t="str">
        <f>INDEX(Genomes!$I:$I,(MATCH(AllProteins!H36,Genomes!$B:$B,0)))</f>
        <v>KU749310-skunkpox_virus</v>
      </c>
      <c r="J36">
        <f>INDEX(Genomes!$A:$A,(MATCH(AllProteins!H36,Genomes!$B:$B,0)))</f>
        <v>45</v>
      </c>
      <c r="K36" t="str">
        <f>INDEX(Genomes!$J:$J,(MATCH(AllProteins!H36,Genomes!$B:$B,0)))</f>
        <v>Y</v>
      </c>
    </row>
    <row r="37" spans="1:11" x14ac:dyDescent="0.2">
      <c r="A37">
        <f>INDEX(CoreProteinGroups!A:A,MATCH(B37,CoreProteinGroups!B:B,0))</f>
        <v>1</v>
      </c>
      <c r="B37" s="1" t="s">
        <v>7</v>
      </c>
      <c r="C37" t="str">
        <f>VLOOKUP(B37,CoreProteinGroups!$B:$C,2,FALSE)</f>
        <v>DNA helicase</v>
      </c>
      <c r="D37" t="s">
        <v>98</v>
      </c>
      <c r="E37" s="6" t="str">
        <f t="shared" si="0"/>
        <v>PROT:ABD97706.1</v>
      </c>
      <c r="F37" t="s">
        <v>8</v>
      </c>
      <c r="G37" t="s">
        <v>99</v>
      </c>
      <c r="H37" t="s">
        <v>2691</v>
      </c>
      <c r="I37" t="str">
        <f>INDEX(Genomes!$I:$I,(MATCH(AllProteins!H37,Genomes!$B:$B,0)))</f>
        <v>DQ437594-taterapox_virus</v>
      </c>
      <c r="J37">
        <f>INDEX(Genomes!$A:$A,(MATCH(AllProteins!H37,Genomes!$B:$B,0)))</f>
        <v>50</v>
      </c>
      <c r="K37" t="str">
        <f>INDEX(Genomes!$J:$J,(MATCH(AllProteins!H37,Genomes!$B:$B,0)))</f>
        <v>Y</v>
      </c>
    </row>
    <row r="38" spans="1:11" x14ac:dyDescent="0.2">
      <c r="A38">
        <f>INDEX(CoreProteinGroups!A:A,MATCH(B38,CoreProteinGroups!B:B,0))</f>
        <v>1</v>
      </c>
      <c r="B38" s="1" t="s">
        <v>7</v>
      </c>
      <c r="C38" t="str">
        <f>VLOOKUP(B38,CoreProteinGroups!$B:$C,2,FALSE)</f>
        <v>DNA helicase</v>
      </c>
      <c r="D38" t="s">
        <v>100</v>
      </c>
      <c r="E38" s="6" t="str">
        <f t="shared" si="0"/>
        <v>PROT:AAO89417.1</v>
      </c>
      <c r="F38" t="s">
        <v>8</v>
      </c>
      <c r="G38" t="s">
        <v>101</v>
      </c>
      <c r="H38" t="s">
        <v>2693</v>
      </c>
      <c r="I38" t="str">
        <f>INDEX(Genomes!$I:$I,(MATCH(AllProteins!H38,Genomes!$B:$B,0)))</f>
        <v>AY243312-vaccinia_virus</v>
      </c>
      <c r="J38">
        <f>INDEX(Genomes!$A:$A,(MATCH(AllProteins!H38,Genomes!$B:$B,0)))</f>
        <v>52</v>
      </c>
      <c r="K38" t="str">
        <f>INDEX(Genomes!$J:$J,(MATCH(AllProteins!H38,Genomes!$B:$B,0)))</f>
        <v>Y</v>
      </c>
    </row>
    <row r="39" spans="1:11" x14ac:dyDescent="0.2">
      <c r="A39">
        <f>INDEX(CoreProteinGroups!A:A,MATCH(B39,CoreProteinGroups!B:B,0))</f>
        <v>1</v>
      </c>
      <c r="B39" s="1" t="s">
        <v>7</v>
      </c>
      <c r="C39" t="str">
        <f>VLOOKUP(B39,CoreProteinGroups!$B:$C,2,FALSE)</f>
        <v>DNA helicase</v>
      </c>
      <c r="D39" t="s">
        <v>102</v>
      </c>
      <c r="E39" s="6" t="str">
        <f t="shared" si="0"/>
        <v>PROT:CAA49063.1</v>
      </c>
      <c r="F39" t="s">
        <v>103</v>
      </c>
      <c r="G39" t="s">
        <v>2585</v>
      </c>
      <c r="H39" t="s">
        <v>2694</v>
      </c>
      <c r="I39" t="str">
        <f>INDEX(Genomes!$I:$I,(MATCH(AllProteins!H39,Genomes!$B:$B,0)))</f>
        <v>X69198-variola_major_virus</v>
      </c>
      <c r="J39">
        <f>INDEX(Genomes!$A:$A,(MATCH(AllProteins!H39,Genomes!$B:$B,0)))</f>
        <v>53</v>
      </c>
      <c r="K39" t="str">
        <f>INDEX(Genomes!$J:$J,(MATCH(AllProteins!H39,Genomes!$B:$B,0)))</f>
        <v>Y</v>
      </c>
    </row>
    <row r="40" spans="1:11" x14ac:dyDescent="0.2">
      <c r="A40">
        <f>INDEX(CoreProteinGroups!A:A,MATCH(B40,CoreProteinGroups!B:B,0))</f>
        <v>1</v>
      </c>
      <c r="B40" s="1" t="s">
        <v>7</v>
      </c>
      <c r="C40" t="str">
        <f>VLOOKUP(B40,CoreProteinGroups!$B:$C,2,FALSE)</f>
        <v>DNA helicase</v>
      </c>
      <c r="D40" t="s">
        <v>104</v>
      </c>
      <c r="E40" s="6" t="str">
        <f t="shared" si="0"/>
        <v>PROT:CAB54722.1</v>
      </c>
      <c r="F40" t="s">
        <v>105</v>
      </c>
      <c r="G40" t="s">
        <v>106</v>
      </c>
      <c r="H40" t="s">
        <v>2695</v>
      </c>
      <c r="I40" t="str">
        <f>INDEX(Genomes!$I:$I,(MATCH(AllProteins!H40,Genomes!$B:$B,0)))</f>
        <v>Y16780-variola_minor_virus</v>
      </c>
      <c r="J40">
        <f>INDEX(Genomes!$A:$A,(MATCH(AllProteins!H40,Genomes!$B:$B,0)))</f>
        <v>54</v>
      </c>
      <c r="K40" t="str">
        <f>INDEX(Genomes!$J:$J,(MATCH(AllProteins!H40,Genomes!$B:$B,0)))</f>
        <v>Y</v>
      </c>
    </row>
    <row r="41" spans="1:11" x14ac:dyDescent="0.2">
      <c r="A41">
        <f>INDEX(CoreProteinGroups!A:A,MATCH(B41,CoreProteinGroups!B:B,0))</f>
        <v>1</v>
      </c>
      <c r="B41" s="1" t="s">
        <v>7</v>
      </c>
      <c r="C41" t="str">
        <f>VLOOKUP(B41,CoreProteinGroups!$B:$C,2,FALSE)</f>
        <v>DNA helicase</v>
      </c>
      <c r="D41" t="s">
        <v>107</v>
      </c>
      <c r="E41" s="6" t="str">
        <f t="shared" si="0"/>
        <v>PROT:AOP31827.1</v>
      </c>
      <c r="F41" t="s">
        <v>8</v>
      </c>
      <c r="G41" t="s">
        <v>108</v>
      </c>
      <c r="H41" t="s">
        <v>2696</v>
      </c>
      <c r="I41" t="str">
        <f>INDEX(Genomes!$I:$I,(MATCH(AllProteins!H41,Genomes!$B:$B,0)))</f>
        <v>KU749311-volepox_virus</v>
      </c>
      <c r="J41">
        <f>INDEX(Genomes!$A:$A,(MATCH(AllProteins!H41,Genomes!$B:$B,0)))</f>
        <v>55</v>
      </c>
      <c r="K41" t="str">
        <f>INDEX(Genomes!$J:$J,(MATCH(AllProteins!H41,Genomes!$B:$B,0)))</f>
        <v>Y</v>
      </c>
    </row>
    <row r="42" spans="1:11" x14ac:dyDescent="0.2">
      <c r="A42">
        <f>INDEX(CoreProteinGroups!A:A,MATCH(B42,CoreProteinGroups!B:B,0))</f>
        <v>1</v>
      </c>
      <c r="B42" s="1" t="s">
        <v>7</v>
      </c>
      <c r="C42" t="str">
        <f>VLOOKUP(B42,CoreProteinGroups!$B:$C,2,FALSE)</f>
        <v>DNA helicase</v>
      </c>
      <c r="D42" t="s">
        <v>109</v>
      </c>
      <c r="E42" s="6" t="str">
        <f t="shared" si="0"/>
        <v>PROT:ASC55551.1</v>
      </c>
      <c r="F42" t="s">
        <v>110</v>
      </c>
      <c r="G42" t="s">
        <v>111</v>
      </c>
      <c r="H42" t="s">
        <v>2667</v>
      </c>
      <c r="I42" t="str">
        <f>INDEX(Genomes!$I:$I,(MATCH(AllProteins!H42,Genomes!$B:$B,0)))</f>
        <v>KY382358-seal_parapoxvirus</v>
      </c>
      <c r="J42">
        <f>INDEX(Genomes!$A:$A,(MATCH(AllProteins!H42,Genomes!$B:$B,0)))</f>
        <v>22</v>
      </c>
      <c r="K42" t="str">
        <f>INDEX(Genomes!$J:$J,(MATCH(AllProteins!H42,Genomes!$B:$B,0)))</f>
        <v>Y</v>
      </c>
    </row>
    <row r="43" spans="1:11" x14ac:dyDescent="0.2">
      <c r="A43">
        <f>INDEX(CoreProteinGroups!A:A,MATCH(B43,CoreProteinGroups!B:B,0))</f>
        <v>1</v>
      </c>
      <c r="B43" s="1" t="s">
        <v>7</v>
      </c>
      <c r="C43" t="str">
        <f>VLOOKUP(B43,CoreProteinGroups!$B:$C,2,FALSE)</f>
        <v>DNA helicase</v>
      </c>
      <c r="D43" t="s">
        <v>112</v>
      </c>
      <c r="E43" s="6" t="str">
        <f t="shared" si="0"/>
        <v>PROT:AAR98452.1</v>
      </c>
      <c r="F43" t="s">
        <v>113</v>
      </c>
      <c r="G43" t="s">
        <v>114</v>
      </c>
      <c r="H43" t="s">
        <v>2652</v>
      </c>
      <c r="I43" t="str">
        <f>INDEX(Genomes!$I:$I,(MATCH(AllProteins!H43,Genomes!$B:$B,0)))</f>
        <v>AY386265-bovine_papular_stomatitis_virus</v>
      </c>
      <c r="J43">
        <f>INDEX(Genomes!$A:$A,(MATCH(AllProteins!H43,Genomes!$B:$B,0)))</f>
        <v>6</v>
      </c>
      <c r="K43" t="str">
        <f>INDEX(Genomes!$J:$J,(MATCH(AllProteins!H43,Genomes!$B:$B,0)))</f>
        <v>Y</v>
      </c>
    </row>
    <row r="44" spans="1:11" x14ac:dyDescent="0.2">
      <c r="A44">
        <f>INDEX(CoreProteinGroups!A:A,MATCH(B44,CoreProteinGroups!B:B,0))</f>
        <v>1</v>
      </c>
      <c r="B44" s="1" t="s">
        <v>7</v>
      </c>
      <c r="C44" t="str">
        <f>VLOOKUP(B44,CoreProteinGroups!$B:$C,2,FALSE)</f>
        <v>DNA helicase</v>
      </c>
      <c r="D44" t="s">
        <v>115</v>
      </c>
      <c r="E44" s="6" t="str">
        <f t="shared" si="0"/>
        <v>PROT:AAR98320.1</v>
      </c>
      <c r="F44" t="s">
        <v>113</v>
      </c>
      <c r="G44" t="s">
        <v>2702</v>
      </c>
      <c r="H44" t="s">
        <v>2678</v>
      </c>
      <c r="I44" t="str">
        <f>INDEX(Genomes!$I:$I,(MATCH(AllProteins!H44,Genomes!$B:$B,0)))</f>
        <v>AY386264-orf_virus</v>
      </c>
      <c r="J44">
        <f>INDEX(Genomes!$A:$A,(MATCH(AllProteins!H44,Genomes!$B:$B,0)))</f>
        <v>35</v>
      </c>
      <c r="K44" t="str">
        <f>INDEX(Genomes!$J:$J,(MATCH(AllProteins!H44,Genomes!$B:$B,0)))</f>
        <v>Y</v>
      </c>
    </row>
    <row r="45" spans="1:11" x14ac:dyDescent="0.2">
      <c r="A45">
        <f>INDEX(CoreProteinGroups!A:A,MATCH(B45,CoreProteinGroups!B:B,0))</f>
        <v>1</v>
      </c>
      <c r="B45" s="1" t="s">
        <v>7</v>
      </c>
      <c r="C45" t="str">
        <f>VLOOKUP(B45,CoreProteinGroups!$B:$C,2,FALSE)</f>
        <v>DNA helicase</v>
      </c>
      <c r="D45" t="s">
        <v>116</v>
      </c>
      <c r="E45" s="6" t="str">
        <f t="shared" si="0"/>
        <v>PROT:ABA00612.1</v>
      </c>
      <c r="F45" t="s">
        <v>8</v>
      </c>
      <c r="G45" t="s">
        <v>2555</v>
      </c>
      <c r="H45" t="s">
        <v>2645</v>
      </c>
      <c r="I45" t="str">
        <f>INDEX(Genomes!$I:$I,(MATCH(AllProteins!H45,Genomes!$B:$B,0)))</f>
        <v>DQ184476-orf_virus_strain_NZ2</v>
      </c>
      <c r="J45">
        <f>INDEX(Genomes!$A:$A,(MATCH(AllProteins!H45,Genomes!$B:$B,0)))</f>
        <v>36</v>
      </c>
      <c r="K45" t="str">
        <f>INDEX(Genomes!$J:$J,(MATCH(AllProteins!H45,Genomes!$B:$B,0)))</f>
        <v>N</v>
      </c>
    </row>
    <row r="46" spans="1:11" x14ac:dyDescent="0.2">
      <c r="A46">
        <f>INDEX(CoreProteinGroups!A:A,MATCH(B46,CoreProteinGroups!B:B,0))</f>
        <v>1</v>
      </c>
      <c r="B46" s="1" t="s">
        <v>7</v>
      </c>
      <c r="C46" t="str">
        <f>VLOOKUP(B46,CoreProteinGroups!$B:$C,2,FALSE)</f>
        <v>DNA helicase</v>
      </c>
      <c r="D46" t="s">
        <v>117</v>
      </c>
      <c r="E46" s="6" t="str">
        <f t="shared" si="0"/>
        <v>PROT:AIZ77346.1</v>
      </c>
      <c r="F46" t="s">
        <v>118</v>
      </c>
      <c r="G46" t="s">
        <v>119</v>
      </c>
      <c r="H46" t="s">
        <v>2684</v>
      </c>
      <c r="I46" t="str">
        <f>INDEX(Genomes!$I:$I,(MATCH(AllProteins!H46,Genomes!$B:$B,0)))</f>
        <v>KM502564-parapoxvirus_red_deer</v>
      </c>
      <c r="J46">
        <f>INDEX(Genomes!$A:$A,(MATCH(AllProteins!H46,Genomes!$B:$B,0)))</f>
        <v>42</v>
      </c>
      <c r="K46" t="str">
        <f>INDEX(Genomes!$J:$J,(MATCH(AllProteins!H46,Genomes!$B:$B,0)))</f>
        <v>Y</v>
      </c>
    </row>
    <row r="47" spans="1:11" x14ac:dyDescent="0.2">
      <c r="A47">
        <f>INDEX(CoreProteinGroups!A:A,MATCH(B47,CoreProteinGroups!B:B,0))</f>
        <v>1</v>
      </c>
      <c r="B47" s="1" t="s">
        <v>7</v>
      </c>
      <c r="C47" t="str">
        <f>VLOOKUP(B47,CoreProteinGroups!$B:$C,2,FALSE)</f>
        <v>DNA helicase</v>
      </c>
      <c r="D47" t="s">
        <v>120</v>
      </c>
      <c r="E47" s="6" t="str">
        <f t="shared" si="0"/>
        <v>PROT:ADC53997.1</v>
      </c>
      <c r="F47" t="s">
        <v>8</v>
      </c>
      <c r="G47" t="s">
        <v>121</v>
      </c>
      <c r="H47" t="s">
        <v>2679</v>
      </c>
      <c r="I47" t="str">
        <f>INDEX(Genomes!$I:$I,(MATCH(AllProteins!H47,Genomes!$B:$B,0)))</f>
        <v>GQ329670-pseudocowpox_virus</v>
      </c>
      <c r="J47">
        <f>INDEX(Genomes!$A:$A,(MATCH(AllProteins!H47,Genomes!$B:$B,0)))</f>
        <v>37</v>
      </c>
      <c r="K47" t="str">
        <f>INDEX(Genomes!$J:$J,(MATCH(AllProteins!H47,Genomes!$B:$B,0)))</f>
        <v>Y</v>
      </c>
    </row>
    <row r="48" spans="1:11" x14ac:dyDescent="0.2">
      <c r="A48">
        <f>INDEX(CoreProteinGroups!A:A,MATCH(B48,CoreProteinGroups!B:B,0))</f>
        <v>1</v>
      </c>
      <c r="B48" s="1" t="s">
        <v>7</v>
      </c>
      <c r="C48" t="str">
        <f>VLOOKUP(B48,CoreProteinGroups!$B:$C,2,FALSE)</f>
        <v>DNA helicase</v>
      </c>
      <c r="D48" t="s">
        <v>122</v>
      </c>
      <c r="E48" s="6" t="str">
        <f t="shared" si="0"/>
        <v>PROT:AAL69846.1</v>
      </c>
      <c r="F48" t="s">
        <v>123</v>
      </c>
      <c r="G48" t="s">
        <v>124</v>
      </c>
      <c r="H48" t="s">
        <v>2690</v>
      </c>
      <c r="I48" t="str">
        <f>INDEX(Genomes!$I:$I,(MATCH(AllProteins!H48,Genomes!$B:$B,0)))</f>
        <v>AF410153-swinepox_virus</v>
      </c>
      <c r="J48">
        <f>INDEX(Genomes!$A:$A,(MATCH(AllProteins!H48,Genomes!$B:$B,0)))</f>
        <v>49</v>
      </c>
      <c r="K48" t="str">
        <f>INDEX(Genomes!$J:$J,(MATCH(AllProteins!H48,Genomes!$B:$B,0)))</f>
        <v>Y</v>
      </c>
    </row>
    <row r="49" spans="1:11" x14ac:dyDescent="0.2">
      <c r="A49">
        <f>INDEX(CoreProteinGroups!A:A,MATCH(B49,CoreProteinGroups!B:B,0))</f>
        <v>1</v>
      </c>
      <c r="B49" s="1" t="s">
        <v>7</v>
      </c>
      <c r="C49" t="str">
        <f>VLOOKUP(B49,CoreProteinGroups!$B:$C,2,FALSE)</f>
        <v>DNA helicase</v>
      </c>
      <c r="D49" t="s">
        <v>125</v>
      </c>
      <c r="E49" s="6" t="str">
        <f t="shared" si="0"/>
        <v>PROT:CAC21348.1</v>
      </c>
      <c r="F49" t="s">
        <v>126</v>
      </c>
      <c r="G49" t="s">
        <v>127</v>
      </c>
      <c r="H49" t="s">
        <v>2699</v>
      </c>
      <c r="I49" t="str">
        <f>INDEX(Genomes!$I:$I,(MATCH(AllProteins!H49,Genomes!$B:$B,0)))</f>
        <v>AJ293568-tanapox_virus</v>
      </c>
      <c r="J49">
        <f>INDEX(Genomes!$A:$A,(MATCH(AllProteins!H49,Genomes!$B:$B,0)))</f>
        <v>58</v>
      </c>
      <c r="K49" t="str">
        <f>INDEX(Genomes!$J:$J,(MATCH(AllProteins!H49,Genomes!$B:$B,0)))</f>
        <v>Y</v>
      </c>
    </row>
    <row r="50" spans="1:11" x14ac:dyDescent="0.2">
      <c r="A50">
        <f>INDEX(CoreProteinGroups!A:A,MATCH(B50,CoreProteinGroups!B:B,0))</f>
        <v>1</v>
      </c>
      <c r="B50" s="1" t="s">
        <v>7</v>
      </c>
      <c r="C50" t="str">
        <f>VLOOKUP(B50,CoreProteinGroups!$B:$C,2,FALSE)</f>
        <v>DNA helicase</v>
      </c>
      <c r="D50" t="s">
        <v>128</v>
      </c>
      <c r="E50" s="6" t="str">
        <f t="shared" si="0"/>
        <v>PROT:AAR07466.1</v>
      </c>
      <c r="F50" t="s">
        <v>129</v>
      </c>
      <c r="G50" t="s">
        <v>130</v>
      </c>
      <c r="H50" t="s">
        <v>2700</v>
      </c>
      <c r="I50" t="str">
        <f>INDEX(Genomes!$I:$I,(MATCH(AllProteins!H50,Genomes!$B:$B,0)))</f>
        <v>AY386371-Yaba_monkey_tumor_virus</v>
      </c>
      <c r="J50">
        <f>INDEX(Genomes!$A:$A,(MATCH(AllProteins!H50,Genomes!$B:$B,0)))</f>
        <v>59</v>
      </c>
      <c r="K50" t="str">
        <f>INDEX(Genomes!$J:$J,(MATCH(AllProteins!H50,Genomes!$B:$B,0)))</f>
        <v>Y</v>
      </c>
    </row>
    <row r="51" spans="1:11" x14ac:dyDescent="0.2">
      <c r="A51">
        <f>INDEX(CoreProteinGroups!A:A,MATCH(B51,CoreProteinGroups!B:B,0))</f>
        <v>1</v>
      </c>
      <c r="B51" s="1" t="s">
        <v>7</v>
      </c>
      <c r="C51" t="str">
        <f>VLOOKUP(B51,CoreProteinGroups!$B:$C,2,FALSE)</f>
        <v>DNA helicase</v>
      </c>
      <c r="D51" t="s">
        <v>131</v>
      </c>
      <c r="E51" s="6" t="str">
        <f t="shared" si="0"/>
        <v>PROT:AAC97786.1</v>
      </c>
      <c r="F51" t="s">
        <v>132</v>
      </c>
      <c r="G51" t="s">
        <v>133</v>
      </c>
      <c r="H51" t="s">
        <v>2674</v>
      </c>
      <c r="I51" t="str">
        <f>INDEX(Genomes!$I:$I,(MATCH(AllProteins!H51,Genomes!$B:$B,0)))</f>
        <v>AF063866-Melanoplus_sanguinipes_entomopoxvirus</v>
      </c>
      <c r="J51">
        <f>INDEX(Genomes!$A:$A,(MATCH(AllProteins!H51,Genomes!$B:$B,0)))</f>
        <v>30</v>
      </c>
      <c r="K51" t="str">
        <f>INDEX(Genomes!$J:$J,(MATCH(AllProteins!H51,Genomes!$B:$B,0)))</f>
        <v>Y</v>
      </c>
    </row>
    <row r="52" spans="1:11" x14ac:dyDescent="0.2">
      <c r="A52">
        <f>INDEX(CoreProteinGroups!A:A,MATCH(B52,CoreProteinGroups!B:B,0))</f>
        <v>1</v>
      </c>
      <c r="B52" s="1" t="s">
        <v>7</v>
      </c>
      <c r="C52" t="str">
        <f>VLOOKUP(B52,CoreProteinGroups!$B:$C,2,FALSE)</f>
        <v>DNA helicase</v>
      </c>
      <c r="D52" t="s">
        <v>134</v>
      </c>
      <c r="E52" s="6" t="str">
        <f t="shared" si="0"/>
        <v>PROT:BAO49508.1</v>
      </c>
      <c r="F52" t="s">
        <v>135</v>
      </c>
      <c r="G52" t="s">
        <v>136</v>
      </c>
      <c r="H52" t="s">
        <v>2648</v>
      </c>
      <c r="I52" t="str">
        <f>INDEX(Genomes!$I:$I,(MATCH(AllProteins!H52,Genomes!$B:$B,0)))</f>
        <v>AP013055-Anomala_cuprea_entomopoxvirus</v>
      </c>
      <c r="J52">
        <f>INDEX(Genomes!$A:$A,(MATCH(AllProteins!H52,Genomes!$B:$B,0)))</f>
        <v>2</v>
      </c>
      <c r="K52" t="str">
        <f>INDEX(Genomes!$J:$J,(MATCH(AllProteins!H52,Genomes!$B:$B,0)))</f>
        <v>Y</v>
      </c>
    </row>
    <row r="53" spans="1:11" x14ac:dyDescent="0.2">
      <c r="A53">
        <f>INDEX(CoreProteinGroups!A:A,MATCH(B53,CoreProteinGroups!B:B,0))</f>
        <v>1</v>
      </c>
      <c r="B53" s="1" t="s">
        <v>7</v>
      </c>
      <c r="C53" t="str">
        <f>VLOOKUP(B53,CoreProteinGroups!$B:$C,2,FALSE)</f>
        <v>DNA helicase</v>
      </c>
      <c r="D53" t="s">
        <v>137</v>
      </c>
      <c r="E53" s="6" t="str">
        <f t="shared" si="0"/>
        <v>PROT:CCU55377.1</v>
      </c>
      <c r="F53" t="s">
        <v>29</v>
      </c>
      <c r="G53" t="s">
        <v>138</v>
      </c>
      <c r="H53" t="s">
        <v>2649</v>
      </c>
      <c r="I53" t="str">
        <f>INDEX(Genomes!$I:$I,(MATCH(AllProteins!H53,Genomes!$B:$B,0)))</f>
        <v>HF679131-Adoxophyes_honmai_entomopoxvirus</v>
      </c>
      <c r="J53">
        <f>INDEX(Genomes!$A:$A,(MATCH(AllProteins!H53,Genomes!$B:$B,0)))</f>
        <v>3</v>
      </c>
      <c r="K53" t="str">
        <f>INDEX(Genomes!$J:$J,(MATCH(AllProteins!H53,Genomes!$B:$B,0)))</f>
        <v>Y</v>
      </c>
    </row>
    <row r="54" spans="1:11" x14ac:dyDescent="0.2">
      <c r="A54">
        <f>INDEX(CoreProteinGroups!A:A,MATCH(B54,CoreProteinGroups!B:B,0))</f>
        <v>1</v>
      </c>
      <c r="B54" s="1" t="s">
        <v>7</v>
      </c>
      <c r="C54" t="str">
        <f>VLOOKUP(B54,CoreProteinGroups!$B:$C,2,FALSE)</f>
        <v>DNA helicase</v>
      </c>
      <c r="D54" t="s">
        <v>139</v>
      </c>
      <c r="E54" s="6" t="str">
        <f t="shared" si="0"/>
        <v>PROT:AAG02765.1</v>
      </c>
      <c r="F54" t="s">
        <v>140</v>
      </c>
      <c r="G54" t="s">
        <v>141</v>
      </c>
      <c r="H54" t="s">
        <v>2651</v>
      </c>
      <c r="I54" t="str">
        <f>INDEX(Genomes!$I:$I,(MATCH(AllProteins!H54,Genomes!$B:$B,0)))</f>
        <v>AF250284-Amsacta_moorei_entomopoxvirus</v>
      </c>
      <c r="J54">
        <f>INDEX(Genomes!$A:$A,(MATCH(AllProteins!H54,Genomes!$B:$B,0)))</f>
        <v>5</v>
      </c>
      <c r="K54" t="str">
        <f>INDEX(Genomes!$J:$J,(MATCH(AllProteins!H54,Genomes!$B:$B,0)))</f>
        <v>Y</v>
      </c>
    </row>
    <row r="55" spans="1:11" x14ac:dyDescent="0.2">
      <c r="A55">
        <f>INDEX(CoreProteinGroups!A:A,MATCH(B55,CoreProteinGroups!B:B,0))</f>
        <v>1</v>
      </c>
      <c r="B55" s="1" t="s">
        <v>7</v>
      </c>
      <c r="C55" t="str">
        <f>VLOOKUP(B55,CoreProteinGroups!$B:$C,2,FALSE)</f>
        <v>DNA helicase</v>
      </c>
      <c r="D55" t="s">
        <v>142</v>
      </c>
      <c r="E55" s="6" t="str">
        <f t="shared" si="0"/>
        <v>PROT:CCU55672.1</v>
      </c>
      <c r="F55" t="s">
        <v>29</v>
      </c>
      <c r="G55" t="s">
        <v>143</v>
      </c>
      <c r="H55" t="s">
        <v>2656</v>
      </c>
      <c r="I55" t="str">
        <f>INDEX(Genomes!$I:$I,(MATCH(AllProteins!H55,Genomes!$B:$B,0)))</f>
        <v>HF679132-Choristoneura_biennis_entomopoxvirus</v>
      </c>
      <c r="J55">
        <f>INDEX(Genomes!$A:$A,(MATCH(AllProteins!H55,Genomes!$B:$B,0)))</f>
        <v>10</v>
      </c>
      <c r="K55" t="str">
        <f>INDEX(Genomes!$J:$J,(MATCH(AllProteins!H55,Genomes!$B:$B,0)))</f>
        <v>Y</v>
      </c>
    </row>
    <row r="56" spans="1:11" x14ac:dyDescent="0.2">
      <c r="A56">
        <f>INDEX(CoreProteinGroups!A:A,MATCH(B56,CoreProteinGroups!B:B,0))</f>
        <v>1</v>
      </c>
      <c r="B56" s="1" t="s">
        <v>7</v>
      </c>
      <c r="C56" t="str">
        <f>VLOOKUP(B56,CoreProteinGroups!$B:$C,2,FALSE)</f>
        <v>DNA helicase</v>
      </c>
      <c r="D56" t="s">
        <v>144</v>
      </c>
      <c r="E56" s="6" t="str">
        <f t="shared" si="0"/>
        <v>PROT:CCU55983.1</v>
      </c>
      <c r="F56" t="s">
        <v>29</v>
      </c>
      <c r="G56" t="s">
        <v>145</v>
      </c>
      <c r="H56" t="s">
        <v>2660</v>
      </c>
      <c r="I56" t="str">
        <f>INDEX(Genomes!$I:$I,(MATCH(AllProteins!H56,Genomes!$B:$B,0)))</f>
        <v>HF679133-Choristoneura_rosaceana_entomopoxvirus</v>
      </c>
      <c r="J56">
        <f>INDEX(Genomes!$A:$A,(MATCH(AllProteins!H56,Genomes!$B:$B,0)))</f>
        <v>14</v>
      </c>
      <c r="K56" t="str">
        <f>INDEX(Genomes!$J:$J,(MATCH(AllProteins!H56,Genomes!$B:$B,0)))</f>
        <v>Y</v>
      </c>
    </row>
    <row r="57" spans="1:11" x14ac:dyDescent="0.2">
      <c r="A57">
        <f>INDEX(CoreProteinGroups!A:A,MATCH(B57,CoreProteinGroups!B:B,0))</f>
        <v>1</v>
      </c>
      <c r="B57" s="1" t="s">
        <v>7</v>
      </c>
      <c r="C57" t="str">
        <f>VLOOKUP(B57,CoreProteinGroups!$B:$C,2,FALSE)</f>
        <v>DNA helicase</v>
      </c>
      <c r="D57" t="s">
        <v>146</v>
      </c>
      <c r="E57" s="6" t="str">
        <f t="shared" si="0"/>
        <v>PROT:CCU56280.1</v>
      </c>
      <c r="F57" t="s">
        <v>29</v>
      </c>
      <c r="G57" t="s">
        <v>147</v>
      </c>
      <c r="H57" t="s">
        <v>2675</v>
      </c>
      <c r="I57" t="str">
        <f>INDEX(Genomes!$I:$I,(MATCH(AllProteins!H57,Genomes!$B:$B,0)))</f>
        <v>HF679134-Mythimna_separata_entomopoxvirus</v>
      </c>
      <c r="J57">
        <f>INDEX(Genomes!$A:$A,(MATCH(AllProteins!H57,Genomes!$B:$B,0)))</f>
        <v>31</v>
      </c>
      <c r="K57" t="str">
        <f>INDEX(Genomes!$J:$J,(MATCH(AllProteins!H57,Genomes!$B:$B,0)))</f>
        <v>Y</v>
      </c>
    </row>
    <row r="58" spans="1:11" x14ac:dyDescent="0.2">
      <c r="A58">
        <f>INDEX(CoreProteinGroups!A:A,MATCH(B58,CoreProteinGroups!B:B,0))</f>
        <v>1</v>
      </c>
      <c r="B58" s="1" t="s">
        <v>7</v>
      </c>
      <c r="C58" t="str">
        <f>VLOOKUP(B58,CoreProteinGroups!$B:$C,2,FALSE)</f>
        <v>DNA helicase</v>
      </c>
      <c r="D58" t="s">
        <v>148</v>
      </c>
      <c r="E58" s="6" t="str">
        <f t="shared" si="0"/>
        <v>PROT:NP_659682.1</v>
      </c>
      <c r="F58" t="s">
        <v>149</v>
      </c>
      <c r="G58" t="s">
        <v>150</v>
      </c>
      <c r="H58" t="s">
        <v>2620</v>
      </c>
      <c r="I58" t="str">
        <f>INDEX(Genomes!$I:$I,(MATCH(AllProteins!H58,Genomes!$B:$B,0)))</f>
        <v>NC_004002-sheeppox_virus</v>
      </c>
      <c r="J58">
        <f>INDEX(Genomes!$A:$A,(MATCH(AllProteins!H58,Genomes!$B:$B,0)))</f>
        <v>44</v>
      </c>
      <c r="K58" t="str">
        <f>INDEX(Genomes!$J:$J,(MATCH(AllProteins!H58,Genomes!$B:$B,0)))</f>
        <v>Y</v>
      </c>
    </row>
    <row r="59" spans="1:11" x14ac:dyDescent="0.2">
      <c r="A59">
        <f>INDEX(CoreProteinGroups!A:A,MATCH(B59,CoreProteinGroups!B:B,0))</f>
        <v>1</v>
      </c>
      <c r="B59" s="1" t="s">
        <v>7</v>
      </c>
      <c r="C59" t="str">
        <f>VLOOKUP(B59,CoreProteinGroups!$B:$C,2,FALSE)</f>
        <v>DNA helicase</v>
      </c>
      <c r="D59" t="s">
        <v>151</v>
      </c>
      <c r="E59" s="6" t="str">
        <f t="shared" si="0"/>
        <v>PROT:YP_001293301.1</v>
      </c>
      <c r="F59" t="s">
        <v>152</v>
      </c>
      <c r="G59" t="s">
        <v>153</v>
      </c>
      <c r="H59" t="s">
        <v>2644</v>
      </c>
      <c r="I59" t="str">
        <f>INDEX(Genomes!$I:$I,(MATCH(AllProteins!H59,Genomes!$B:$B,0)))</f>
        <v>NC_004003-goatpox_virus</v>
      </c>
      <c r="J59">
        <f>INDEX(Genomes!$A:$A,(MATCH(AllProteins!H59,Genomes!$B:$B,0)))</f>
        <v>23</v>
      </c>
      <c r="K59" t="str">
        <f>INDEX(Genomes!$J:$J,(MATCH(AllProteins!H59,Genomes!$B:$B,0)))</f>
        <v>Y</v>
      </c>
    </row>
    <row r="60" spans="1:11" x14ac:dyDescent="0.2">
      <c r="A60">
        <f>INDEX(CoreProteinGroups!A:A,MATCH(B60,CoreProteinGroups!B:B,0))</f>
        <v>6</v>
      </c>
      <c r="B60" s="1" t="s">
        <v>154</v>
      </c>
      <c r="C60" t="str">
        <f>VLOOKUP(B60,CoreProteinGroups!$B:$C,2,FALSE)</f>
        <v>VLTF-3</v>
      </c>
      <c r="D60" t="s">
        <v>156</v>
      </c>
      <c r="E60" s="6" t="str">
        <f t="shared" si="0"/>
        <v>PROT:ATI21201.1</v>
      </c>
      <c r="F60" t="s">
        <v>155</v>
      </c>
      <c r="G60" t="s">
        <v>11</v>
      </c>
      <c r="H60" t="s">
        <v>2663</v>
      </c>
      <c r="I60" t="str">
        <f>INDEX(Genomes!$I:$I,(MATCH(AllProteins!H60,Genomes!$B:$B,0)))</f>
        <v>MF467281-Eastern_grey_kangaroopox_virus</v>
      </c>
      <c r="J60">
        <f>INDEX(Genomes!$A:$A,(MATCH(AllProteins!H60,Genomes!$B:$B,0)))</f>
        <v>18</v>
      </c>
      <c r="K60" t="str">
        <f>INDEX(Genomes!$J:$J,(MATCH(AllProteins!H60,Genomes!$B:$B,0)))</f>
        <v>Y</v>
      </c>
    </row>
    <row r="61" spans="1:11" x14ac:dyDescent="0.2">
      <c r="A61">
        <f>INDEX(CoreProteinGroups!A:A,MATCH(B61,CoreProteinGroups!B:B,0))</f>
        <v>6</v>
      </c>
      <c r="B61" s="1" t="s">
        <v>154</v>
      </c>
      <c r="C61" t="str">
        <f>VLOOKUP(B61,CoreProteinGroups!$B:$C,2,FALSE)</f>
        <v>VLTF-3</v>
      </c>
      <c r="D61" t="s">
        <v>157</v>
      </c>
      <c r="E61" s="6" t="str">
        <f t="shared" si="0"/>
        <v>PROT:AWU47135.1</v>
      </c>
      <c r="F61" t="s">
        <v>155</v>
      </c>
      <c r="G61" t="s">
        <v>13</v>
      </c>
      <c r="H61" t="s">
        <v>2688</v>
      </c>
      <c r="I61" t="str">
        <f>INDEX(Genomes!$I:$I,(MATCH(AllProteins!H61,Genomes!$B:$B,0)))</f>
        <v>MH427217-sea_otter_poxvirus</v>
      </c>
      <c r="J61">
        <f>INDEX(Genomes!$A:$A,(MATCH(AllProteins!H61,Genomes!$B:$B,0)))</f>
        <v>47</v>
      </c>
      <c r="K61" t="str">
        <f>INDEX(Genomes!$J:$J,(MATCH(AllProteins!H61,Genomes!$B:$B,0)))</f>
        <v>Y</v>
      </c>
    </row>
    <row r="62" spans="1:11" x14ac:dyDescent="0.2">
      <c r="A62">
        <f>INDEX(CoreProteinGroups!A:A,MATCH(B62,CoreProteinGroups!B:B,0))</f>
        <v>6</v>
      </c>
      <c r="B62" s="1" t="s">
        <v>154</v>
      </c>
      <c r="C62" t="str">
        <f>VLOOKUP(B62,CoreProteinGroups!$B:$C,2,FALSE)</f>
        <v>VLTF-3</v>
      </c>
      <c r="D62" t="s">
        <v>158</v>
      </c>
      <c r="E62" s="6" t="str">
        <f t="shared" si="0"/>
        <v>PROT:APG58311.1</v>
      </c>
      <c r="F62" t="s">
        <v>159</v>
      </c>
      <c r="G62" t="s">
        <v>16</v>
      </c>
      <c r="H62" t="s">
        <v>2653</v>
      </c>
      <c r="I62" t="str">
        <f>INDEX(Genomes!$I:$I,(MATCH(AllProteins!H62,Genomes!$B:$B,0)))</f>
        <v>KY094066-BeAn_58058_virus</v>
      </c>
      <c r="J62">
        <f>INDEX(Genomes!$A:$A,(MATCH(AllProteins!H62,Genomes!$B:$B,0)))</f>
        <v>7</v>
      </c>
      <c r="K62" t="str">
        <f>INDEX(Genomes!$J:$J,(MATCH(AllProteins!H62,Genomes!$B:$B,0)))</f>
        <v>N</v>
      </c>
    </row>
    <row r="63" spans="1:11" x14ac:dyDescent="0.2">
      <c r="A63">
        <f>INDEX(CoreProteinGroups!A:A,MATCH(B63,CoreProteinGroups!B:B,0))</f>
        <v>6</v>
      </c>
      <c r="B63" s="1" t="s">
        <v>154</v>
      </c>
      <c r="C63" t="str">
        <f>VLOOKUP(B63,CoreProteinGroups!$B:$C,2,FALSE)</f>
        <v>VLTF-3</v>
      </c>
      <c r="D63" t="s">
        <v>160</v>
      </c>
      <c r="E63" s="6" t="str">
        <f t="shared" si="0"/>
        <v>PROT:ADT91121.1</v>
      </c>
      <c r="F63" t="s">
        <v>161</v>
      </c>
      <c r="G63" t="s">
        <v>19</v>
      </c>
      <c r="H63" t="s">
        <v>2658</v>
      </c>
      <c r="I63" t="str">
        <f>INDEX(Genomes!$I:$I,(MATCH(AllProteins!H63,Genomes!$B:$B,0)))</f>
        <v>HQ647181-Cotia_virus</v>
      </c>
      <c r="J63">
        <f>INDEX(Genomes!$A:$A,(MATCH(AllProteins!H63,Genomes!$B:$B,0)))</f>
        <v>12</v>
      </c>
      <c r="K63" t="str">
        <f>INDEX(Genomes!$J:$J,(MATCH(AllProteins!H63,Genomes!$B:$B,0)))</f>
        <v>Y</v>
      </c>
    </row>
    <row r="64" spans="1:11" x14ac:dyDescent="0.2">
      <c r="A64">
        <f>INDEX(CoreProteinGroups!A:A,MATCH(B64,CoreProteinGroups!B:B,0))</f>
        <v>6</v>
      </c>
      <c r="B64" s="1" t="s">
        <v>154</v>
      </c>
      <c r="C64" t="str">
        <f>VLOOKUP(B64,CoreProteinGroups!$B:$C,2,FALSE)</f>
        <v>VLTF-3</v>
      </c>
      <c r="D64" t="s">
        <v>162</v>
      </c>
      <c r="E64" s="6" t="str">
        <f t="shared" si="0"/>
        <v>PROT:ANS71179.1</v>
      </c>
      <c r="F64" t="s">
        <v>163</v>
      </c>
      <c r="G64" t="s">
        <v>21</v>
      </c>
      <c r="H64" t="s">
        <v>2682</v>
      </c>
      <c r="I64" t="str">
        <f>INDEX(Genomes!$I:$I,(MATCH(AllProteins!H64,Genomes!$B:$B,0)))</f>
        <v>KU980965-pteropox_virus</v>
      </c>
      <c r="J64">
        <f>INDEX(Genomes!$A:$A,(MATCH(AllProteins!H64,Genomes!$B:$B,0)))</f>
        <v>40</v>
      </c>
      <c r="K64" t="str">
        <f>INDEX(Genomes!$J:$J,(MATCH(AllProteins!H64,Genomes!$B:$B,0)))</f>
        <v>Y</v>
      </c>
    </row>
    <row r="65" spans="1:11" x14ac:dyDescent="0.2">
      <c r="A65">
        <f>INDEX(CoreProteinGroups!A:A,MATCH(B65,CoreProteinGroups!B:B,0))</f>
        <v>6</v>
      </c>
      <c r="B65" s="1" t="s">
        <v>154</v>
      </c>
      <c r="C65" t="str">
        <f>VLOOKUP(B65,CoreProteinGroups!$B:$C,2,FALSE)</f>
        <v>VLTF-3</v>
      </c>
      <c r="D65" t="s">
        <v>164</v>
      </c>
      <c r="E65" s="6" t="str">
        <f t="shared" si="0"/>
        <v>PROT:AKR04224.1</v>
      </c>
      <c r="F65" t="s">
        <v>165</v>
      </c>
      <c r="G65" t="s">
        <v>24</v>
      </c>
      <c r="H65" t="s">
        <v>2687</v>
      </c>
      <c r="I65" t="str">
        <f>INDEX(Genomes!$I:$I,(MATCH(AllProteins!H65,Genomes!$B:$B,0)))</f>
        <v>KT159937-salmon_gill_poxvirus</v>
      </c>
      <c r="J65">
        <f>INDEX(Genomes!$A:$A,(MATCH(AllProteins!H65,Genomes!$B:$B,0)))</f>
        <v>46</v>
      </c>
      <c r="K65" t="str">
        <f>INDEX(Genomes!$J:$J,(MATCH(AllProteins!H65,Genomes!$B:$B,0)))</f>
        <v>Y</v>
      </c>
    </row>
    <row r="66" spans="1:11" x14ac:dyDescent="0.2">
      <c r="A66">
        <f>INDEX(CoreProteinGroups!A:A,MATCH(B66,CoreProteinGroups!B:B,0))</f>
        <v>6</v>
      </c>
      <c r="B66" s="1" t="s">
        <v>154</v>
      </c>
      <c r="C66" t="str">
        <f>VLOOKUP(B66,CoreProteinGroups!$B:$C,2,FALSE)</f>
        <v>VLTF-3</v>
      </c>
      <c r="D66" t="s">
        <v>166</v>
      </c>
      <c r="E66" s="6" t="str">
        <f t="shared" ref="E66:E129" si="1">HYPERLINK(_xlfn.CONCAT("https://www.ncbi.nlm.nih.gov/protein/",D66),_xlfn.CONCAT("PROT:",D66))</f>
        <v>PROT:CCD83272.1</v>
      </c>
      <c r="F66" t="s">
        <v>167</v>
      </c>
      <c r="G66" t="s">
        <v>27</v>
      </c>
      <c r="H66" t="s">
        <v>2689</v>
      </c>
      <c r="I66" t="str">
        <f>INDEX(Genomes!$I:$I,(MATCH(AllProteins!H66,Genomes!$B:$B,0)))</f>
        <v>HE601899-squirrelpox_virus</v>
      </c>
      <c r="J66">
        <f>INDEX(Genomes!$A:$A,(MATCH(AllProteins!H66,Genomes!$B:$B,0)))</f>
        <v>48</v>
      </c>
      <c r="K66" t="str">
        <f>INDEX(Genomes!$J:$J,(MATCH(AllProteins!H66,Genomes!$B:$B,0)))</f>
        <v>Y</v>
      </c>
    </row>
    <row r="67" spans="1:11" x14ac:dyDescent="0.2">
      <c r="A67">
        <f>INDEX(CoreProteinGroups!A:A,MATCH(B67,CoreProteinGroups!B:B,0))</f>
        <v>6</v>
      </c>
      <c r="B67" s="1" t="s">
        <v>154</v>
      </c>
      <c r="C67" t="str">
        <f>VLOOKUP(B67,CoreProteinGroups!$B:$C,2,FALSE)</f>
        <v>VLTF-3</v>
      </c>
      <c r="D67" t="s">
        <v>168</v>
      </c>
      <c r="E67" s="6" t="str">
        <f t="shared" si="1"/>
        <v>PROT:ASK51298.1</v>
      </c>
      <c r="F67" t="s">
        <v>169</v>
      </c>
      <c r="G67" t="s">
        <v>30</v>
      </c>
      <c r="H67" t="s">
        <v>2664</v>
      </c>
      <c r="I67" t="str">
        <f>INDEX(Genomes!$I:$I,(MATCH(AllProteins!H67,Genomes!$B:$B,0)))</f>
        <v>KY747497-eptesipox_virus</v>
      </c>
      <c r="J67">
        <f>INDEX(Genomes!$A:$A,(MATCH(AllProteins!H67,Genomes!$B:$B,0)))</f>
        <v>19</v>
      </c>
      <c r="K67" t="str">
        <f>INDEX(Genomes!$J:$J,(MATCH(AllProteins!H67,Genomes!$B:$B,0)))</f>
        <v>Y</v>
      </c>
    </row>
    <row r="68" spans="1:11" x14ac:dyDescent="0.2">
      <c r="A68">
        <f>INDEX(CoreProteinGroups!A:A,MATCH(B68,CoreProteinGroups!B:B,0))</f>
        <v>6</v>
      </c>
      <c r="B68" s="1" t="s">
        <v>154</v>
      </c>
      <c r="C68" t="str">
        <f>VLOOKUP(B68,CoreProteinGroups!$B:$C,2,FALSE)</f>
        <v>VLTF-3</v>
      </c>
      <c r="D68" t="s">
        <v>170</v>
      </c>
      <c r="E68" s="6" t="str">
        <f t="shared" si="1"/>
        <v>PROT:AUD40272.1</v>
      </c>
      <c r="F68" t="s">
        <v>171</v>
      </c>
      <c r="G68" t="s">
        <v>32</v>
      </c>
      <c r="H68" t="s">
        <v>2665</v>
      </c>
      <c r="I68" t="str">
        <f>INDEX(Genomes!$I:$I,(MATCH(AllProteins!H68,Genomes!$B:$B,0)))</f>
        <v>MF678796-flamingopox_virus</v>
      </c>
      <c r="J68">
        <f>INDEX(Genomes!$A:$A,(MATCH(AllProteins!H68,Genomes!$B:$B,0)))</f>
        <v>20</v>
      </c>
      <c r="K68" t="str">
        <f>INDEX(Genomes!$J:$J,(MATCH(AllProteins!H68,Genomes!$B:$B,0)))</f>
        <v>Y</v>
      </c>
    </row>
    <row r="69" spans="1:11" x14ac:dyDescent="0.2">
      <c r="A69">
        <f>INDEX(CoreProteinGroups!A:A,MATCH(B69,CoreProteinGroups!B:B,0))</f>
        <v>6</v>
      </c>
      <c r="B69" s="1" t="s">
        <v>154</v>
      </c>
      <c r="C69" t="str">
        <f>VLOOKUP(B69,CoreProteinGroups!$B:$C,2,FALSE)</f>
        <v>VLTF-3</v>
      </c>
      <c r="D69" t="s">
        <v>172</v>
      </c>
      <c r="E69" s="6" t="str">
        <f t="shared" si="1"/>
        <v>PROT:AID46903.1</v>
      </c>
      <c r="F69" t="s">
        <v>173</v>
      </c>
      <c r="G69" t="s">
        <v>34</v>
      </c>
      <c r="H69" t="s">
        <v>2681</v>
      </c>
      <c r="I69" t="str">
        <f>INDEX(Genomes!$I:$I,(MATCH(AllProteins!H69,Genomes!$B:$B,0)))</f>
        <v>KJ859677-penguinpox_virus</v>
      </c>
      <c r="J69">
        <f>INDEX(Genomes!$A:$A,(MATCH(AllProteins!H69,Genomes!$B:$B,0)))</f>
        <v>39</v>
      </c>
      <c r="K69" t="str">
        <f>INDEX(Genomes!$J:$J,(MATCH(AllProteins!H69,Genomes!$B:$B,0)))</f>
        <v>Y</v>
      </c>
    </row>
    <row r="70" spans="1:11" x14ac:dyDescent="0.2">
      <c r="A70">
        <f>INDEX(CoreProteinGroups!A:A,MATCH(B70,CoreProteinGroups!B:B,0))</f>
        <v>6</v>
      </c>
      <c r="B70" s="1" t="s">
        <v>154</v>
      </c>
      <c r="C70" t="str">
        <f>VLOOKUP(B70,CoreProteinGroups!$B:$C,2,FALSE)</f>
        <v>VLTF-3</v>
      </c>
      <c r="D70" t="s">
        <v>174</v>
      </c>
      <c r="E70" s="6" t="str">
        <f t="shared" si="1"/>
        <v>PROT:AID46672.1</v>
      </c>
      <c r="F70" t="s">
        <v>173</v>
      </c>
      <c r="G70" t="s">
        <v>36</v>
      </c>
      <c r="H70" t="s">
        <v>2680</v>
      </c>
      <c r="I70" t="str">
        <f>INDEX(Genomes!$I:$I,(MATCH(AllProteins!H70,Genomes!$B:$B,0)))</f>
        <v>KJ801920-pigeonpox_virus</v>
      </c>
      <c r="J70">
        <f>INDEX(Genomes!$A:$A,(MATCH(AllProteins!H70,Genomes!$B:$B,0)))</f>
        <v>38</v>
      </c>
      <c r="K70" t="str">
        <f>INDEX(Genomes!$J:$J,(MATCH(AllProteins!H70,Genomes!$B:$B,0)))</f>
        <v>Y</v>
      </c>
    </row>
    <row r="71" spans="1:11" x14ac:dyDescent="0.2">
      <c r="A71">
        <f>INDEX(CoreProteinGroups!A:A,MATCH(B71,CoreProteinGroups!B:B,0))</f>
        <v>6</v>
      </c>
      <c r="B71" s="1" t="s">
        <v>154</v>
      </c>
      <c r="C71" t="str">
        <f>VLOOKUP(B71,CoreProteinGroups!$B:$C,2,FALSE)</f>
        <v>VLTF-3</v>
      </c>
      <c r="D71" t="s">
        <v>175</v>
      </c>
      <c r="E71" s="6" t="str">
        <f t="shared" si="1"/>
        <v>PROT:ALA62495.1</v>
      </c>
      <c r="F71" t="s">
        <v>173</v>
      </c>
      <c r="G71" t="s">
        <v>39</v>
      </c>
      <c r="H71" t="s">
        <v>2692</v>
      </c>
      <c r="I71" t="str">
        <f>INDEX(Genomes!$I:$I,(MATCH(AllProteins!H71,Genomes!$B:$B,0)))</f>
        <v>KP728110-turkeypox_virus</v>
      </c>
      <c r="J71">
        <f>INDEX(Genomes!$A:$A,(MATCH(AllProteins!H71,Genomes!$B:$B,0)))</f>
        <v>51</v>
      </c>
      <c r="K71" t="str">
        <f>INDEX(Genomes!$J:$J,(MATCH(AllProteins!H71,Genomes!$B:$B,0)))</f>
        <v>Y</v>
      </c>
    </row>
    <row r="72" spans="1:11" x14ac:dyDescent="0.2">
      <c r="A72">
        <f>INDEX(CoreProteinGroups!A:A,MATCH(B72,CoreProteinGroups!B:B,0))</f>
        <v>6</v>
      </c>
      <c r="B72" s="1" t="s">
        <v>154</v>
      </c>
      <c r="C72" t="str">
        <f>VLOOKUP(B72,CoreProteinGroups!$B:$C,2,FALSE)</f>
        <v>VLTF-3</v>
      </c>
      <c r="D72" t="s">
        <v>176</v>
      </c>
      <c r="E72" s="6" t="str">
        <f t="shared" si="1"/>
        <v>PROT:AAR83584.1</v>
      </c>
      <c r="F72" t="s">
        <v>177</v>
      </c>
      <c r="G72" t="s">
        <v>42</v>
      </c>
      <c r="H72" t="s">
        <v>2657</v>
      </c>
      <c r="I72" t="str">
        <f>INDEX(Genomes!$I:$I,(MATCH(AllProteins!H72,Genomes!$B:$B,0)))</f>
        <v>AY318871-canarypox_virus</v>
      </c>
      <c r="J72">
        <f>INDEX(Genomes!$A:$A,(MATCH(AllProteins!H72,Genomes!$B:$B,0)))</f>
        <v>11</v>
      </c>
      <c r="K72" t="str">
        <f>INDEX(Genomes!$J:$J,(MATCH(AllProteins!H72,Genomes!$B:$B,0)))</f>
        <v>Y</v>
      </c>
    </row>
    <row r="73" spans="1:11" x14ac:dyDescent="0.2">
      <c r="A73">
        <f>INDEX(CoreProteinGroups!A:A,MATCH(B73,CoreProteinGroups!B:B,0))</f>
        <v>6</v>
      </c>
      <c r="B73" s="1" t="s">
        <v>154</v>
      </c>
      <c r="C73" t="str">
        <f>VLOOKUP(B73,CoreProteinGroups!$B:$C,2,FALSE)</f>
        <v>VLTF-3</v>
      </c>
      <c r="D73" t="s">
        <v>178</v>
      </c>
      <c r="E73" s="6" t="str">
        <f t="shared" si="1"/>
        <v>PROT:AAF44509.1</v>
      </c>
      <c r="F73" t="s">
        <v>179</v>
      </c>
      <c r="G73" t="s">
        <v>45</v>
      </c>
      <c r="H73" t="s">
        <v>2666</v>
      </c>
      <c r="I73" t="str">
        <f>INDEX(Genomes!$I:$I,(MATCH(AllProteins!H73,Genomes!$B:$B,0)))</f>
        <v>AF198100-fowlpox_virus</v>
      </c>
      <c r="J73">
        <f>INDEX(Genomes!$A:$A,(MATCH(AllProteins!H73,Genomes!$B:$B,0)))</f>
        <v>21</v>
      </c>
      <c r="K73" t="str">
        <f>INDEX(Genomes!$J:$J,(MATCH(AllProteins!H73,Genomes!$B:$B,0)))</f>
        <v>Y</v>
      </c>
    </row>
    <row r="74" spans="1:11" x14ac:dyDescent="0.2">
      <c r="A74">
        <f>INDEX(CoreProteinGroups!A:A,MATCH(B74,CoreProteinGroups!B:B,0))</f>
        <v>6</v>
      </c>
      <c r="B74" s="1" t="s">
        <v>154</v>
      </c>
      <c r="C74" t="str">
        <f>VLOOKUP(B74,CoreProteinGroups!$B:$C,2,FALSE)</f>
        <v>VLTF-3</v>
      </c>
      <c r="D74" t="s">
        <v>180</v>
      </c>
      <c r="E74" s="6" t="str">
        <f t="shared" si="1"/>
        <v>PROT:AAK85053.1</v>
      </c>
      <c r="F74" t="s">
        <v>181</v>
      </c>
      <c r="G74" t="s">
        <v>48</v>
      </c>
      <c r="H74" t="s">
        <v>2669</v>
      </c>
      <c r="I74" t="str">
        <f>INDEX(Genomes!$I:$I,(MATCH(AllProteins!H74,Genomes!$B:$B,0)))</f>
        <v>AF325528-lumpy_skin_disease_virus</v>
      </c>
      <c r="J74">
        <f>INDEX(Genomes!$A:$A,(MATCH(AllProteins!H74,Genomes!$B:$B,0)))</f>
        <v>25</v>
      </c>
      <c r="K74" t="str">
        <f>INDEX(Genomes!$J:$J,(MATCH(AllProteins!H74,Genomes!$B:$B,0)))</f>
        <v>Y</v>
      </c>
    </row>
    <row r="75" spans="1:11" x14ac:dyDescent="0.2">
      <c r="A75">
        <f>INDEX(CoreProteinGroups!A:A,MATCH(B75,CoreProteinGroups!B:B,0))</f>
        <v>6</v>
      </c>
      <c r="B75" s="1" t="s">
        <v>154</v>
      </c>
      <c r="C75" t="str">
        <f>VLOOKUP(B75,CoreProteinGroups!$B:$C,2,FALSE)</f>
        <v>VLTF-3</v>
      </c>
      <c r="D75" t="s">
        <v>182</v>
      </c>
      <c r="E75" s="6" t="str">
        <f t="shared" si="1"/>
        <v>PROT:AST09311.1</v>
      </c>
      <c r="F75" t="s">
        <v>183</v>
      </c>
      <c r="G75" t="s">
        <v>50</v>
      </c>
      <c r="H75" t="s">
        <v>2671</v>
      </c>
      <c r="I75" t="str">
        <f>INDEX(Genomes!$I:$I,(MATCH(AllProteins!H75,Genomes!$B:$B,0)))</f>
        <v>MF001304-Murmansk_poxvirus</v>
      </c>
      <c r="J75">
        <f>INDEX(Genomes!$A:$A,(MATCH(AllProteins!H75,Genomes!$B:$B,0)))</f>
        <v>27</v>
      </c>
      <c r="K75" t="str">
        <f>INDEX(Genomes!$J:$J,(MATCH(AllProteins!H75,Genomes!$B:$B,0)))</f>
        <v>Y</v>
      </c>
    </row>
    <row r="76" spans="1:11" x14ac:dyDescent="0.2">
      <c r="A76">
        <f>INDEX(CoreProteinGroups!A:A,MATCH(B76,CoreProteinGroups!B:B,0))</f>
        <v>6</v>
      </c>
      <c r="B76" s="1" t="s">
        <v>154</v>
      </c>
      <c r="C76" t="str">
        <f>VLOOKUP(B76,CoreProteinGroups!$B:$C,2,FALSE)</f>
        <v>VLTF-3</v>
      </c>
      <c r="D76" t="s">
        <v>184</v>
      </c>
      <c r="E76" s="6" t="str">
        <f t="shared" si="1"/>
        <v>PROT:AEN03691.1</v>
      </c>
      <c r="F76" t="s">
        <v>185</v>
      </c>
      <c r="G76" t="s">
        <v>52</v>
      </c>
      <c r="H76" t="s">
        <v>2698</v>
      </c>
      <c r="I76" t="str">
        <f>INDEX(Genomes!$I:$I,(MATCH(AllProteins!H76,Genomes!$B:$B,0)))</f>
        <v>HQ849551-yokapox_virus</v>
      </c>
      <c r="J76">
        <f>INDEX(Genomes!$A:$A,(MATCH(AllProteins!H76,Genomes!$B:$B,0)))</f>
        <v>57</v>
      </c>
      <c r="K76" t="str">
        <f>INDEX(Genomes!$J:$J,(MATCH(AllProteins!H76,Genomes!$B:$B,0)))</f>
        <v>Y</v>
      </c>
    </row>
    <row r="77" spans="1:11" x14ac:dyDescent="0.2">
      <c r="A77">
        <f>INDEX(CoreProteinGroups!A:A,MATCH(B77,CoreProteinGroups!B:B,0))</f>
        <v>6</v>
      </c>
      <c r="B77" s="1" t="s">
        <v>154</v>
      </c>
      <c r="C77" t="str">
        <f>VLOOKUP(B77,CoreProteinGroups!$B:$C,2,FALSE)</f>
        <v>VLTF-3</v>
      </c>
      <c r="D77" t="s">
        <v>186</v>
      </c>
      <c r="E77" s="6" t="str">
        <f t="shared" si="1"/>
        <v>PROT:ABI99256.1</v>
      </c>
      <c r="F77" t="s">
        <v>173</v>
      </c>
      <c r="G77" t="s">
        <v>54</v>
      </c>
      <c r="H77" t="s">
        <v>2661</v>
      </c>
      <c r="I77" t="str">
        <f>INDEX(Genomes!$I:$I,(MATCH(AllProteins!H77,Genomes!$B:$B,0)))</f>
        <v>AY689436-mule_deerpox_virus</v>
      </c>
      <c r="J77">
        <f>INDEX(Genomes!$A:$A,(MATCH(AllProteins!H77,Genomes!$B:$B,0)))</f>
        <v>15</v>
      </c>
      <c r="K77" t="str">
        <f>INDEX(Genomes!$J:$J,(MATCH(AllProteins!H77,Genomes!$B:$B,0)))</f>
        <v>Y</v>
      </c>
    </row>
    <row r="78" spans="1:11" x14ac:dyDescent="0.2">
      <c r="A78">
        <f>INDEX(CoreProteinGroups!A:A,MATCH(B78,CoreProteinGroups!B:B,0))</f>
        <v>6</v>
      </c>
      <c r="B78" s="1" t="s">
        <v>154</v>
      </c>
      <c r="C78" t="str">
        <f>VLOOKUP(B78,CoreProteinGroups!$B:$C,2,FALSE)</f>
        <v>VLTF-3</v>
      </c>
      <c r="D78" t="s">
        <v>187</v>
      </c>
      <c r="E78" s="6" t="str">
        <f t="shared" si="1"/>
        <v>PROT:ABJ09013.1</v>
      </c>
      <c r="F78" t="s">
        <v>173</v>
      </c>
      <c r="G78" t="s">
        <v>56</v>
      </c>
      <c r="H78" t="s">
        <v>2677</v>
      </c>
      <c r="I78" t="str">
        <f>INDEX(Genomes!$I:$I,(MATCH(AllProteins!H78,Genomes!$B:$B,0)))</f>
        <v>DQ356948-Nile_crocodilepox_virus</v>
      </c>
      <c r="J78">
        <f>INDEX(Genomes!$A:$A,(MATCH(AllProteins!H78,Genomes!$B:$B,0)))</f>
        <v>34</v>
      </c>
      <c r="K78" t="str">
        <f>INDEX(Genomes!$J:$J,(MATCH(AllProteins!H78,Genomes!$B:$B,0)))</f>
        <v>Y</v>
      </c>
    </row>
    <row r="79" spans="1:11" x14ac:dyDescent="0.2">
      <c r="A79">
        <f>INDEX(CoreProteinGroups!A:A,MATCH(B79,CoreProteinGroups!B:B,0))</f>
        <v>6</v>
      </c>
      <c r="B79" s="1" t="s">
        <v>154</v>
      </c>
      <c r="C79" t="str">
        <f>VLOOKUP(B79,CoreProteinGroups!$B:$C,2,FALSE)</f>
        <v>VLTF-3</v>
      </c>
      <c r="D79" t="s">
        <v>188</v>
      </c>
      <c r="E79" s="6" t="str">
        <f t="shared" si="1"/>
        <v>PROT:AAF14978.1</v>
      </c>
      <c r="F79" t="s">
        <v>189</v>
      </c>
      <c r="G79" t="s">
        <v>2584</v>
      </c>
      <c r="H79" t="s">
        <v>2676</v>
      </c>
      <c r="I79" t="str">
        <f>INDEX(Genomes!$I:$I,(MATCH(AllProteins!H79,Genomes!$B:$B,0)))</f>
        <v>AF170726-myxoma_virus</v>
      </c>
      <c r="J79">
        <f>INDEX(Genomes!$A:$A,(MATCH(AllProteins!H79,Genomes!$B:$B,0)))</f>
        <v>32</v>
      </c>
      <c r="K79" t="str">
        <f>INDEX(Genomes!$J:$J,(MATCH(AllProteins!H79,Genomes!$B:$B,0)))</f>
        <v>Y</v>
      </c>
    </row>
    <row r="80" spans="1:11" x14ac:dyDescent="0.2">
      <c r="A80">
        <f>INDEX(CoreProteinGroups!A:A,MATCH(B80,CoreProteinGroups!B:B,0))</f>
        <v>6</v>
      </c>
      <c r="B80" s="1" t="s">
        <v>154</v>
      </c>
      <c r="C80" t="str">
        <f>VLOOKUP(B80,CoreProteinGroups!$B:$C,2,FALSE)</f>
        <v>VLTF-3</v>
      </c>
      <c r="D80" t="s">
        <v>190</v>
      </c>
      <c r="E80" s="6" t="str">
        <f t="shared" si="1"/>
        <v>PROT:AFU77354.1</v>
      </c>
      <c r="F80" t="s">
        <v>189</v>
      </c>
      <c r="G80" t="s">
        <v>2553</v>
      </c>
      <c r="H80" t="s">
        <v>2646</v>
      </c>
      <c r="I80" t="str">
        <f>INDEX(Genomes!$I:$I,(MATCH(AllProteins!H80,Genomes!$B:$B,0)))</f>
        <v>JX565564-myxoma_virus_isolate_BRK_897</v>
      </c>
      <c r="J80">
        <f>INDEX(Genomes!$A:$A,(MATCH(AllProteins!H80,Genomes!$B:$B,0)))</f>
        <v>33</v>
      </c>
      <c r="K80" t="str">
        <f>INDEX(Genomes!$J:$J,(MATCH(AllProteins!H80,Genomes!$B:$B,0)))</f>
        <v>N</v>
      </c>
    </row>
    <row r="81" spans="1:11" x14ac:dyDescent="0.2">
      <c r="A81">
        <f>INDEX(CoreProteinGroups!A:A,MATCH(B81,CoreProteinGroups!B:B,0))</f>
        <v>6</v>
      </c>
      <c r="B81" s="1" t="s">
        <v>154</v>
      </c>
      <c r="C81" t="str">
        <f>VLOOKUP(B81,CoreProteinGroups!$B:$C,2,FALSE)</f>
        <v>VLTF-3</v>
      </c>
      <c r="D81" t="s">
        <v>191</v>
      </c>
      <c r="E81" s="6" t="str">
        <f t="shared" si="1"/>
        <v>PROT:AAF17974.1</v>
      </c>
      <c r="F81" t="s">
        <v>192</v>
      </c>
      <c r="G81" t="s">
        <v>62</v>
      </c>
      <c r="H81" t="s">
        <v>2685</v>
      </c>
      <c r="I81" t="str">
        <f>INDEX(Genomes!$I:$I,(MATCH(AllProteins!H81,Genomes!$B:$B,0)))</f>
        <v>AF170722-rabbit_fibroma_virus</v>
      </c>
      <c r="J81">
        <f>INDEX(Genomes!$A:$A,(MATCH(AllProteins!H81,Genomes!$B:$B,0)))</f>
        <v>43</v>
      </c>
      <c r="K81" t="str">
        <f>INDEX(Genomes!$J:$J,(MATCH(AllProteins!H81,Genomes!$B:$B,0)))</f>
        <v>Y</v>
      </c>
    </row>
    <row r="82" spans="1:11" x14ac:dyDescent="0.2">
      <c r="A82">
        <f>INDEX(CoreProteinGroups!A:A,MATCH(B82,CoreProteinGroups!B:B,0))</f>
        <v>6</v>
      </c>
      <c r="B82" s="1" t="s">
        <v>154</v>
      </c>
      <c r="C82" t="str">
        <f>VLOOKUP(B82,CoreProteinGroups!$B:$C,2,FALSE)</f>
        <v>VLTF-3</v>
      </c>
      <c r="D82" t="s">
        <v>193</v>
      </c>
      <c r="E82" s="6" t="str">
        <f t="shared" si="1"/>
        <v>PROT:AAC55232.1</v>
      </c>
      <c r="F82" t="s">
        <v>194</v>
      </c>
      <c r="G82" t="s">
        <v>65</v>
      </c>
      <c r="H82" t="s">
        <v>2670</v>
      </c>
      <c r="I82" t="str">
        <f>INDEX(Genomes!$I:$I,(MATCH(AllProteins!H82,Genomes!$B:$B,0)))</f>
        <v>U60315-molluscum_contagiosum_virus</v>
      </c>
      <c r="J82">
        <f>INDEX(Genomes!$A:$A,(MATCH(AllProteins!H82,Genomes!$B:$B,0)))</f>
        <v>26</v>
      </c>
      <c r="K82" t="str">
        <f>INDEX(Genomes!$J:$J,(MATCH(AllProteins!H82,Genomes!$B:$B,0)))</f>
        <v>Y</v>
      </c>
    </row>
    <row r="83" spans="1:11" x14ac:dyDescent="0.2">
      <c r="A83">
        <f>INDEX(CoreProteinGroups!A:A,MATCH(B83,CoreProteinGroups!B:B,0))</f>
        <v>6</v>
      </c>
      <c r="B83" s="1" t="s">
        <v>154</v>
      </c>
      <c r="C83" t="str">
        <f>VLOOKUP(B83,CoreProteinGroups!$B:$C,2,FALSE)</f>
        <v>VLTF-3</v>
      </c>
      <c r="D83" t="s">
        <v>195</v>
      </c>
      <c r="E83" s="6" t="str">
        <f t="shared" si="1"/>
        <v>PROT:AYN64686.1</v>
      </c>
      <c r="F83" t="s">
        <v>196</v>
      </c>
      <c r="G83" t="s">
        <v>68</v>
      </c>
      <c r="H83" t="s">
        <v>2647</v>
      </c>
      <c r="I83" t="str">
        <f>INDEX(Genomes!$I:$I,(MATCH(AllProteins!H83,Genomes!$B:$B,0)))</f>
        <v>MH816996-orthopoxvirus_abatino</v>
      </c>
      <c r="J83">
        <f>INDEX(Genomes!$A:$A,(MATCH(AllProteins!H83,Genomes!$B:$B,0)))</f>
        <v>1</v>
      </c>
      <c r="K83" t="str">
        <f>INDEX(Genomes!$J:$J,(MATCH(AllProteins!H83,Genomes!$B:$B,0)))</f>
        <v>Y</v>
      </c>
    </row>
    <row r="84" spans="1:11" x14ac:dyDescent="0.2">
      <c r="A84">
        <f>INDEX(CoreProteinGroups!A:A,MATCH(B84,CoreProteinGroups!B:B,0))</f>
        <v>6</v>
      </c>
      <c r="B84" s="1" t="s">
        <v>154</v>
      </c>
      <c r="C84" t="str">
        <f>VLOOKUP(B84,CoreProteinGroups!$B:$C,2,FALSE)</f>
        <v>VLTF-3</v>
      </c>
      <c r="D84" t="s">
        <v>197</v>
      </c>
      <c r="E84" s="6" t="str">
        <f t="shared" si="1"/>
        <v>PROT:AXN74915.1</v>
      </c>
      <c r="F84" t="s">
        <v>173</v>
      </c>
      <c r="G84" t="s">
        <v>70</v>
      </c>
      <c r="H84" t="s">
        <v>2650</v>
      </c>
      <c r="I84" t="str">
        <f>INDEX(Genomes!$I:$I,(MATCH(AllProteins!H84,Genomes!$B:$B,0)))</f>
        <v>MH607141-Akhmeta_virus</v>
      </c>
      <c r="J84">
        <f>INDEX(Genomes!$A:$A,(MATCH(AllProteins!H84,Genomes!$B:$B,0)))</f>
        <v>4</v>
      </c>
      <c r="K84" t="str">
        <f>INDEX(Genomes!$J:$J,(MATCH(AllProteins!H84,Genomes!$B:$B,0)))</f>
        <v>Y</v>
      </c>
    </row>
    <row r="85" spans="1:11" x14ac:dyDescent="0.2">
      <c r="A85">
        <f>INDEX(CoreProteinGroups!A:A,MATCH(B85,CoreProteinGroups!B:B,0))</f>
        <v>6</v>
      </c>
      <c r="B85" s="1" t="s">
        <v>154</v>
      </c>
      <c r="C85" t="str">
        <f>VLOOKUP(B85,CoreProteinGroups!$B:$C,2,FALSE)</f>
        <v>VLTF-3</v>
      </c>
      <c r="D85" t="s">
        <v>198</v>
      </c>
      <c r="E85" s="6" t="str">
        <f t="shared" si="1"/>
        <v>PROT:ABH08227.1</v>
      </c>
      <c r="F85" t="s">
        <v>199</v>
      </c>
      <c r="G85" t="s">
        <v>73</v>
      </c>
      <c r="H85" t="s">
        <v>2668</v>
      </c>
      <c r="I85" t="str">
        <f>INDEX(Genomes!$I:$I,(MATCH(AllProteins!H85,Genomes!$B:$B,0)))</f>
        <v>DQ792504-horsepox_virus</v>
      </c>
      <c r="J85">
        <f>INDEX(Genomes!$A:$A,(MATCH(AllProteins!H85,Genomes!$B:$B,0)))</f>
        <v>24</v>
      </c>
      <c r="K85" t="str">
        <f>INDEX(Genomes!$J:$J,(MATCH(AllProteins!H85,Genomes!$B:$B,0)))</f>
        <v>Y</v>
      </c>
    </row>
    <row r="86" spans="1:11" x14ac:dyDescent="0.2">
      <c r="A86">
        <f>INDEX(CoreProteinGroups!A:A,MATCH(B86,CoreProteinGroups!B:B,0))</f>
        <v>6</v>
      </c>
      <c r="B86" s="1" t="s">
        <v>154</v>
      </c>
      <c r="C86" t="str">
        <f>VLOOKUP(B86,CoreProteinGroups!$B:$C,2,FALSE)</f>
        <v>VLTF-3</v>
      </c>
      <c r="D86" t="s">
        <v>200</v>
      </c>
      <c r="E86" s="6" t="str">
        <f t="shared" si="1"/>
        <v>PROT:AAG37600.1</v>
      </c>
      <c r="F86" t="s">
        <v>201</v>
      </c>
      <c r="G86" t="s">
        <v>76</v>
      </c>
      <c r="H86" t="s">
        <v>2655</v>
      </c>
      <c r="I86" t="str">
        <f>INDEX(Genomes!$I:$I,(MATCH(AllProteins!H86,Genomes!$B:$B,0)))</f>
        <v>AY009089-camelpox_virus_CMS</v>
      </c>
      <c r="J86">
        <f>INDEX(Genomes!$A:$A,(MATCH(AllProteins!H86,Genomes!$B:$B,0)))</f>
        <v>9</v>
      </c>
      <c r="K86" t="str">
        <f>INDEX(Genomes!$J:$J,(MATCH(AllProteins!H86,Genomes!$B:$B,0)))</f>
        <v>N</v>
      </c>
    </row>
    <row r="87" spans="1:11" x14ac:dyDescent="0.2">
      <c r="A87">
        <f>INDEX(CoreProteinGroups!A:A,MATCH(B87,CoreProteinGroups!B:B,0))</f>
        <v>6</v>
      </c>
      <c r="B87" s="1" t="s">
        <v>154</v>
      </c>
      <c r="C87" t="str">
        <f>VLOOKUP(B87,CoreProteinGroups!$B:$C,2,FALSE)</f>
        <v>VLTF-3</v>
      </c>
      <c r="D87" t="s">
        <v>202</v>
      </c>
      <c r="E87" s="6" t="str">
        <f t="shared" si="1"/>
        <v>PROT:AAL73825.1</v>
      </c>
      <c r="F87" t="s">
        <v>203</v>
      </c>
      <c r="G87" t="s">
        <v>79</v>
      </c>
      <c r="H87" t="s">
        <v>2654</v>
      </c>
      <c r="I87" t="str">
        <f>INDEX(Genomes!$I:$I,(MATCH(AllProteins!H87,Genomes!$B:$B,0)))</f>
        <v>AF438165-camelpox_virus</v>
      </c>
      <c r="J87">
        <f>INDEX(Genomes!$A:$A,(MATCH(AllProteins!H87,Genomes!$B:$B,0)))</f>
        <v>8</v>
      </c>
      <c r="K87" t="str">
        <f>INDEX(Genomes!$J:$J,(MATCH(AllProteins!H87,Genomes!$B:$B,0)))</f>
        <v>Y</v>
      </c>
    </row>
    <row r="88" spans="1:11" x14ac:dyDescent="0.2">
      <c r="A88">
        <f>INDEX(CoreProteinGroups!A:A,MATCH(B88,CoreProteinGroups!B:B,0))</f>
        <v>6</v>
      </c>
      <c r="B88" s="1" t="s">
        <v>154</v>
      </c>
      <c r="C88" t="str">
        <f>VLOOKUP(B88,CoreProteinGroups!$B:$C,2,FALSE)</f>
        <v>VLTF-3</v>
      </c>
      <c r="D88" t="s">
        <v>204</v>
      </c>
      <c r="E88" s="6" t="str">
        <f t="shared" si="1"/>
        <v>PROT:AAM13574.1</v>
      </c>
      <c r="F88" t="s">
        <v>205</v>
      </c>
      <c r="G88" t="s">
        <v>82</v>
      </c>
      <c r="H88" t="s">
        <v>2659</v>
      </c>
      <c r="I88" t="str">
        <f>INDEX(Genomes!$I:$I,(MATCH(AllProteins!H88,Genomes!$B:$B,0)))</f>
        <v>AF482758-cowpox_virus</v>
      </c>
      <c r="J88">
        <f>INDEX(Genomes!$A:$A,(MATCH(AllProteins!H88,Genomes!$B:$B,0)))</f>
        <v>13</v>
      </c>
      <c r="K88" t="str">
        <f>INDEX(Genomes!$J:$J,(MATCH(AllProteins!H88,Genomes!$B:$B,0)))</f>
        <v>Y</v>
      </c>
    </row>
    <row r="89" spans="1:11" x14ac:dyDescent="0.2">
      <c r="A89">
        <f>INDEX(CoreProteinGroups!A:A,MATCH(B89,CoreProteinGroups!B:B,0))</f>
        <v>6</v>
      </c>
      <c r="B89" s="1" t="s">
        <v>154</v>
      </c>
      <c r="C89" t="str">
        <f>VLOOKUP(B89,CoreProteinGroups!$B:$C,2,FALSE)</f>
        <v>VLTF-3</v>
      </c>
      <c r="D89" t="s">
        <v>206</v>
      </c>
      <c r="E89" s="6" t="str">
        <f t="shared" si="1"/>
        <v>PROT:AAM92408.1</v>
      </c>
      <c r="F89" t="s">
        <v>207</v>
      </c>
      <c r="G89" t="s">
        <v>85</v>
      </c>
      <c r="H89" t="s">
        <v>2662</v>
      </c>
      <c r="I89" t="str">
        <f>INDEX(Genomes!$I:$I,(MATCH(AllProteins!H89,Genomes!$B:$B,0)))</f>
        <v>AF012825-ectromelia_virus</v>
      </c>
      <c r="J89">
        <f>INDEX(Genomes!$A:$A,(MATCH(AllProteins!H89,Genomes!$B:$B,0)))</f>
        <v>16</v>
      </c>
      <c r="K89" t="str">
        <f>INDEX(Genomes!$J:$J,(MATCH(AllProteins!H89,Genomes!$B:$B,0)))</f>
        <v>Y</v>
      </c>
    </row>
    <row r="90" spans="1:11" x14ac:dyDescent="0.2">
      <c r="A90">
        <f>INDEX(CoreProteinGroups!A:A,MATCH(B90,CoreProteinGroups!B:B,0))</f>
        <v>6</v>
      </c>
      <c r="B90" s="1" t="s">
        <v>154</v>
      </c>
      <c r="C90" t="str">
        <f>VLOOKUP(B90,CoreProteinGroups!$B:$C,2,FALSE)</f>
        <v>VLTF-3</v>
      </c>
      <c r="D90" t="s">
        <v>208</v>
      </c>
      <c r="E90" s="6" t="str">
        <f t="shared" si="1"/>
        <v>PROT:AFH54667.1</v>
      </c>
      <c r="F90" t="s">
        <v>209</v>
      </c>
      <c r="G90" t="s">
        <v>87</v>
      </c>
      <c r="H90" t="s">
        <v>2619</v>
      </c>
      <c r="I90" t="str">
        <f>INDEX(Genomes!$I:$I,(MATCH(AllProteins!H90,Genomes!$B:$B,0)))</f>
        <v>JQ410350-ectromelia_virus_strain_ERPV</v>
      </c>
      <c r="J90">
        <f>INDEX(Genomes!$A:$A,(MATCH(AllProteins!H90,Genomes!$B:$B,0)))</f>
        <v>17</v>
      </c>
      <c r="K90" t="str">
        <f>INDEX(Genomes!$J:$J,(MATCH(AllProteins!H90,Genomes!$B:$B,0)))</f>
        <v>N</v>
      </c>
    </row>
    <row r="91" spans="1:11" x14ac:dyDescent="0.2">
      <c r="A91">
        <f>INDEX(CoreProteinGroups!A:A,MATCH(B91,CoreProteinGroups!B:B,0))</f>
        <v>6</v>
      </c>
      <c r="B91" s="1" t="s">
        <v>154</v>
      </c>
      <c r="C91" t="str">
        <f>VLOOKUP(B91,CoreProteinGroups!$B:$C,2,FALSE)</f>
        <v>VLTF-3</v>
      </c>
      <c r="D91" t="s">
        <v>210</v>
      </c>
      <c r="E91" s="6" t="str">
        <f t="shared" si="1"/>
        <v>PROT:AAL40570.1</v>
      </c>
      <c r="F91" t="s">
        <v>211</v>
      </c>
      <c r="G91" t="s">
        <v>90</v>
      </c>
      <c r="H91" t="s">
        <v>2673</v>
      </c>
      <c r="I91" t="str">
        <f>INDEX(Genomes!$I:$I,(MATCH(AllProteins!H91,Genomes!$B:$B,0)))</f>
        <v>AF380138-monkeypox_virus_(clade_I)</v>
      </c>
      <c r="J91">
        <f>INDEX(Genomes!$A:$A,(MATCH(AllProteins!H91,Genomes!$B:$B,0)))</f>
        <v>29</v>
      </c>
      <c r="K91" t="str">
        <f>INDEX(Genomes!$J:$J,(MATCH(AllProteins!H91,Genomes!$B:$B,0)))</f>
        <v>Y</v>
      </c>
    </row>
    <row r="92" spans="1:11" x14ac:dyDescent="0.2">
      <c r="A92">
        <f>INDEX(CoreProteinGroups!A:A,MATCH(B92,CoreProteinGroups!B:B,0))</f>
        <v>6</v>
      </c>
      <c r="B92" s="1" t="s">
        <v>154</v>
      </c>
      <c r="C92" t="str">
        <f>VLOOKUP(B92,CoreProteinGroups!$B:$C,2,FALSE)</f>
        <v>VLTF-3</v>
      </c>
      <c r="D92" t="s">
        <v>212</v>
      </c>
      <c r="E92" s="6" t="str">
        <f t="shared" si="1"/>
        <v>PROT:AAX09207.1</v>
      </c>
      <c r="F92" t="s">
        <v>213</v>
      </c>
      <c r="G92" t="s">
        <v>93</v>
      </c>
      <c r="H92" t="s">
        <v>2672</v>
      </c>
      <c r="I92" t="str">
        <f>INDEX(Genomes!$I:$I,(MATCH(AllProteins!H92,Genomes!$B:$B,0)))</f>
        <v>AY753185-monkeypox_virus_(clade_IIa)</v>
      </c>
      <c r="J92">
        <f>INDEX(Genomes!$A:$A,(MATCH(AllProteins!H92,Genomes!$B:$B,0)))</f>
        <v>28</v>
      </c>
      <c r="K92" t="str">
        <f>INDEX(Genomes!$J:$J,(MATCH(AllProteins!H92,Genomes!$B:$B,0)))</f>
        <v>Y</v>
      </c>
    </row>
    <row r="93" spans="1:11" x14ac:dyDescent="0.2">
      <c r="A93">
        <f>INDEX(CoreProteinGroups!A:A,MATCH(B93,CoreProteinGroups!B:B,0))</f>
        <v>6</v>
      </c>
      <c r="B93" s="1" t="s">
        <v>154</v>
      </c>
      <c r="C93" t="str">
        <f>VLOOKUP(B93,CoreProteinGroups!$B:$C,2,FALSE)</f>
        <v>VLTF-3</v>
      </c>
      <c r="D93" t="s">
        <v>214</v>
      </c>
      <c r="E93" s="6" t="str">
        <f t="shared" si="1"/>
        <v>PROT:AKJ93749.1</v>
      </c>
      <c r="F93" t="s">
        <v>155</v>
      </c>
      <c r="G93" t="s">
        <v>95</v>
      </c>
      <c r="H93" t="s">
        <v>2683</v>
      </c>
      <c r="I93" t="str">
        <f>INDEX(Genomes!$I:$I,(MATCH(AllProteins!H93,Genomes!$B:$B,0)))</f>
        <v>KP143769-raccoonpox_virus</v>
      </c>
      <c r="J93">
        <f>INDEX(Genomes!$A:$A,(MATCH(AllProteins!H93,Genomes!$B:$B,0)))</f>
        <v>41</v>
      </c>
      <c r="K93" t="str">
        <f>INDEX(Genomes!$J:$J,(MATCH(AllProteins!H93,Genomes!$B:$B,0)))</f>
        <v>Y</v>
      </c>
    </row>
    <row r="94" spans="1:11" x14ac:dyDescent="0.2">
      <c r="A94">
        <f>INDEX(CoreProteinGroups!A:A,MATCH(B94,CoreProteinGroups!B:B,0))</f>
        <v>6</v>
      </c>
      <c r="B94" s="1" t="s">
        <v>154</v>
      </c>
      <c r="C94" t="str">
        <f>VLOOKUP(B94,CoreProteinGroups!$B:$C,2,FALSE)</f>
        <v>VLTF-3</v>
      </c>
      <c r="D94" t="s">
        <v>215</v>
      </c>
      <c r="E94" s="6" t="str">
        <f t="shared" si="1"/>
        <v>PROT:AOP31598.1</v>
      </c>
      <c r="F94" t="s">
        <v>216</v>
      </c>
      <c r="G94" t="s">
        <v>97</v>
      </c>
      <c r="H94" t="s">
        <v>2686</v>
      </c>
      <c r="I94" t="str">
        <f>INDEX(Genomes!$I:$I,(MATCH(AllProteins!H94,Genomes!$B:$B,0)))</f>
        <v>KU749310-skunkpox_virus</v>
      </c>
      <c r="J94">
        <f>INDEX(Genomes!$A:$A,(MATCH(AllProteins!H94,Genomes!$B:$B,0)))</f>
        <v>45</v>
      </c>
      <c r="K94" t="str">
        <f>INDEX(Genomes!$J:$J,(MATCH(AllProteins!H94,Genomes!$B:$B,0)))</f>
        <v>Y</v>
      </c>
    </row>
    <row r="95" spans="1:11" x14ac:dyDescent="0.2">
      <c r="A95">
        <f>INDEX(CoreProteinGroups!A:A,MATCH(B95,CoreProteinGroups!B:B,0))</f>
        <v>6</v>
      </c>
      <c r="B95" s="1" t="s">
        <v>154</v>
      </c>
      <c r="C95" t="str">
        <f>VLOOKUP(B95,CoreProteinGroups!$B:$C,2,FALSE)</f>
        <v>VLTF-3</v>
      </c>
      <c r="D95" t="s">
        <v>217</v>
      </c>
      <c r="E95" s="6" t="str">
        <f t="shared" si="1"/>
        <v>PROT:ABD97688.1</v>
      </c>
      <c r="F95" t="s">
        <v>185</v>
      </c>
      <c r="G95" t="s">
        <v>99</v>
      </c>
      <c r="H95" t="s">
        <v>2691</v>
      </c>
      <c r="I95" t="str">
        <f>INDEX(Genomes!$I:$I,(MATCH(AllProteins!H95,Genomes!$B:$B,0)))</f>
        <v>DQ437594-taterapox_virus</v>
      </c>
      <c r="J95">
        <f>INDEX(Genomes!$A:$A,(MATCH(AllProteins!H95,Genomes!$B:$B,0)))</f>
        <v>50</v>
      </c>
      <c r="K95" t="str">
        <f>INDEX(Genomes!$J:$J,(MATCH(AllProteins!H95,Genomes!$B:$B,0)))</f>
        <v>Y</v>
      </c>
    </row>
    <row r="96" spans="1:11" x14ac:dyDescent="0.2">
      <c r="A96">
        <f>INDEX(CoreProteinGroups!A:A,MATCH(B96,CoreProteinGroups!B:B,0))</f>
        <v>6</v>
      </c>
      <c r="B96" s="1" t="s">
        <v>154</v>
      </c>
      <c r="C96" t="str">
        <f>VLOOKUP(B96,CoreProteinGroups!$B:$C,2,FALSE)</f>
        <v>VLTF-3</v>
      </c>
      <c r="D96" t="s">
        <v>218</v>
      </c>
      <c r="E96" s="6" t="str">
        <f t="shared" si="1"/>
        <v>PROT:AAO89399.1</v>
      </c>
      <c r="F96" t="s">
        <v>185</v>
      </c>
      <c r="G96" t="s">
        <v>101</v>
      </c>
      <c r="H96" t="s">
        <v>2693</v>
      </c>
      <c r="I96" t="str">
        <f>INDEX(Genomes!$I:$I,(MATCH(AllProteins!H96,Genomes!$B:$B,0)))</f>
        <v>AY243312-vaccinia_virus</v>
      </c>
      <c r="J96">
        <f>INDEX(Genomes!$A:$A,(MATCH(AllProteins!H96,Genomes!$B:$B,0)))</f>
        <v>52</v>
      </c>
      <c r="K96" t="str">
        <f>INDEX(Genomes!$J:$J,(MATCH(AllProteins!H96,Genomes!$B:$B,0)))</f>
        <v>Y</v>
      </c>
    </row>
    <row r="97" spans="1:11" x14ac:dyDescent="0.2">
      <c r="A97">
        <f>INDEX(CoreProteinGroups!A:A,MATCH(B97,CoreProteinGroups!B:B,0))</f>
        <v>6</v>
      </c>
      <c r="B97" s="1" t="s">
        <v>154</v>
      </c>
      <c r="C97" t="str">
        <f>VLOOKUP(B97,CoreProteinGroups!$B:$C,2,FALSE)</f>
        <v>VLTF-3</v>
      </c>
      <c r="D97" t="s">
        <v>219</v>
      </c>
      <c r="E97" s="6" t="str">
        <f t="shared" si="1"/>
        <v>PROT:CAA49046.1</v>
      </c>
      <c r="F97" t="s">
        <v>211</v>
      </c>
      <c r="G97" t="s">
        <v>2585</v>
      </c>
      <c r="H97" t="s">
        <v>2694</v>
      </c>
      <c r="I97" t="str">
        <f>INDEX(Genomes!$I:$I,(MATCH(AllProteins!H97,Genomes!$B:$B,0)))</f>
        <v>X69198-variola_major_virus</v>
      </c>
      <c r="J97">
        <f>INDEX(Genomes!$A:$A,(MATCH(AllProteins!H97,Genomes!$B:$B,0)))</f>
        <v>53</v>
      </c>
      <c r="K97" t="str">
        <f>INDEX(Genomes!$J:$J,(MATCH(AllProteins!H97,Genomes!$B:$B,0)))</f>
        <v>Y</v>
      </c>
    </row>
    <row r="98" spans="1:11" x14ac:dyDescent="0.2">
      <c r="A98">
        <f>INDEX(CoreProteinGroups!A:A,MATCH(B98,CoreProteinGroups!B:B,0))</f>
        <v>6</v>
      </c>
      <c r="B98" s="1" t="s">
        <v>154</v>
      </c>
      <c r="C98" t="str">
        <f>VLOOKUP(B98,CoreProteinGroups!$B:$C,2,FALSE)</f>
        <v>VLTF-3</v>
      </c>
      <c r="D98" t="s">
        <v>220</v>
      </c>
      <c r="E98" s="6" t="str">
        <f t="shared" si="1"/>
        <v>PROT:CAB54705.1</v>
      </c>
      <c r="F98" t="s">
        <v>221</v>
      </c>
      <c r="G98" t="s">
        <v>106</v>
      </c>
      <c r="H98" t="s">
        <v>2695</v>
      </c>
      <c r="I98" t="str">
        <f>INDEX(Genomes!$I:$I,(MATCH(AllProteins!H98,Genomes!$B:$B,0)))</f>
        <v>Y16780-variola_minor_virus</v>
      </c>
      <c r="J98">
        <f>INDEX(Genomes!$A:$A,(MATCH(AllProteins!H98,Genomes!$B:$B,0)))</f>
        <v>54</v>
      </c>
      <c r="K98" t="str">
        <f>INDEX(Genomes!$J:$J,(MATCH(AllProteins!H98,Genomes!$B:$B,0)))</f>
        <v>Y</v>
      </c>
    </row>
    <row r="99" spans="1:11" x14ac:dyDescent="0.2">
      <c r="A99">
        <f>INDEX(CoreProteinGroups!A:A,MATCH(B99,CoreProteinGroups!B:B,0))</f>
        <v>6</v>
      </c>
      <c r="B99" s="1" t="s">
        <v>154</v>
      </c>
      <c r="C99" t="str">
        <f>VLOOKUP(B99,CoreProteinGroups!$B:$C,2,FALSE)</f>
        <v>VLTF-3</v>
      </c>
      <c r="D99" t="s">
        <v>222</v>
      </c>
      <c r="E99" s="6" t="str">
        <f t="shared" si="1"/>
        <v>PROT:AOP31809.1</v>
      </c>
      <c r="F99" t="s">
        <v>216</v>
      </c>
      <c r="G99" t="s">
        <v>108</v>
      </c>
      <c r="H99" t="s">
        <v>2696</v>
      </c>
      <c r="I99" t="str">
        <f>INDEX(Genomes!$I:$I,(MATCH(AllProteins!H99,Genomes!$B:$B,0)))</f>
        <v>KU749311-volepox_virus</v>
      </c>
      <c r="J99">
        <f>INDEX(Genomes!$A:$A,(MATCH(AllProteins!H99,Genomes!$B:$B,0)))</f>
        <v>55</v>
      </c>
      <c r="K99" t="str">
        <f>INDEX(Genomes!$J:$J,(MATCH(AllProteins!H99,Genomes!$B:$B,0)))</f>
        <v>Y</v>
      </c>
    </row>
    <row r="100" spans="1:11" x14ac:dyDescent="0.2">
      <c r="A100">
        <f>INDEX(CoreProteinGroups!A:A,MATCH(B100,CoreProteinGroups!B:B,0))</f>
        <v>6</v>
      </c>
      <c r="B100" s="1" t="s">
        <v>154</v>
      </c>
      <c r="C100" t="str">
        <f>VLOOKUP(B100,CoreProteinGroups!$B:$C,2,FALSE)</f>
        <v>VLTF-3</v>
      </c>
      <c r="D100" t="s">
        <v>223</v>
      </c>
      <c r="E100" s="6" t="str">
        <f t="shared" si="1"/>
        <v>PROT:ASC55563.1</v>
      </c>
      <c r="F100" t="s">
        <v>224</v>
      </c>
      <c r="G100" t="s">
        <v>111</v>
      </c>
      <c r="H100" t="s">
        <v>2667</v>
      </c>
      <c r="I100" t="str">
        <f>INDEX(Genomes!$I:$I,(MATCH(AllProteins!H100,Genomes!$B:$B,0)))</f>
        <v>KY382358-seal_parapoxvirus</v>
      </c>
      <c r="J100">
        <f>INDEX(Genomes!$A:$A,(MATCH(AllProteins!H100,Genomes!$B:$B,0)))</f>
        <v>22</v>
      </c>
      <c r="K100" t="str">
        <f>INDEX(Genomes!$J:$J,(MATCH(AllProteins!H100,Genomes!$B:$B,0)))</f>
        <v>Y</v>
      </c>
    </row>
    <row r="101" spans="1:11" x14ac:dyDescent="0.2">
      <c r="A101">
        <f>INDEX(CoreProteinGroups!A:A,MATCH(B101,CoreProteinGroups!B:B,0))</f>
        <v>6</v>
      </c>
      <c r="B101" s="1" t="s">
        <v>154</v>
      </c>
      <c r="C101" t="str">
        <f>VLOOKUP(B101,CoreProteinGroups!$B:$C,2,FALSE)</f>
        <v>VLTF-3</v>
      </c>
      <c r="D101" t="s">
        <v>225</v>
      </c>
      <c r="E101" s="6" t="str">
        <f t="shared" si="1"/>
        <v>PROT:AAR98434.1</v>
      </c>
      <c r="F101" t="s">
        <v>226</v>
      </c>
      <c r="G101" t="s">
        <v>114</v>
      </c>
      <c r="H101" t="s">
        <v>2652</v>
      </c>
      <c r="I101" t="str">
        <f>INDEX(Genomes!$I:$I,(MATCH(AllProteins!H101,Genomes!$B:$B,0)))</f>
        <v>AY386265-bovine_papular_stomatitis_virus</v>
      </c>
      <c r="J101">
        <f>INDEX(Genomes!$A:$A,(MATCH(AllProteins!H101,Genomes!$B:$B,0)))</f>
        <v>6</v>
      </c>
      <c r="K101" t="str">
        <f>INDEX(Genomes!$J:$J,(MATCH(AllProteins!H101,Genomes!$B:$B,0)))</f>
        <v>Y</v>
      </c>
    </row>
    <row r="102" spans="1:11" x14ac:dyDescent="0.2">
      <c r="A102">
        <f>INDEX(CoreProteinGroups!A:A,MATCH(B102,CoreProteinGroups!B:B,0))</f>
        <v>6</v>
      </c>
      <c r="B102" s="1" t="s">
        <v>154</v>
      </c>
      <c r="C102" t="str">
        <f>VLOOKUP(B102,CoreProteinGroups!$B:$C,2,FALSE)</f>
        <v>VLTF-3</v>
      </c>
      <c r="D102" t="s">
        <v>227</v>
      </c>
      <c r="E102" s="6" t="str">
        <f t="shared" si="1"/>
        <v>PROT:AAR98302.1</v>
      </c>
      <c r="F102" t="s">
        <v>226</v>
      </c>
      <c r="G102" t="s">
        <v>2702</v>
      </c>
      <c r="H102" t="s">
        <v>2678</v>
      </c>
      <c r="I102" t="str">
        <f>INDEX(Genomes!$I:$I,(MATCH(AllProteins!H102,Genomes!$B:$B,0)))</f>
        <v>AY386264-orf_virus</v>
      </c>
      <c r="J102">
        <f>INDEX(Genomes!$A:$A,(MATCH(AllProteins!H102,Genomes!$B:$B,0)))</f>
        <v>35</v>
      </c>
      <c r="K102" t="str">
        <f>INDEX(Genomes!$J:$J,(MATCH(AllProteins!H102,Genomes!$B:$B,0)))</f>
        <v>Y</v>
      </c>
    </row>
    <row r="103" spans="1:11" x14ac:dyDescent="0.2">
      <c r="A103">
        <f>INDEX(CoreProteinGroups!A:A,MATCH(B103,CoreProteinGroups!B:B,0))</f>
        <v>6</v>
      </c>
      <c r="B103" s="1" t="s">
        <v>154</v>
      </c>
      <c r="C103" t="str">
        <f>VLOOKUP(B103,CoreProteinGroups!$B:$C,2,FALSE)</f>
        <v>VLTF-3</v>
      </c>
      <c r="D103" t="s">
        <v>228</v>
      </c>
      <c r="E103" s="6" t="str">
        <f t="shared" si="1"/>
        <v>PROT:ABA00594.1</v>
      </c>
      <c r="F103" t="s">
        <v>167</v>
      </c>
      <c r="G103" t="s">
        <v>2555</v>
      </c>
      <c r="H103" t="s">
        <v>2645</v>
      </c>
      <c r="I103" t="str">
        <f>INDEX(Genomes!$I:$I,(MATCH(AllProteins!H103,Genomes!$B:$B,0)))</f>
        <v>DQ184476-orf_virus_strain_NZ2</v>
      </c>
      <c r="J103">
        <f>INDEX(Genomes!$A:$A,(MATCH(AllProteins!H103,Genomes!$B:$B,0)))</f>
        <v>36</v>
      </c>
      <c r="K103" t="str">
        <f>INDEX(Genomes!$J:$J,(MATCH(AllProteins!H103,Genomes!$B:$B,0)))</f>
        <v>N</v>
      </c>
    </row>
    <row r="104" spans="1:11" x14ac:dyDescent="0.2">
      <c r="A104">
        <f>INDEX(CoreProteinGroups!A:A,MATCH(B104,CoreProteinGroups!B:B,0))</f>
        <v>6</v>
      </c>
      <c r="B104" s="1" t="s">
        <v>154</v>
      </c>
      <c r="C104" t="str">
        <f>VLOOKUP(B104,CoreProteinGroups!$B:$C,2,FALSE)</f>
        <v>VLTF-3</v>
      </c>
      <c r="D104" t="s">
        <v>229</v>
      </c>
      <c r="E104" s="6" t="str">
        <f t="shared" si="1"/>
        <v>PROT:AIZ77328.1</v>
      </c>
      <c r="F104" t="s">
        <v>203</v>
      </c>
      <c r="G104" t="s">
        <v>119</v>
      </c>
      <c r="H104" t="s">
        <v>2684</v>
      </c>
      <c r="I104" t="str">
        <f>INDEX(Genomes!$I:$I,(MATCH(AllProteins!H104,Genomes!$B:$B,0)))</f>
        <v>KM502564-parapoxvirus_red_deer</v>
      </c>
      <c r="J104">
        <f>INDEX(Genomes!$A:$A,(MATCH(AllProteins!H104,Genomes!$B:$B,0)))</f>
        <v>42</v>
      </c>
      <c r="K104" t="str">
        <f>INDEX(Genomes!$J:$J,(MATCH(AllProteins!H104,Genomes!$B:$B,0)))</f>
        <v>Y</v>
      </c>
    </row>
    <row r="105" spans="1:11" x14ac:dyDescent="0.2">
      <c r="A105">
        <f>INDEX(CoreProteinGroups!A:A,MATCH(B105,CoreProteinGroups!B:B,0))</f>
        <v>6</v>
      </c>
      <c r="B105" s="1" t="s">
        <v>154</v>
      </c>
      <c r="C105" t="str">
        <f>VLOOKUP(B105,CoreProteinGroups!$B:$C,2,FALSE)</f>
        <v>VLTF-3</v>
      </c>
      <c r="D105" t="s">
        <v>230</v>
      </c>
      <c r="E105" s="6" t="str">
        <f t="shared" si="1"/>
        <v>PROT:ADC53979.1</v>
      </c>
      <c r="F105" t="s">
        <v>167</v>
      </c>
      <c r="G105" t="s">
        <v>121</v>
      </c>
      <c r="H105" t="s">
        <v>2679</v>
      </c>
      <c r="I105" t="str">
        <f>INDEX(Genomes!$I:$I,(MATCH(AllProteins!H105,Genomes!$B:$B,0)))</f>
        <v>GQ329670-pseudocowpox_virus</v>
      </c>
      <c r="J105">
        <f>INDEX(Genomes!$A:$A,(MATCH(AllProteins!H105,Genomes!$B:$B,0)))</f>
        <v>37</v>
      </c>
      <c r="K105" t="str">
        <f>INDEX(Genomes!$J:$J,(MATCH(AllProteins!H105,Genomes!$B:$B,0)))</f>
        <v>Y</v>
      </c>
    </row>
    <row r="106" spans="1:11" x14ac:dyDescent="0.2">
      <c r="A106">
        <f>INDEX(CoreProteinGroups!A:A,MATCH(B106,CoreProteinGroups!B:B,0))</f>
        <v>6</v>
      </c>
      <c r="B106" s="1" t="s">
        <v>154</v>
      </c>
      <c r="C106" t="str">
        <f>VLOOKUP(B106,CoreProteinGroups!$B:$C,2,FALSE)</f>
        <v>VLTF-3</v>
      </c>
      <c r="D106" t="s">
        <v>231</v>
      </c>
      <c r="E106" s="6" t="str">
        <f t="shared" si="1"/>
        <v>PROT:AAL69828.1</v>
      </c>
      <c r="F106" t="s">
        <v>232</v>
      </c>
      <c r="G106" t="s">
        <v>124</v>
      </c>
      <c r="H106" t="s">
        <v>2690</v>
      </c>
      <c r="I106" t="str">
        <f>INDEX(Genomes!$I:$I,(MATCH(AllProteins!H106,Genomes!$B:$B,0)))</f>
        <v>AF410153-swinepox_virus</v>
      </c>
      <c r="J106">
        <f>INDEX(Genomes!$A:$A,(MATCH(AllProteins!H106,Genomes!$B:$B,0)))</f>
        <v>49</v>
      </c>
      <c r="K106" t="str">
        <f>INDEX(Genomes!$J:$J,(MATCH(AllProteins!H106,Genomes!$B:$B,0)))</f>
        <v>Y</v>
      </c>
    </row>
    <row r="107" spans="1:11" x14ac:dyDescent="0.2">
      <c r="A107">
        <f>INDEX(CoreProteinGroups!A:A,MATCH(B107,CoreProteinGroups!B:B,0))</f>
        <v>6</v>
      </c>
      <c r="B107" s="1" t="s">
        <v>154</v>
      </c>
      <c r="C107" t="str">
        <f>VLOOKUP(B107,CoreProteinGroups!$B:$C,2,FALSE)</f>
        <v>VLTF-3</v>
      </c>
      <c r="D107" t="s">
        <v>233</v>
      </c>
      <c r="E107" s="6" t="str">
        <f t="shared" si="1"/>
        <v>PROT:CAC21330.1</v>
      </c>
      <c r="F107" t="s">
        <v>234</v>
      </c>
      <c r="G107" t="s">
        <v>127</v>
      </c>
      <c r="H107" t="s">
        <v>2699</v>
      </c>
      <c r="I107" t="str">
        <f>INDEX(Genomes!$I:$I,(MATCH(AllProteins!H107,Genomes!$B:$B,0)))</f>
        <v>AJ293568-tanapox_virus</v>
      </c>
      <c r="J107">
        <f>INDEX(Genomes!$A:$A,(MATCH(AllProteins!H107,Genomes!$B:$B,0)))</f>
        <v>58</v>
      </c>
      <c r="K107" t="str">
        <f>INDEX(Genomes!$J:$J,(MATCH(AllProteins!H107,Genomes!$B:$B,0)))</f>
        <v>Y</v>
      </c>
    </row>
    <row r="108" spans="1:11" x14ac:dyDescent="0.2">
      <c r="A108">
        <f>INDEX(CoreProteinGroups!A:A,MATCH(B108,CoreProteinGroups!B:B,0))</f>
        <v>6</v>
      </c>
      <c r="B108" s="1" t="s">
        <v>154</v>
      </c>
      <c r="C108" t="str">
        <f>VLOOKUP(B108,CoreProteinGroups!$B:$C,2,FALSE)</f>
        <v>VLTF-3</v>
      </c>
      <c r="D108" t="s">
        <v>235</v>
      </c>
      <c r="E108" s="6" t="str">
        <f t="shared" si="1"/>
        <v>PROT:AAR07448.1</v>
      </c>
      <c r="F108" t="s">
        <v>236</v>
      </c>
      <c r="G108" t="s">
        <v>130</v>
      </c>
      <c r="H108" t="s">
        <v>2700</v>
      </c>
      <c r="I108" t="str">
        <f>INDEX(Genomes!$I:$I,(MATCH(AllProteins!H108,Genomes!$B:$B,0)))</f>
        <v>AY386371-Yaba_monkey_tumor_virus</v>
      </c>
      <c r="J108">
        <f>INDEX(Genomes!$A:$A,(MATCH(AllProteins!H108,Genomes!$B:$B,0)))</f>
        <v>59</v>
      </c>
      <c r="K108" t="str">
        <f>INDEX(Genomes!$J:$J,(MATCH(AllProteins!H108,Genomes!$B:$B,0)))</f>
        <v>Y</v>
      </c>
    </row>
    <row r="109" spans="1:11" x14ac:dyDescent="0.2">
      <c r="A109">
        <f>INDEX(CoreProteinGroups!A:A,MATCH(B109,CoreProteinGroups!B:B,0))</f>
        <v>6</v>
      </c>
      <c r="B109" s="1" t="s">
        <v>154</v>
      </c>
      <c r="C109" t="str">
        <f>VLOOKUP(B109,CoreProteinGroups!$B:$C,2,FALSE)</f>
        <v>VLTF-3</v>
      </c>
      <c r="D109" t="s">
        <v>237</v>
      </c>
      <c r="E109" s="6" t="str">
        <f t="shared" si="1"/>
        <v>PROT:AAC97623.1</v>
      </c>
      <c r="F109" t="s">
        <v>238</v>
      </c>
      <c r="G109" t="s">
        <v>133</v>
      </c>
      <c r="H109" t="s">
        <v>2674</v>
      </c>
      <c r="I109" t="str">
        <f>INDEX(Genomes!$I:$I,(MATCH(AllProteins!H109,Genomes!$B:$B,0)))</f>
        <v>AF063866-Melanoplus_sanguinipes_entomopoxvirus</v>
      </c>
      <c r="J109">
        <f>INDEX(Genomes!$A:$A,(MATCH(AllProteins!H109,Genomes!$B:$B,0)))</f>
        <v>30</v>
      </c>
      <c r="K109" t="str">
        <f>INDEX(Genomes!$J:$J,(MATCH(AllProteins!H109,Genomes!$B:$B,0)))</f>
        <v>Y</v>
      </c>
    </row>
    <row r="110" spans="1:11" x14ac:dyDescent="0.2">
      <c r="A110">
        <f>INDEX(CoreProteinGroups!A:A,MATCH(B110,CoreProteinGroups!B:B,0))</f>
        <v>6</v>
      </c>
      <c r="B110" s="1" t="s">
        <v>154</v>
      </c>
      <c r="C110" t="str">
        <f>VLOOKUP(B110,CoreProteinGroups!$B:$C,2,FALSE)</f>
        <v>VLTF-3</v>
      </c>
      <c r="D110" t="s">
        <v>239</v>
      </c>
      <c r="E110" s="6" t="str">
        <f t="shared" si="1"/>
        <v>PROT:BAO49552.1</v>
      </c>
      <c r="F110" t="s">
        <v>173</v>
      </c>
      <c r="G110" t="s">
        <v>136</v>
      </c>
      <c r="H110" t="s">
        <v>2648</v>
      </c>
      <c r="I110" t="str">
        <f>INDEX(Genomes!$I:$I,(MATCH(AllProteins!H110,Genomes!$B:$B,0)))</f>
        <v>AP013055-Anomala_cuprea_entomopoxvirus</v>
      </c>
      <c r="J110">
        <f>INDEX(Genomes!$A:$A,(MATCH(AllProteins!H110,Genomes!$B:$B,0)))</f>
        <v>2</v>
      </c>
      <c r="K110" t="str">
        <f>INDEX(Genomes!$J:$J,(MATCH(AllProteins!H110,Genomes!$B:$B,0)))</f>
        <v>Y</v>
      </c>
    </row>
    <row r="111" spans="1:11" x14ac:dyDescent="0.2">
      <c r="A111">
        <f>INDEX(CoreProteinGroups!A:A,MATCH(B111,CoreProteinGroups!B:B,0))</f>
        <v>6</v>
      </c>
      <c r="B111" s="1" t="s">
        <v>154</v>
      </c>
      <c r="C111" t="str">
        <f>VLOOKUP(B111,CoreProteinGroups!$B:$C,2,FALSE)</f>
        <v>VLTF-3</v>
      </c>
      <c r="D111" t="s">
        <v>240</v>
      </c>
      <c r="E111" s="6" t="str">
        <f t="shared" si="1"/>
        <v>PROT:CCU55463.1</v>
      </c>
      <c r="F111" t="s">
        <v>241</v>
      </c>
      <c r="G111" t="s">
        <v>138</v>
      </c>
      <c r="H111" t="s">
        <v>2649</v>
      </c>
      <c r="I111" t="str">
        <f>INDEX(Genomes!$I:$I,(MATCH(AllProteins!H111,Genomes!$B:$B,0)))</f>
        <v>HF679131-Adoxophyes_honmai_entomopoxvirus</v>
      </c>
      <c r="J111">
        <f>INDEX(Genomes!$A:$A,(MATCH(AllProteins!H111,Genomes!$B:$B,0)))</f>
        <v>3</v>
      </c>
      <c r="K111" t="str">
        <f>INDEX(Genomes!$J:$J,(MATCH(AllProteins!H111,Genomes!$B:$B,0)))</f>
        <v>Y</v>
      </c>
    </row>
    <row r="112" spans="1:11" x14ac:dyDescent="0.2">
      <c r="A112">
        <f>INDEX(CoreProteinGroups!A:A,MATCH(B112,CoreProteinGroups!B:B,0))</f>
        <v>6</v>
      </c>
      <c r="B112" s="1" t="s">
        <v>154</v>
      </c>
      <c r="C112" t="str">
        <f>VLOOKUP(B112,CoreProteinGroups!$B:$C,2,FALSE)</f>
        <v>VLTF-3</v>
      </c>
      <c r="D112" t="s">
        <v>242</v>
      </c>
      <c r="E112" s="6" t="str">
        <f t="shared" si="1"/>
        <v>PROT:AAG02911.1</v>
      </c>
      <c r="F112" t="s">
        <v>243</v>
      </c>
      <c r="G112" t="s">
        <v>141</v>
      </c>
      <c r="H112" t="s">
        <v>2651</v>
      </c>
      <c r="I112" t="str">
        <f>INDEX(Genomes!$I:$I,(MATCH(AllProteins!H112,Genomes!$B:$B,0)))</f>
        <v>AF250284-Amsacta_moorei_entomopoxvirus</v>
      </c>
      <c r="J112">
        <f>INDEX(Genomes!$A:$A,(MATCH(AllProteins!H112,Genomes!$B:$B,0)))</f>
        <v>5</v>
      </c>
      <c r="K112" t="str">
        <f>INDEX(Genomes!$J:$J,(MATCH(AllProteins!H112,Genomes!$B:$B,0)))</f>
        <v>Y</v>
      </c>
    </row>
    <row r="113" spans="1:11" x14ac:dyDescent="0.2">
      <c r="A113">
        <f>INDEX(CoreProteinGroups!A:A,MATCH(B113,CoreProteinGroups!B:B,0))</f>
        <v>6</v>
      </c>
      <c r="B113" s="1" t="s">
        <v>154</v>
      </c>
      <c r="C113" t="str">
        <f>VLOOKUP(B113,CoreProteinGroups!$B:$C,2,FALSE)</f>
        <v>VLTF-3</v>
      </c>
      <c r="D113" t="s">
        <v>244</v>
      </c>
      <c r="E113" s="6" t="str">
        <f t="shared" si="1"/>
        <v>PROT:CCU55803.1</v>
      </c>
      <c r="F113" t="s">
        <v>241</v>
      </c>
      <c r="G113" t="s">
        <v>143</v>
      </c>
      <c r="H113" t="s">
        <v>2656</v>
      </c>
      <c r="I113" t="str">
        <f>INDEX(Genomes!$I:$I,(MATCH(AllProteins!H113,Genomes!$B:$B,0)))</f>
        <v>HF679132-Choristoneura_biennis_entomopoxvirus</v>
      </c>
      <c r="J113">
        <f>INDEX(Genomes!$A:$A,(MATCH(AllProteins!H113,Genomes!$B:$B,0)))</f>
        <v>10</v>
      </c>
      <c r="K113" t="str">
        <f>INDEX(Genomes!$J:$J,(MATCH(AllProteins!H113,Genomes!$B:$B,0)))</f>
        <v>Y</v>
      </c>
    </row>
    <row r="114" spans="1:11" x14ac:dyDescent="0.2">
      <c r="A114">
        <f>INDEX(CoreProteinGroups!A:A,MATCH(B114,CoreProteinGroups!B:B,0))</f>
        <v>6</v>
      </c>
      <c r="B114" s="1" t="s">
        <v>154</v>
      </c>
      <c r="C114" t="str">
        <f>VLOOKUP(B114,CoreProteinGroups!$B:$C,2,FALSE)</f>
        <v>VLTF-3</v>
      </c>
      <c r="D114" t="s">
        <v>245</v>
      </c>
      <c r="E114" s="6" t="str">
        <f t="shared" si="1"/>
        <v>PROT:CCU56105.1</v>
      </c>
      <c r="F114" t="s">
        <v>241</v>
      </c>
      <c r="G114" t="s">
        <v>145</v>
      </c>
      <c r="H114" t="s">
        <v>2660</v>
      </c>
      <c r="I114" t="str">
        <f>INDEX(Genomes!$I:$I,(MATCH(AllProteins!H114,Genomes!$B:$B,0)))</f>
        <v>HF679133-Choristoneura_rosaceana_entomopoxvirus</v>
      </c>
      <c r="J114">
        <f>INDEX(Genomes!$A:$A,(MATCH(AllProteins!H114,Genomes!$B:$B,0)))</f>
        <v>14</v>
      </c>
      <c r="K114" t="str">
        <f>INDEX(Genomes!$J:$J,(MATCH(AllProteins!H114,Genomes!$B:$B,0)))</f>
        <v>Y</v>
      </c>
    </row>
    <row r="115" spans="1:11" x14ac:dyDescent="0.2">
      <c r="A115">
        <f>INDEX(CoreProteinGroups!A:A,MATCH(B115,CoreProteinGroups!B:B,0))</f>
        <v>6</v>
      </c>
      <c r="B115" s="1" t="s">
        <v>154</v>
      </c>
      <c r="C115" t="str">
        <f>VLOOKUP(B115,CoreProteinGroups!$B:$C,2,FALSE)</f>
        <v>VLTF-3</v>
      </c>
      <c r="D115" t="s">
        <v>246</v>
      </c>
      <c r="E115" s="6" t="str">
        <f t="shared" si="1"/>
        <v>PROT:CCU56429.1</v>
      </c>
      <c r="F115" t="s">
        <v>241</v>
      </c>
      <c r="G115" t="s">
        <v>147</v>
      </c>
      <c r="H115" t="s">
        <v>2675</v>
      </c>
      <c r="I115" t="str">
        <f>INDEX(Genomes!$I:$I,(MATCH(AllProteins!H115,Genomes!$B:$B,0)))</f>
        <v>HF679134-Mythimna_separata_entomopoxvirus</v>
      </c>
      <c r="J115">
        <f>INDEX(Genomes!$A:$A,(MATCH(AllProteins!H115,Genomes!$B:$B,0)))</f>
        <v>31</v>
      </c>
      <c r="K115" t="str">
        <f>INDEX(Genomes!$J:$J,(MATCH(AllProteins!H115,Genomes!$B:$B,0)))</f>
        <v>Y</v>
      </c>
    </row>
    <row r="116" spans="1:11" x14ac:dyDescent="0.2">
      <c r="A116">
        <f>INDEX(CoreProteinGroups!A:A,MATCH(B116,CoreProteinGroups!B:B,0))</f>
        <v>6</v>
      </c>
      <c r="B116" s="1" t="s">
        <v>154</v>
      </c>
      <c r="C116" t="str">
        <f>VLOOKUP(B116,CoreProteinGroups!$B:$C,2,FALSE)</f>
        <v>VLTF-3</v>
      </c>
      <c r="D116" t="s">
        <v>247</v>
      </c>
      <c r="E116" s="6" t="str">
        <f t="shared" si="1"/>
        <v>PROT:NP_659664.1</v>
      </c>
      <c r="F116" t="s">
        <v>248</v>
      </c>
      <c r="G116" t="s">
        <v>150</v>
      </c>
      <c r="H116" t="s">
        <v>2620</v>
      </c>
      <c r="I116" t="str">
        <f>INDEX(Genomes!$I:$I,(MATCH(AllProteins!H116,Genomes!$B:$B,0)))</f>
        <v>NC_004002-sheeppox_virus</v>
      </c>
      <c r="J116">
        <f>INDEX(Genomes!$A:$A,(MATCH(AllProteins!H116,Genomes!$B:$B,0)))</f>
        <v>44</v>
      </c>
      <c r="K116" t="str">
        <f>INDEX(Genomes!$J:$J,(MATCH(AllProteins!H116,Genomes!$B:$B,0)))</f>
        <v>Y</v>
      </c>
    </row>
    <row r="117" spans="1:11" x14ac:dyDescent="0.2">
      <c r="A117">
        <f>INDEX(CoreProteinGroups!A:A,MATCH(B117,CoreProteinGroups!B:B,0))</f>
        <v>6</v>
      </c>
      <c r="B117" s="1" t="s">
        <v>154</v>
      </c>
      <c r="C117" t="str">
        <f>VLOOKUP(B117,CoreProteinGroups!$B:$C,2,FALSE)</f>
        <v>VLTF-3</v>
      </c>
      <c r="D117" t="s">
        <v>249</v>
      </c>
      <c r="E117" s="6" t="str">
        <f t="shared" si="1"/>
        <v>PROT:YP_001293283.1</v>
      </c>
      <c r="F117" t="s">
        <v>250</v>
      </c>
      <c r="G117" t="s">
        <v>153</v>
      </c>
      <c r="H117" t="s">
        <v>2644</v>
      </c>
      <c r="I117" t="str">
        <f>INDEX(Genomes!$I:$I,(MATCH(AllProteins!H117,Genomes!$B:$B,0)))</f>
        <v>NC_004003-goatpox_virus</v>
      </c>
      <c r="J117">
        <f>INDEX(Genomes!$A:$A,(MATCH(AllProteins!H117,Genomes!$B:$B,0)))</f>
        <v>23</v>
      </c>
      <c r="K117" t="str">
        <f>INDEX(Genomes!$J:$J,(MATCH(AllProteins!H117,Genomes!$B:$B,0)))</f>
        <v>Y</v>
      </c>
    </row>
    <row r="118" spans="1:11" x14ac:dyDescent="0.2">
      <c r="A118">
        <f>INDEX(CoreProteinGroups!A:A,MATCH(B118,CoreProteinGroups!B:B,0))</f>
        <v>2</v>
      </c>
      <c r="B118" s="1" t="s">
        <v>251</v>
      </c>
      <c r="C118" t="str">
        <f>VLOOKUP(B118,CoreProteinGroups!$B:$C,2,FALSE)</f>
        <v>holliday junction resolvase</v>
      </c>
      <c r="D118" t="s">
        <v>253</v>
      </c>
      <c r="E118" s="6" t="str">
        <f t="shared" si="1"/>
        <v>PROT:ATI21224.1</v>
      </c>
      <c r="F118" t="s">
        <v>254</v>
      </c>
      <c r="G118" t="s">
        <v>11</v>
      </c>
      <c r="H118" t="s">
        <v>2663</v>
      </c>
      <c r="I118" t="str">
        <f>INDEX(Genomes!$I:$I,(MATCH(AllProteins!H118,Genomes!$B:$B,0)))</f>
        <v>MF467281-Eastern_grey_kangaroopox_virus</v>
      </c>
      <c r="J118">
        <f>INDEX(Genomes!$A:$A,(MATCH(AllProteins!H118,Genomes!$B:$B,0)))</f>
        <v>18</v>
      </c>
      <c r="K118" t="str">
        <f>INDEX(Genomes!$J:$J,(MATCH(AllProteins!H118,Genomes!$B:$B,0)))</f>
        <v>Y</v>
      </c>
    </row>
    <row r="119" spans="1:11" x14ac:dyDescent="0.2">
      <c r="A119">
        <f>INDEX(CoreProteinGroups!A:A,MATCH(B119,CoreProteinGroups!B:B,0))</f>
        <v>2</v>
      </c>
      <c r="B119" s="1" t="s">
        <v>251</v>
      </c>
      <c r="C119" t="str">
        <f>VLOOKUP(B119,CoreProteinGroups!$B:$C,2,FALSE)</f>
        <v>holliday junction resolvase</v>
      </c>
      <c r="D119" t="s">
        <v>255</v>
      </c>
      <c r="E119" s="6" t="str">
        <f t="shared" si="1"/>
        <v>PROT:AWU47157.1</v>
      </c>
      <c r="F119" t="s">
        <v>254</v>
      </c>
      <c r="G119" t="s">
        <v>13</v>
      </c>
      <c r="H119" t="s">
        <v>2688</v>
      </c>
      <c r="I119" t="str">
        <f>INDEX(Genomes!$I:$I,(MATCH(AllProteins!H119,Genomes!$B:$B,0)))</f>
        <v>MH427217-sea_otter_poxvirus</v>
      </c>
      <c r="J119">
        <f>INDEX(Genomes!$A:$A,(MATCH(AllProteins!H119,Genomes!$B:$B,0)))</f>
        <v>47</v>
      </c>
      <c r="K119" t="str">
        <f>INDEX(Genomes!$J:$J,(MATCH(AllProteins!H119,Genomes!$B:$B,0)))</f>
        <v>Y</v>
      </c>
    </row>
    <row r="120" spans="1:11" x14ac:dyDescent="0.2">
      <c r="A120">
        <f>INDEX(CoreProteinGroups!A:A,MATCH(B120,CoreProteinGroups!B:B,0))</f>
        <v>2</v>
      </c>
      <c r="B120" s="1" t="s">
        <v>251</v>
      </c>
      <c r="C120" t="str">
        <f>VLOOKUP(B120,CoreProteinGroups!$B:$C,2,FALSE)</f>
        <v>holliday junction resolvase</v>
      </c>
      <c r="D120" t="s">
        <v>256</v>
      </c>
      <c r="E120" s="6" t="str">
        <f t="shared" si="1"/>
        <v>PROT:APG58332.1</v>
      </c>
      <c r="F120" t="s">
        <v>257</v>
      </c>
      <c r="G120" t="s">
        <v>16</v>
      </c>
      <c r="H120" t="s">
        <v>2653</v>
      </c>
      <c r="I120" t="str">
        <f>INDEX(Genomes!$I:$I,(MATCH(AllProteins!H120,Genomes!$B:$B,0)))</f>
        <v>KY094066-BeAn_58058_virus</v>
      </c>
      <c r="J120">
        <f>INDEX(Genomes!$A:$A,(MATCH(AllProteins!H120,Genomes!$B:$B,0)))</f>
        <v>7</v>
      </c>
      <c r="K120" t="str">
        <f>INDEX(Genomes!$J:$J,(MATCH(AllProteins!H120,Genomes!$B:$B,0)))</f>
        <v>N</v>
      </c>
    </row>
    <row r="121" spans="1:11" x14ac:dyDescent="0.2">
      <c r="A121">
        <f>INDEX(CoreProteinGroups!A:A,MATCH(B121,CoreProteinGroups!B:B,0))</f>
        <v>2</v>
      </c>
      <c r="B121" s="1" t="s">
        <v>251</v>
      </c>
      <c r="C121" t="str">
        <f>VLOOKUP(B121,CoreProteinGroups!$B:$C,2,FALSE)</f>
        <v>holliday junction resolvase</v>
      </c>
      <c r="D121" t="s">
        <v>258</v>
      </c>
      <c r="E121" s="6" t="str">
        <f t="shared" si="1"/>
        <v>PROT:ADT91141.1</v>
      </c>
      <c r="F121" t="s">
        <v>254</v>
      </c>
      <c r="G121" t="s">
        <v>19</v>
      </c>
      <c r="H121" t="s">
        <v>2658</v>
      </c>
      <c r="I121" t="str">
        <f>INDEX(Genomes!$I:$I,(MATCH(AllProteins!H121,Genomes!$B:$B,0)))</f>
        <v>HQ647181-Cotia_virus</v>
      </c>
      <c r="J121">
        <f>INDEX(Genomes!$A:$A,(MATCH(AllProteins!H121,Genomes!$B:$B,0)))</f>
        <v>12</v>
      </c>
      <c r="K121" t="str">
        <f>INDEX(Genomes!$J:$J,(MATCH(AllProteins!H121,Genomes!$B:$B,0)))</f>
        <v>Y</v>
      </c>
    </row>
    <row r="122" spans="1:11" x14ac:dyDescent="0.2">
      <c r="A122">
        <f>INDEX(CoreProteinGroups!A:A,MATCH(B122,CoreProteinGroups!B:B,0))</f>
        <v>2</v>
      </c>
      <c r="B122" s="1" t="s">
        <v>251</v>
      </c>
      <c r="C122" t="str">
        <f>VLOOKUP(B122,CoreProteinGroups!$B:$C,2,FALSE)</f>
        <v>holliday junction resolvase</v>
      </c>
      <c r="D122" t="s">
        <v>259</v>
      </c>
      <c r="E122" s="6" t="str">
        <f t="shared" si="1"/>
        <v>PROT:ANS71201.1</v>
      </c>
      <c r="F122" t="s">
        <v>252</v>
      </c>
      <c r="G122" t="s">
        <v>21</v>
      </c>
      <c r="H122" t="s">
        <v>2682</v>
      </c>
      <c r="I122" t="str">
        <f>INDEX(Genomes!$I:$I,(MATCH(AllProteins!H122,Genomes!$B:$B,0)))</f>
        <v>KU980965-pteropox_virus</v>
      </c>
      <c r="J122">
        <f>INDEX(Genomes!$A:$A,(MATCH(AllProteins!H122,Genomes!$B:$B,0)))</f>
        <v>40</v>
      </c>
      <c r="K122" t="str">
        <f>INDEX(Genomes!$J:$J,(MATCH(AllProteins!H122,Genomes!$B:$B,0)))</f>
        <v>Y</v>
      </c>
    </row>
    <row r="123" spans="1:11" x14ac:dyDescent="0.2">
      <c r="A123">
        <f>INDEX(CoreProteinGroups!A:A,MATCH(B123,CoreProteinGroups!B:B,0))</f>
        <v>2</v>
      </c>
      <c r="B123" s="1" t="s">
        <v>251</v>
      </c>
      <c r="C123" t="str">
        <f>VLOOKUP(B123,CoreProteinGroups!$B:$C,2,FALSE)</f>
        <v>holliday junction resolvase</v>
      </c>
      <c r="D123" t="s">
        <v>260</v>
      </c>
      <c r="E123" s="6" t="str">
        <f t="shared" si="1"/>
        <v>PROT:AKR04248.1</v>
      </c>
      <c r="F123" t="s">
        <v>261</v>
      </c>
      <c r="G123" t="s">
        <v>24</v>
      </c>
      <c r="H123" t="s">
        <v>2687</v>
      </c>
      <c r="I123" t="str">
        <f>INDEX(Genomes!$I:$I,(MATCH(AllProteins!H123,Genomes!$B:$B,0)))</f>
        <v>KT159937-salmon_gill_poxvirus</v>
      </c>
      <c r="J123">
        <f>INDEX(Genomes!$A:$A,(MATCH(AllProteins!H123,Genomes!$B:$B,0)))</f>
        <v>46</v>
      </c>
      <c r="K123" t="str">
        <f>INDEX(Genomes!$J:$J,(MATCH(AllProteins!H123,Genomes!$B:$B,0)))</f>
        <v>Y</v>
      </c>
    </row>
    <row r="124" spans="1:11" x14ac:dyDescent="0.2">
      <c r="A124">
        <f>INDEX(CoreProteinGroups!A:A,MATCH(B124,CoreProteinGroups!B:B,0))</f>
        <v>2</v>
      </c>
      <c r="B124" s="1" t="s">
        <v>251</v>
      </c>
      <c r="C124" t="str">
        <f>VLOOKUP(B124,CoreProteinGroups!$B:$C,2,FALSE)</f>
        <v>holliday junction resolvase</v>
      </c>
      <c r="D124" t="s">
        <v>262</v>
      </c>
      <c r="E124" s="6" t="str">
        <f t="shared" si="1"/>
        <v>PROT:CCD83294.1</v>
      </c>
      <c r="F124" t="s">
        <v>263</v>
      </c>
      <c r="G124" t="s">
        <v>27</v>
      </c>
      <c r="H124" t="s">
        <v>2689</v>
      </c>
      <c r="I124" t="str">
        <f>INDEX(Genomes!$I:$I,(MATCH(AllProteins!H124,Genomes!$B:$B,0)))</f>
        <v>HE601899-squirrelpox_virus</v>
      </c>
      <c r="J124">
        <f>INDEX(Genomes!$A:$A,(MATCH(AllProteins!H124,Genomes!$B:$B,0)))</f>
        <v>48</v>
      </c>
      <c r="K124" t="str">
        <f>INDEX(Genomes!$J:$J,(MATCH(AllProteins!H124,Genomes!$B:$B,0)))</f>
        <v>Y</v>
      </c>
    </row>
    <row r="125" spans="1:11" x14ac:dyDescent="0.2">
      <c r="A125">
        <f>INDEX(CoreProteinGroups!A:A,MATCH(B125,CoreProteinGroups!B:B,0))</f>
        <v>2</v>
      </c>
      <c r="B125" s="1" t="s">
        <v>251</v>
      </c>
      <c r="C125" t="str">
        <f>VLOOKUP(B125,CoreProteinGroups!$B:$C,2,FALSE)</f>
        <v>holliday junction resolvase</v>
      </c>
      <c r="D125" t="s">
        <v>264</v>
      </c>
      <c r="E125" s="6" t="str">
        <f t="shared" si="1"/>
        <v>PROT:ASK51320.1</v>
      </c>
      <c r="F125" t="s">
        <v>254</v>
      </c>
      <c r="G125" t="s">
        <v>30</v>
      </c>
      <c r="H125" t="s">
        <v>2664</v>
      </c>
      <c r="I125" t="str">
        <f>INDEX(Genomes!$I:$I,(MATCH(AllProteins!H125,Genomes!$B:$B,0)))</f>
        <v>KY747497-eptesipox_virus</v>
      </c>
      <c r="J125">
        <f>INDEX(Genomes!$A:$A,(MATCH(AllProteins!H125,Genomes!$B:$B,0)))</f>
        <v>19</v>
      </c>
      <c r="K125" t="str">
        <f>INDEX(Genomes!$J:$J,(MATCH(AllProteins!H125,Genomes!$B:$B,0)))</f>
        <v>Y</v>
      </c>
    </row>
    <row r="126" spans="1:11" x14ac:dyDescent="0.2">
      <c r="A126">
        <f>INDEX(CoreProteinGroups!A:A,MATCH(B126,CoreProteinGroups!B:B,0))</f>
        <v>2</v>
      </c>
      <c r="B126" s="1" t="s">
        <v>251</v>
      </c>
      <c r="C126" t="str">
        <f>VLOOKUP(B126,CoreProteinGroups!$B:$C,2,FALSE)</f>
        <v>holliday junction resolvase</v>
      </c>
      <c r="D126" t="s">
        <v>265</v>
      </c>
      <c r="E126" s="6" t="str">
        <f t="shared" si="1"/>
        <v>PROT:AUD40295.1</v>
      </c>
      <c r="F126" t="s">
        <v>254</v>
      </c>
      <c r="G126" t="s">
        <v>32</v>
      </c>
      <c r="H126" t="s">
        <v>2665</v>
      </c>
      <c r="I126" t="str">
        <f>INDEX(Genomes!$I:$I,(MATCH(AllProteins!H126,Genomes!$B:$B,0)))</f>
        <v>MF678796-flamingopox_virus</v>
      </c>
      <c r="J126">
        <f>INDEX(Genomes!$A:$A,(MATCH(AllProteins!H126,Genomes!$B:$B,0)))</f>
        <v>20</v>
      </c>
      <c r="K126" t="str">
        <f>INDEX(Genomes!$J:$J,(MATCH(AllProteins!H126,Genomes!$B:$B,0)))</f>
        <v>Y</v>
      </c>
    </row>
    <row r="127" spans="1:11" x14ac:dyDescent="0.2">
      <c r="A127">
        <f>INDEX(CoreProteinGroups!A:A,MATCH(B127,CoreProteinGroups!B:B,0))</f>
        <v>2</v>
      </c>
      <c r="B127" s="1" t="s">
        <v>251</v>
      </c>
      <c r="C127" t="str">
        <f>VLOOKUP(B127,CoreProteinGroups!$B:$C,2,FALSE)</f>
        <v>holliday junction resolvase</v>
      </c>
      <c r="D127" t="s">
        <v>266</v>
      </c>
      <c r="E127" s="6" t="str">
        <f t="shared" si="1"/>
        <v>PROT:AID46926.1</v>
      </c>
      <c r="F127" t="s">
        <v>267</v>
      </c>
      <c r="G127" t="s">
        <v>34</v>
      </c>
      <c r="H127" t="s">
        <v>2681</v>
      </c>
      <c r="I127" t="str">
        <f>INDEX(Genomes!$I:$I,(MATCH(AllProteins!H127,Genomes!$B:$B,0)))</f>
        <v>KJ859677-penguinpox_virus</v>
      </c>
      <c r="J127">
        <f>INDEX(Genomes!$A:$A,(MATCH(AllProteins!H127,Genomes!$B:$B,0)))</f>
        <v>39</v>
      </c>
      <c r="K127" t="str">
        <f>INDEX(Genomes!$J:$J,(MATCH(AllProteins!H127,Genomes!$B:$B,0)))</f>
        <v>Y</v>
      </c>
    </row>
    <row r="128" spans="1:11" x14ac:dyDescent="0.2">
      <c r="A128">
        <f>INDEX(CoreProteinGroups!A:A,MATCH(B128,CoreProteinGroups!B:B,0))</f>
        <v>2</v>
      </c>
      <c r="B128" s="1" t="s">
        <v>251</v>
      </c>
      <c r="C128" t="str">
        <f>VLOOKUP(B128,CoreProteinGroups!$B:$C,2,FALSE)</f>
        <v>holliday junction resolvase</v>
      </c>
      <c r="D128" t="s">
        <v>268</v>
      </c>
      <c r="E128" s="6" t="str">
        <f t="shared" si="1"/>
        <v>PROT:AID46694.1</v>
      </c>
      <c r="F128" t="s">
        <v>269</v>
      </c>
      <c r="G128" t="s">
        <v>36</v>
      </c>
      <c r="H128" t="s">
        <v>2680</v>
      </c>
      <c r="I128" t="str">
        <f>INDEX(Genomes!$I:$I,(MATCH(AllProteins!H128,Genomes!$B:$B,0)))</f>
        <v>KJ801920-pigeonpox_virus</v>
      </c>
      <c r="J128">
        <f>INDEX(Genomes!$A:$A,(MATCH(AllProteins!H128,Genomes!$B:$B,0)))</f>
        <v>38</v>
      </c>
      <c r="K128" t="str">
        <f>INDEX(Genomes!$J:$J,(MATCH(AllProteins!H128,Genomes!$B:$B,0)))</f>
        <v>Y</v>
      </c>
    </row>
    <row r="129" spans="1:11" x14ac:dyDescent="0.2">
      <c r="A129">
        <f>INDEX(CoreProteinGroups!A:A,MATCH(B129,CoreProteinGroups!B:B,0))</f>
        <v>2</v>
      </c>
      <c r="B129" s="1" t="s">
        <v>251</v>
      </c>
      <c r="C129" t="str">
        <f>VLOOKUP(B129,CoreProteinGroups!$B:$C,2,FALSE)</f>
        <v>holliday junction resolvase</v>
      </c>
      <c r="D129" t="s">
        <v>270</v>
      </c>
      <c r="E129" s="6" t="str">
        <f t="shared" si="1"/>
        <v>PROT:ALA62511.1</v>
      </c>
      <c r="F129" t="s">
        <v>271</v>
      </c>
      <c r="G129" t="s">
        <v>39</v>
      </c>
      <c r="H129" t="s">
        <v>2692</v>
      </c>
      <c r="I129" t="str">
        <f>INDEX(Genomes!$I:$I,(MATCH(AllProteins!H129,Genomes!$B:$B,0)))</f>
        <v>KP728110-turkeypox_virus</v>
      </c>
      <c r="J129">
        <f>INDEX(Genomes!$A:$A,(MATCH(AllProteins!H129,Genomes!$B:$B,0)))</f>
        <v>51</v>
      </c>
      <c r="K129" t="str">
        <f>INDEX(Genomes!$J:$J,(MATCH(AllProteins!H129,Genomes!$B:$B,0)))</f>
        <v>Y</v>
      </c>
    </row>
    <row r="130" spans="1:11" x14ac:dyDescent="0.2">
      <c r="A130">
        <f>INDEX(CoreProteinGroups!A:A,MATCH(B130,CoreProteinGroups!B:B,0))</f>
        <v>2</v>
      </c>
      <c r="B130" s="1" t="s">
        <v>251</v>
      </c>
      <c r="C130" t="str">
        <f>VLOOKUP(B130,CoreProteinGroups!$B:$C,2,FALSE)</f>
        <v>holliday junction resolvase</v>
      </c>
      <c r="D130" t="s">
        <v>272</v>
      </c>
      <c r="E130" s="6" t="str">
        <f t="shared" ref="E130:E193" si="2">HYPERLINK(_xlfn.CONCAT("https://www.ncbi.nlm.nih.gov/protein/",D130),_xlfn.CONCAT("PROT:",D130))</f>
        <v>PROT:AAR83607.1</v>
      </c>
      <c r="F130" t="s">
        <v>273</v>
      </c>
      <c r="G130" t="s">
        <v>42</v>
      </c>
      <c r="H130" t="s">
        <v>2657</v>
      </c>
      <c r="I130" t="str">
        <f>INDEX(Genomes!$I:$I,(MATCH(AllProteins!H130,Genomes!$B:$B,0)))</f>
        <v>AY318871-canarypox_virus</v>
      </c>
      <c r="J130">
        <f>INDEX(Genomes!$A:$A,(MATCH(AllProteins!H130,Genomes!$B:$B,0)))</f>
        <v>11</v>
      </c>
      <c r="K130" t="str">
        <f>INDEX(Genomes!$J:$J,(MATCH(AllProteins!H130,Genomes!$B:$B,0)))</f>
        <v>Y</v>
      </c>
    </row>
    <row r="131" spans="1:11" x14ac:dyDescent="0.2">
      <c r="A131">
        <f>INDEX(CoreProteinGroups!A:A,MATCH(B131,CoreProteinGroups!B:B,0))</f>
        <v>2</v>
      </c>
      <c r="B131" s="1" t="s">
        <v>251</v>
      </c>
      <c r="C131" t="str">
        <f>VLOOKUP(B131,CoreProteinGroups!$B:$C,2,FALSE)</f>
        <v>holliday junction resolvase</v>
      </c>
      <c r="D131" t="s">
        <v>274</v>
      </c>
      <c r="E131" s="6" t="str">
        <f t="shared" si="2"/>
        <v>PROT:AAF44531.1</v>
      </c>
      <c r="F131" t="s">
        <v>275</v>
      </c>
      <c r="G131" t="s">
        <v>45</v>
      </c>
      <c r="H131" t="s">
        <v>2666</v>
      </c>
      <c r="I131" t="str">
        <f>INDEX(Genomes!$I:$I,(MATCH(AllProteins!H131,Genomes!$B:$B,0)))</f>
        <v>AF198100-fowlpox_virus</v>
      </c>
      <c r="J131">
        <f>INDEX(Genomes!$A:$A,(MATCH(AllProteins!H131,Genomes!$B:$B,0)))</f>
        <v>21</v>
      </c>
      <c r="K131" t="str">
        <f>INDEX(Genomes!$J:$J,(MATCH(AllProteins!H131,Genomes!$B:$B,0)))</f>
        <v>Y</v>
      </c>
    </row>
    <row r="132" spans="1:11" x14ac:dyDescent="0.2">
      <c r="A132">
        <f>INDEX(CoreProteinGroups!A:A,MATCH(B132,CoreProteinGroups!B:B,0))</f>
        <v>2</v>
      </c>
      <c r="B132" s="1" t="s">
        <v>251</v>
      </c>
      <c r="C132" t="str">
        <f>VLOOKUP(B132,CoreProteinGroups!$B:$C,2,FALSE)</f>
        <v>holliday junction resolvase</v>
      </c>
      <c r="D132" t="s">
        <v>276</v>
      </c>
      <c r="E132" s="6" t="str">
        <f t="shared" si="2"/>
        <v>PROT:AAK85075.1</v>
      </c>
      <c r="F132" t="s">
        <v>277</v>
      </c>
      <c r="G132" t="s">
        <v>48</v>
      </c>
      <c r="H132" t="s">
        <v>2669</v>
      </c>
      <c r="I132" t="str">
        <f>INDEX(Genomes!$I:$I,(MATCH(AllProteins!H132,Genomes!$B:$B,0)))</f>
        <v>AF325528-lumpy_skin_disease_virus</v>
      </c>
      <c r="J132">
        <f>INDEX(Genomes!$A:$A,(MATCH(AllProteins!H132,Genomes!$B:$B,0)))</f>
        <v>25</v>
      </c>
      <c r="K132" t="str">
        <f>INDEX(Genomes!$J:$J,(MATCH(AllProteins!H132,Genomes!$B:$B,0)))</f>
        <v>Y</v>
      </c>
    </row>
    <row r="133" spans="1:11" x14ac:dyDescent="0.2">
      <c r="A133">
        <f>INDEX(CoreProteinGroups!A:A,MATCH(B133,CoreProteinGroups!B:B,0))</f>
        <v>2</v>
      </c>
      <c r="B133" s="1" t="s">
        <v>251</v>
      </c>
      <c r="C133" t="str">
        <f>VLOOKUP(B133,CoreProteinGroups!$B:$C,2,FALSE)</f>
        <v>holliday junction resolvase</v>
      </c>
      <c r="D133" t="s">
        <v>278</v>
      </c>
      <c r="E133" s="6" t="str">
        <f t="shared" si="2"/>
        <v>PROT:AST09333.1</v>
      </c>
      <c r="F133" t="s">
        <v>252</v>
      </c>
      <c r="G133" t="s">
        <v>50</v>
      </c>
      <c r="H133" t="s">
        <v>2671</v>
      </c>
      <c r="I133" t="str">
        <f>INDEX(Genomes!$I:$I,(MATCH(AllProteins!H133,Genomes!$B:$B,0)))</f>
        <v>MF001304-Murmansk_poxvirus</v>
      </c>
      <c r="J133">
        <f>INDEX(Genomes!$A:$A,(MATCH(AllProteins!H133,Genomes!$B:$B,0)))</f>
        <v>27</v>
      </c>
      <c r="K133" t="str">
        <f>INDEX(Genomes!$J:$J,(MATCH(AllProteins!H133,Genomes!$B:$B,0)))</f>
        <v>Y</v>
      </c>
    </row>
    <row r="134" spans="1:11" x14ac:dyDescent="0.2">
      <c r="A134">
        <f>INDEX(CoreProteinGroups!A:A,MATCH(B134,CoreProteinGroups!B:B,0))</f>
        <v>2</v>
      </c>
      <c r="B134" s="1" t="s">
        <v>251</v>
      </c>
      <c r="C134" t="str">
        <f>VLOOKUP(B134,CoreProteinGroups!$B:$C,2,FALSE)</f>
        <v>holliday junction resolvase</v>
      </c>
      <c r="D134" t="s">
        <v>279</v>
      </c>
      <c r="E134" s="6" t="str">
        <f t="shared" si="2"/>
        <v>PROT:AEN03715.1</v>
      </c>
      <c r="F134" t="s">
        <v>252</v>
      </c>
      <c r="G134" t="s">
        <v>52</v>
      </c>
      <c r="H134" t="s">
        <v>2698</v>
      </c>
      <c r="I134" t="str">
        <f>INDEX(Genomes!$I:$I,(MATCH(AllProteins!H134,Genomes!$B:$B,0)))</f>
        <v>HQ849551-yokapox_virus</v>
      </c>
      <c r="J134">
        <f>INDEX(Genomes!$A:$A,(MATCH(AllProteins!H134,Genomes!$B:$B,0)))</f>
        <v>57</v>
      </c>
      <c r="K134" t="str">
        <f>INDEX(Genomes!$J:$J,(MATCH(AllProteins!H134,Genomes!$B:$B,0)))</f>
        <v>Y</v>
      </c>
    </row>
    <row r="135" spans="1:11" x14ac:dyDescent="0.2">
      <c r="A135">
        <f>INDEX(CoreProteinGroups!A:A,MATCH(B135,CoreProteinGroups!B:B,0))</f>
        <v>2</v>
      </c>
      <c r="B135" s="1" t="s">
        <v>251</v>
      </c>
      <c r="C135" t="str">
        <f>VLOOKUP(B135,CoreProteinGroups!$B:$C,2,FALSE)</f>
        <v>holliday junction resolvase</v>
      </c>
      <c r="D135" t="s">
        <v>280</v>
      </c>
      <c r="E135" s="6" t="str">
        <f t="shared" si="2"/>
        <v>PROT:ABI99278.1</v>
      </c>
      <c r="F135" t="s">
        <v>252</v>
      </c>
      <c r="G135" t="s">
        <v>54</v>
      </c>
      <c r="H135" t="s">
        <v>2661</v>
      </c>
      <c r="I135" t="str">
        <f>INDEX(Genomes!$I:$I,(MATCH(AllProteins!H135,Genomes!$B:$B,0)))</f>
        <v>AY689436-mule_deerpox_virus</v>
      </c>
      <c r="J135">
        <f>INDEX(Genomes!$A:$A,(MATCH(AllProteins!H135,Genomes!$B:$B,0)))</f>
        <v>15</v>
      </c>
      <c r="K135" t="str">
        <f>INDEX(Genomes!$J:$J,(MATCH(AllProteins!H135,Genomes!$B:$B,0)))</f>
        <v>Y</v>
      </c>
    </row>
    <row r="136" spans="1:11" x14ac:dyDescent="0.2">
      <c r="A136">
        <f>INDEX(CoreProteinGroups!A:A,MATCH(B136,CoreProteinGroups!B:B,0))</f>
        <v>2</v>
      </c>
      <c r="B136" s="1" t="s">
        <v>251</v>
      </c>
      <c r="C136" t="str">
        <f>VLOOKUP(B136,CoreProteinGroups!$B:$C,2,FALSE)</f>
        <v>holliday junction resolvase</v>
      </c>
      <c r="D136" t="s">
        <v>281</v>
      </c>
      <c r="E136" s="6" t="str">
        <f t="shared" si="2"/>
        <v>PROT:ABJ09036.1</v>
      </c>
      <c r="F136" t="s">
        <v>252</v>
      </c>
      <c r="G136" t="s">
        <v>56</v>
      </c>
      <c r="H136" t="s">
        <v>2677</v>
      </c>
      <c r="I136" t="str">
        <f>INDEX(Genomes!$I:$I,(MATCH(AllProteins!H136,Genomes!$B:$B,0)))</f>
        <v>DQ356948-Nile_crocodilepox_virus</v>
      </c>
      <c r="J136">
        <f>INDEX(Genomes!$A:$A,(MATCH(AllProteins!H136,Genomes!$B:$B,0)))</f>
        <v>34</v>
      </c>
      <c r="K136" t="str">
        <f>INDEX(Genomes!$J:$J,(MATCH(AllProteins!H136,Genomes!$B:$B,0)))</f>
        <v>Y</v>
      </c>
    </row>
    <row r="137" spans="1:11" x14ac:dyDescent="0.2">
      <c r="A137">
        <f>INDEX(CoreProteinGroups!A:A,MATCH(B137,CoreProteinGroups!B:B,0))</f>
        <v>2</v>
      </c>
      <c r="B137" s="1" t="s">
        <v>251</v>
      </c>
      <c r="C137" t="str">
        <f>VLOOKUP(B137,CoreProteinGroups!$B:$C,2,FALSE)</f>
        <v>holliday junction resolvase</v>
      </c>
      <c r="D137" t="s">
        <v>282</v>
      </c>
      <c r="E137" s="6" t="str">
        <f t="shared" si="2"/>
        <v>PROT:AAF15000.1</v>
      </c>
      <c r="F137" t="s">
        <v>283</v>
      </c>
      <c r="G137" t="s">
        <v>2584</v>
      </c>
      <c r="H137" t="s">
        <v>2676</v>
      </c>
      <c r="I137" t="str">
        <f>INDEX(Genomes!$I:$I,(MATCH(AllProteins!H137,Genomes!$B:$B,0)))</f>
        <v>AF170726-myxoma_virus</v>
      </c>
      <c r="J137">
        <f>INDEX(Genomes!$A:$A,(MATCH(AllProteins!H137,Genomes!$B:$B,0)))</f>
        <v>32</v>
      </c>
      <c r="K137" t="str">
        <f>INDEX(Genomes!$J:$J,(MATCH(AllProteins!H137,Genomes!$B:$B,0)))</f>
        <v>Y</v>
      </c>
    </row>
    <row r="138" spans="1:11" x14ac:dyDescent="0.2">
      <c r="A138">
        <f>INDEX(CoreProteinGroups!A:A,MATCH(B138,CoreProteinGroups!B:B,0))</f>
        <v>2</v>
      </c>
      <c r="B138" s="1" t="s">
        <v>251</v>
      </c>
      <c r="C138" t="str">
        <f>VLOOKUP(B138,CoreProteinGroups!$B:$C,2,FALSE)</f>
        <v>holliday junction resolvase</v>
      </c>
      <c r="D138" t="s">
        <v>284</v>
      </c>
      <c r="E138" s="6" t="str">
        <f t="shared" si="2"/>
        <v>PROT:AFU77376.1</v>
      </c>
      <c r="F138" t="s">
        <v>283</v>
      </c>
      <c r="G138" t="s">
        <v>2553</v>
      </c>
      <c r="H138" t="s">
        <v>2646</v>
      </c>
      <c r="I138" t="str">
        <f>INDEX(Genomes!$I:$I,(MATCH(AllProteins!H138,Genomes!$B:$B,0)))</f>
        <v>JX565564-myxoma_virus_isolate_BRK_897</v>
      </c>
      <c r="J138">
        <f>INDEX(Genomes!$A:$A,(MATCH(AllProteins!H138,Genomes!$B:$B,0)))</f>
        <v>33</v>
      </c>
      <c r="K138" t="str">
        <f>INDEX(Genomes!$J:$J,(MATCH(AllProteins!H138,Genomes!$B:$B,0)))</f>
        <v>N</v>
      </c>
    </row>
    <row r="139" spans="1:11" x14ac:dyDescent="0.2">
      <c r="A139">
        <f>INDEX(CoreProteinGroups!A:A,MATCH(B139,CoreProteinGroups!B:B,0))</f>
        <v>2</v>
      </c>
      <c r="B139" s="1" t="s">
        <v>251</v>
      </c>
      <c r="C139" t="str">
        <f>VLOOKUP(B139,CoreProteinGroups!$B:$C,2,FALSE)</f>
        <v>holliday junction resolvase</v>
      </c>
      <c r="D139" t="s">
        <v>285</v>
      </c>
      <c r="E139" s="6" t="str">
        <f t="shared" si="2"/>
        <v>PROT:AAF17995.1</v>
      </c>
      <c r="F139" t="s">
        <v>286</v>
      </c>
      <c r="G139" t="s">
        <v>62</v>
      </c>
      <c r="H139" t="s">
        <v>2685</v>
      </c>
      <c r="I139" t="str">
        <f>INDEX(Genomes!$I:$I,(MATCH(AllProteins!H139,Genomes!$B:$B,0)))</f>
        <v>AF170722-rabbit_fibroma_virus</v>
      </c>
      <c r="J139">
        <f>INDEX(Genomes!$A:$A,(MATCH(AllProteins!H139,Genomes!$B:$B,0)))</f>
        <v>43</v>
      </c>
      <c r="K139" t="str">
        <f>INDEX(Genomes!$J:$J,(MATCH(AllProteins!H139,Genomes!$B:$B,0)))</f>
        <v>Y</v>
      </c>
    </row>
    <row r="140" spans="1:11" x14ac:dyDescent="0.2">
      <c r="A140">
        <f>INDEX(CoreProteinGroups!A:A,MATCH(B140,CoreProteinGroups!B:B,0))</f>
        <v>2</v>
      </c>
      <c r="B140" s="1" t="s">
        <v>251</v>
      </c>
      <c r="C140" t="str">
        <f>VLOOKUP(B140,CoreProteinGroups!$B:$C,2,FALSE)</f>
        <v>holliday junction resolvase</v>
      </c>
      <c r="D140" t="s">
        <v>287</v>
      </c>
      <c r="E140" s="6" t="str">
        <f t="shared" si="2"/>
        <v>PROT:AAC55255.1</v>
      </c>
      <c r="F140" t="s">
        <v>288</v>
      </c>
      <c r="G140" t="s">
        <v>65</v>
      </c>
      <c r="H140" t="s">
        <v>2670</v>
      </c>
      <c r="I140" t="str">
        <f>INDEX(Genomes!$I:$I,(MATCH(AllProteins!H140,Genomes!$B:$B,0)))</f>
        <v>U60315-molluscum_contagiosum_virus</v>
      </c>
      <c r="J140">
        <f>INDEX(Genomes!$A:$A,(MATCH(AllProteins!H140,Genomes!$B:$B,0)))</f>
        <v>26</v>
      </c>
      <c r="K140" t="str">
        <f>INDEX(Genomes!$J:$J,(MATCH(AllProteins!H140,Genomes!$B:$B,0)))</f>
        <v>Y</v>
      </c>
    </row>
    <row r="141" spans="1:11" x14ac:dyDescent="0.2">
      <c r="A141">
        <f>INDEX(CoreProteinGroups!A:A,MATCH(B141,CoreProteinGroups!B:B,0))</f>
        <v>2</v>
      </c>
      <c r="B141" s="1" t="s">
        <v>251</v>
      </c>
      <c r="C141" t="str">
        <f>VLOOKUP(B141,CoreProteinGroups!$B:$C,2,FALSE)</f>
        <v>holliday junction resolvase</v>
      </c>
      <c r="D141" t="s">
        <v>289</v>
      </c>
      <c r="E141" s="6" t="str">
        <f t="shared" si="2"/>
        <v>PROT:AYN64707.1</v>
      </c>
      <c r="F141" t="s">
        <v>290</v>
      </c>
      <c r="G141" t="s">
        <v>68</v>
      </c>
      <c r="H141" t="s">
        <v>2647</v>
      </c>
      <c r="I141" t="str">
        <f>INDEX(Genomes!$I:$I,(MATCH(AllProteins!H141,Genomes!$B:$B,0)))</f>
        <v>MH816996-orthopoxvirus_abatino</v>
      </c>
      <c r="J141">
        <f>INDEX(Genomes!$A:$A,(MATCH(AllProteins!H141,Genomes!$B:$B,0)))</f>
        <v>1</v>
      </c>
      <c r="K141" t="str">
        <f>INDEX(Genomes!$J:$J,(MATCH(AllProteins!H141,Genomes!$B:$B,0)))</f>
        <v>Y</v>
      </c>
    </row>
    <row r="142" spans="1:11" x14ac:dyDescent="0.2">
      <c r="A142">
        <f>INDEX(CoreProteinGroups!A:A,MATCH(B142,CoreProteinGroups!B:B,0))</f>
        <v>2</v>
      </c>
      <c r="B142" s="1" t="s">
        <v>251</v>
      </c>
      <c r="C142" t="str">
        <f>VLOOKUP(B142,CoreProteinGroups!$B:$C,2,FALSE)</f>
        <v>holliday junction resolvase</v>
      </c>
      <c r="D142" t="s">
        <v>291</v>
      </c>
      <c r="E142" s="6" t="str">
        <f t="shared" si="2"/>
        <v>PROT:AXN74938.1</v>
      </c>
      <c r="F142" t="s">
        <v>292</v>
      </c>
      <c r="G142" t="s">
        <v>70</v>
      </c>
      <c r="H142" t="s">
        <v>2650</v>
      </c>
      <c r="I142" t="str">
        <f>INDEX(Genomes!$I:$I,(MATCH(AllProteins!H142,Genomes!$B:$B,0)))</f>
        <v>MH607141-Akhmeta_virus</v>
      </c>
      <c r="J142">
        <f>INDEX(Genomes!$A:$A,(MATCH(AllProteins!H142,Genomes!$B:$B,0)))</f>
        <v>4</v>
      </c>
      <c r="K142" t="str">
        <f>INDEX(Genomes!$J:$J,(MATCH(AllProteins!H142,Genomes!$B:$B,0)))</f>
        <v>Y</v>
      </c>
    </row>
    <row r="143" spans="1:11" x14ac:dyDescent="0.2">
      <c r="A143">
        <f>INDEX(CoreProteinGroups!A:A,MATCH(B143,CoreProteinGroups!B:B,0))</f>
        <v>2</v>
      </c>
      <c r="B143" s="1" t="s">
        <v>251</v>
      </c>
      <c r="C143" t="str">
        <f>VLOOKUP(B143,CoreProteinGroups!$B:$C,2,FALSE)</f>
        <v>holliday junction resolvase</v>
      </c>
      <c r="D143" t="s">
        <v>293</v>
      </c>
      <c r="E143" s="6" t="str">
        <f t="shared" si="2"/>
        <v>PROT:ABH08249.1</v>
      </c>
      <c r="F143" t="s">
        <v>294</v>
      </c>
      <c r="G143" t="s">
        <v>73</v>
      </c>
      <c r="H143" t="s">
        <v>2668</v>
      </c>
      <c r="I143" t="str">
        <f>INDEX(Genomes!$I:$I,(MATCH(AllProteins!H143,Genomes!$B:$B,0)))</f>
        <v>DQ792504-horsepox_virus</v>
      </c>
      <c r="J143">
        <f>INDEX(Genomes!$A:$A,(MATCH(AllProteins!H143,Genomes!$B:$B,0)))</f>
        <v>24</v>
      </c>
      <c r="K143" t="str">
        <f>INDEX(Genomes!$J:$J,(MATCH(AllProteins!H143,Genomes!$B:$B,0)))</f>
        <v>Y</v>
      </c>
    </row>
    <row r="144" spans="1:11" x14ac:dyDescent="0.2">
      <c r="A144">
        <f>INDEX(CoreProteinGroups!A:A,MATCH(B144,CoreProteinGroups!B:B,0))</f>
        <v>2</v>
      </c>
      <c r="B144" s="1" t="s">
        <v>251</v>
      </c>
      <c r="C144" t="str">
        <f>VLOOKUP(B144,CoreProteinGroups!$B:$C,2,FALSE)</f>
        <v>holliday junction resolvase</v>
      </c>
      <c r="D144" t="s">
        <v>295</v>
      </c>
      <c r="E144" s="6" t="str">
        <f t="shared" si="2"/>
        <v>PROT:AAG37631.1</v>
      </c>
      <c r="F144" t="s">
        <v>296</v>
      </c>
      <c r="G144" t="s">
        <v>76</v>
      </c>
      <c r="H144" t="s">
        <v>2655</v>
      </c>
      <c r="I144" t="str">
        <f>INDEX(Genomes!$I:$I,(MATCH(AllProteins!H144,Genomes!$B:$B,0)))</f>
        <v>AY009089-camelpox_virus_CMS</v>
      </c>
      <c r="J144">
        <f>INDEX(Genomes!$A:$A,(MATCH(AllProteins!H144,Genomes!$B:$B,0)))</f>
        <v>9</v>
      </c>
      <c r="K144" t="str">
        <f>INDEX(Genomes!$J:$J,(MATCH(AllProteins!H144,Genomes!$B:$B,0)))</f>
        <v>N</v>
      </c>
    </row>
    <row r="145" spans="1:11" x14ac:dyDescent="0.2">
      <c r="A145">
        <f>INDEX(CoreProteinGroups!A:A,MATCH(B145,CoreProteinGroups!B:B,0))</f>
        <v>2</v>
      </c>
      <c r="B145" s="1" t="s">
        <v>251</v>
      </c>
      <c r="C145" t="str">
        <f>VLOOKUP(B145,CoreProteinGroups!$B:$C,2,FALSE)</f>
        <v>holliday junction resolvase</v>
      </c>
      <c r="D145" t="s">
        <v>297</v>
      </c>
      <c r="E145" s="6" t="str">
        <f t="shared" si="2"/>
        <v>PROT:AAL73847.1</v>
      </c>
      <c r="F145" t="s">
        <v>298</v>
      </c>
      <c r="G145" t="s">
        <v>79</v>
      </c>
      <c r="H145" t="s">
        <v>2654</v>
      </c>
      <c r="I145" t="str">
        <f>INDEX(Genomes!$I:$I,(MATCH(AllProteins!H145,Genomes!$B:$B,0)))</f>
        <v>AF438165-camelpox_virus</v>
      </c>
      <c r="J145">
        <f>INDEX(Genomes!$A:$A,(MATCH(AllProteins!H145,Genomes!$B:$B,0)))</f>
        <v>8</v>
      </c>
      <c r="K145" t="str">
        <f>INDEX(Genomes!$J:$J,(MATCH(AllProteins!H145,Genomes!$B:$B,0)))</f>
        <v>Y</v>
      </c>
    </row>
    <row r="146" spans="1:11" x14ac:dyDescent="0.2">
      <c r="A146">
        <f>INDEX(CoreProteinGroups!A:A,MATCH(B146,CoreProteinGroups!B:B,0))</f>
        <v>2</v>
      </c>
      <c r="B146" s="1" t="s">
        <v>251</v>
      </c>
      <c r="C146" t="str">
        <f>VLOOKUP(B146,CoreProteinGroups!$B:$C,2,FALSE)</f>
        <v>holliday junction resolvase</v>
      </c>
      <c r="D146" t="s">
        <v>299</v>
      </c>
      <c r="E146" s="6" t="str">
        <f t="shared" si="2"/>
        <v>PROT:AAM13597.1</v>
      </c>
      <c r="F146" t="s">
        <v>300</v>
      </c>
      <c r="G146" t="s">
        <v>82</v>
      </c>
      <c r="H146" t="s">
        <v>2659</v>
      </c>
      <c r="I146" t="str">
        <f>INDEX(Genomes!$I:$I,(MATCH(AllProteins!H146,Genomes!$B:$B,0)))</f>
        <v>AF482758-cowpox_virus</v>
      </c>
      <c r="J146">
        <f>INDEX(Genomes!$A:$A,(MATCH(AllProteins!H146,Genomes!$B:$B,0)))</f>
        <v>13</v>
      </c>
      <c r="K146" t="str">
        <f>INDEX(Genomes!$J:$J,(MATCH(AllProteins!H146,Genomes!$B:$B,0)))</f>
        <v>Y</v>
      </c>
    </row>
    <row r="147" spans="1:11" x14ac:dyDescent="0.2">
      <c r="A147">
        <f>INDEX(CoreProteinGroups!A:A,MATCH(B147,CoreProteinGroups!B:B,0))</f>
        <v>2</v>
      </c>
      <c r="B147" s="1" t="s">
        <v>251</v>
      </c>
      <c r="C147" t="str">
        <f>VLOOKUP(B147,CoreProteinGroups!$B:$C,2,FALSE)</f>
        <v>holliday junction resolvase</v>
      </c>
      <c r="D147" t="s">
        <v>301</v>
      </c>
      <c r="E147" s="6" t="str">
        <f t="shared" si="2"/>
        <v>PROT:AAM92430.1</v>
      </c>
      <c r="F147" t="s">
        <v>302</v>
      </c>
      <c r="G147" t="s">
        <v>85</v>
      </c>
      <c r="H147" t="s">
        <v>2662</v>
      </c>
      <c r="I147" t="str">
        <f>INDEX(Genomes!$I:$I,(MATCH(AllProteins!H147,Genomes!$B:$B,0)))</f>
        <v>AF012825-ectromelia_virus</v>
      </c>
      <c r="J147">
        <f>INDEX(Genomes!$A:$A,(MATCH(AllProteins!H147,Genomes!$B:$B,0)))</f>
        <v>16</v>
      </c>
      <c r="K147" t="str">
        <f>INDEX(Genomes!$J:$J,(MATCH(AllProteins!H147,Genomes!$B:$B,0)))</f>
        <v>Y</v>
      </c>
    </row>
    <row r="148" spans="1:11" x14ac:dyDescent="0.2">
      <c r="A148">
        <f>INDEX(CoreProteinGroups!A:A,MATCH(B148,CoreProteinGroups!B:B,0))</f>
        <v>2</v>
      </c>
      <c r="B148" s="1" t="s">
        <v>251</v>
      </c>
      <c r="C148" t="str">
        <f>VLOOKUP(B148,CoreProteinGroups!$B:$C,2,FALSE)</f>
        <v>holliday junction resolvase</v>
      </c>
      <c r="D148" t="s">
        <v>303</v>
      </c>
      <c r="E148" s="6" t="str">
        <f t="shared" si="2"/>
        <v>PROT:AFH54689.1</v>
      </c>
      <c r="F148" t="s">
        <v>252</v>
      </c>
      <c r="G148" t="s">
        <v>87</v>
      </c>
      <c r="H148" t="s">
        <v>2619</v>
      </c>
      <c r="I148" t="str">
        <f>INDEX(Genomes!$I:$I,(MATCH(AllProteins!H148,Genomes!$B:$B,0)))</f>
        <v>JQ410350-ectromelia_virus_strain_ERPV</v>
      </c>
      <c r="J148">
        <f>INDEX(Genomes!$A:$A,(MATCH(AllProteins!H148,Genomes!$B:$B,0)))</f>
        <v>17</v>
      </c>
      <c r="K148" t="str">
        <f>INDEX(Genomes!$J:$J,(MATCH(AllProteins!H148,Genomes!$B:$B,0)))</f>
        <v>N</v>
      </c>
    </row>
    <row r="149" spans="1:11" x14ac:dyDescent="0.2">
      <c r="A149">
        <f>INDEX(CoreProteinGroups!A:A,MATCH(B149,CoreProteinGroups!B:B,0))</f>
        <v>2</v>
      </c>
      <c r="B149" s="1" t="s">
        <v>251</v>
      </c>
      <c r="C149" t="str">
        <f>VLOOKUP(B149,CoreProteinGroups!$B:$C,2,FALSE)</f>
        <v>holliday junction resolvase</v>
      </c>
      <c r="D149" t="s">
        <v>304</v>
      </c>
      <c r="E149" s="6" t="str">
        <f t="shared" si="2"/>
        <v>PROT:AAL40591.1</v>
      </c>
      <c r="F149" t="s">
        <v>305</v>
      </c>
      <c r="G149" t="s">
        <v>90</v>
      </c>
      <c r="H149" t="s">
        <v>2673</v>
      </c>
      <c r="I149" t="str">
        <f>INDEX(Genomes!$I:$I,(MATCH(AllProteins!H149,Genomes!$B:$B,0)))</f>
        <v>AF380138-monkeypox_virus_(clade_I)</v>
      </c>
      <c r="J149">
        <f>INDEX(Genomes!$A:$A,(MATCH(AllProteins!H149,Genomes!$B:$B,0)))</f>
        <v>29</v>
      </c>
      <c r="K149" t="str">
        <f>INDEX(Genomes!$J:$J,(MATCH(AllProteins!H149,Genomes!$B:$B,0)))</f>
        <v>Y</v>
      </c>
    </row>
    <row r="150" spans="1:11" x14ac:dyDescent="0.2">
      <c r="A150">
        <f>INDEX(CoreProteinGroups!A:A,MATCH(B150,CoreProteinGroups!B:B,0))</f>
        <v>2</v>
      </c>
      <c r="B150" s="1" t="s">
        <v>251</v>
      </c>
      <c r="C150" t="str">
        <f>VLOOKUP(B150,CoreProteinGroups!$B:$C,2,FALSE)</f>
        <v>holliday junction resolvase</v>
      </c>
      <c r="D150" t="s">
        <v>306</v>
      </c>
      <c r="E150" s="6" t="str">
        <f t="shared" si="2"/>
        <v>PROT:AAX09229.1</v>
      </c>
      <c r="F150" t="s">
        <v>307</v>
      </c>
      <c r="G150" t="s">
        <v>93</v>
      </c>
      <c r="H150" t="s">
        <v>2672</v>
      </c>
      <c r="I150" t="str">
        <f>INDEX(Genomes!$I:$I,(MATCH(AllProteins!H150,Genomes!$B:$B,0)))</f>
        <v>AY753185-monkeypox_virus_(clade_IIa)</v>
      </c>
      <c r="J150">
        <f>INDEX(Genomes!$A:$A,(MATCH(AllProteins!H150,Genomes!$B:$B,0)))</f>
        <v>28</v>
      </c>
      <c r="K150" t="str">
        <f>INDEX(Genomes!$J:$J,(MATCH(AllProteins!H150,Genomes!$B:$B,0)))</f>
        <v>Y</v>
      </c>
    </row>
    <row r="151" spans="1:11" x14ac:dyDescent="0.2">
      <c r="A151">
        <f>INDEX(CoreProteinGroups!A:A,MATCH(B151,CoreProteinGroups!B:B,0))</f>
        <v>2</v>
      </c>
      <c r="B151" s="1" t="s">
        <v>251</v>
      </c>
      <c r="C151" t="str">
        <f>VLOOKUP(B151,CoreProteinGroups!$B:$C,2,FALSE)</f>
        <v>holliday junction resolvase</v>
      </c>
      <c r="D151" t="s">
        <v>308</v>
      </c>
      <c r="E151" s="6" t="str">
        <f t="shared" si="2"/>
        <v>PROT:AKJ93771.1</v>
      </c>
      <c r="F151" t="s">
        <v>309</v>
      </c>
      <c r="G151" t="s">
        <v>95</v>
      </c>
      <c r="H151" t="s">
        <v>2683</v>
      </c>
      <c r="I151" t="str">
        <f>INDEX(Genomes!$I:$I,(MATCH(AllProteins!H151,Genomes!$B:$B,0)))</f>
        <v>KP143769-raccoonpox_virus</v>
      </c>
      <c r="J151">
        <f>INDEX(Genomes!$A:$A,(MATCH(AllProteins!H151,Genomes!$B:$B,0)))</f>
        <v>41</v>
      </c>
      <c r="K151" t="str">
        <f>INDEX(Genomes!$J:$J,(MATCH(AllProteins!H151,Genomes!$B:$B,0)))</f>
        <v>Y</v>
      </c>
    </row>
    <row r="152" spans="1:11" x14ac:dyDescent="0.2">
      <c r="A152">
        <f>INDEX(CoreProteinGroups!A:A,MATCH(B152,CoreProteinGroups!B:B,0))</f>
        <v>2</v>
      </c>
      <c r="B152" s="1" t="s">
        <v>251</v>
      </c>
      <c r="C152" t="str">
        <f>VLOOKUP(B152,CoreProteinGroups!$B:$C,2,FALSE)</f>
        <v>holliday junction resolvase</v>
      </c>
      <c r="D152" t="s">
        <v>310</v>
      </c>
      <c r="E152" s="6" t="str">
        <f t="shared" si="2"/>
        <v>PROT:AOP31620.1</v>
      </c>
      <c r="F152" t="s">
        <v>252</v>
      </c>
      <c r="G152" t="s">
        <v>97</v>
      </c>
      <c r="H152" t="s">
        <v>2686</v>
      </c>
      <c r="I152" t="str">
        <f>INDEX(Genomes!$I:$I,(MATCH(AllProteins!H152,Genomes!$B:$B,0)))</f>
        <v>KU749310-skunkpox_virus</v>
      </c>
      <c r="J152">
        <f>INDEX(Genomes!$A:$A,(MATCH(AllProteins!H152,Genomes!$B:$B,0)))</f>
        <v>45</v>
      </c>
      <c r="K152" t="str">
        <f>INDEX(Genomes!$J:$J,(MATCH(AllProteins!H152,Genomes!$B:$B,0)))</f>
        <v>Y</v>
      </c>
    </row>
    <row r="153" spans="1:11" x14ac:dyDescent="0.2">
      <c r="A153">
        <f>INDEX(CoreProteinGroups!A:A,MATCH(B153,CoreProteinGroups!B:B,0))</f>
        <v>2</v>
      </c>
      <c r="B153" s="1" t="s">
        <v>251</v>
      </c>
      <c r="C153" t="str">
        <f>VLOOKUP(B153,CoreProteinGroups!$B:$C,2,FALSE)</f>
        <v>holliday junction resolvase</v>
      </c>
      <c r="D153" t="s">
        <v>311</v>
      </c>
      <c r="E153" s="6" t="str">
        <f t="shared" si="2"/>
        <v>PROT:ABD97710.1</v>
      </c>
      <c r="F153" t="s">
        <v>312</v>
      </c>
      <c r="G153" t="s">
        <v>99</v>
      </c>
      <c r="H153" t="s">
        <v>2691</v>
      </c>
      <c r="I153" t="str">
        <f>INDEX(Genomes!$I:$I,(MATCH(AllProteins!H153,Genomes!$B:$B,0)))</f>
        <v>DQ437594-taterapox_virus</v>
      </c>
      <c r="J153">
        <f>INDEX(Genomes!$A:$A,(MATCH(AllProteins!H153,Genomes!$B:$B,0)))</f>
        <v>50</v>
      </c>
      <c r="K153" t="str">
        <f>INDEX(Genomes!$J:$J,(MATCH(AllProteins!H153,Genomes!$B:$B,0)))</f>
        <v>Y</v>
      </c>
    </row>
    <row r="154" spans="1:11" x14ac:dyDescent="0.2">
      <c r="A154">
        <f>INDEX(CoreProteinGroups!A:A,MATCH(B154,CoreProteinGroups!B:B,0))</f>
        <v>2</v>
      </c>
      <c r="B154" s="1" t="s">
        <v>251</v>
      </c>
      <c r="C154" t="str">
        <f>VLOOKUP(B154,CoreProteinGroups!$B:$C,2,FALSE)</f>
        <v>holliday junction resolvase</v>
      </c>
      <c r="D154" t="s">
        <v>313</v>
      </c>
      <c r="E154" s="6" t="str">
        <f t="shared" si="2"/>
        <v>PROT:AAO89421.1</v>
      </c>
      <c r="F154" t="s">
        <v>314</v>
      </c>
      <c r="G154" t="s">
        <v>101</v>
      </c>
      <c r="H154" t="s">
        <v>2693</v>
      </c>
      <c r="I154" t="str">
        <f>INDEX(Genomes!$I:$I,(MATCH(AllProteins!H154,Genomes!$B:$B,0)))</f>
        <v>AY243312-vaccinia_virus</v>
      </c>
      <c r="J154">
        <f>INDEX(Genomes!$A:$A,(MATCH(AllProteins!H154,Genomes!$B:$B,0)))</f>
        <v>52</v>
      </c>
      <c r="K154" t="str">
        <f>INDEX(Genomes!$J:$J,(MATCH(AllProteins!H154,Genomes!$B:$B,0)))</f>
        <v>Y</v>
      </c>
    </row>
    <row r="155" spans="1:11" x14ac:dyDescent="0.2">
      <c r="A155">
        <f>INDEX(CoreProteinGroups!A:A,MATCH(B155,CoreProteinGroups!B:B,0))</f>
        <v>2</v>
      </c>
      <c r="B155" s="1" t="s">
        <v>251</v>
      </c>
      <c r="C155" t="str">
        <f>VLOOKUP(B155,CoreProteinGroups!$B:$C,2,FALSE)</f>
        <v>holliday junction resolvase</v>
      </c>
      <c r="D155" t="s">
        <v>315</v>
      </c>
      <c r="E155" s="6" t="str">
        <f t="shared" si="2"/>
        <v>PROT:CAA49067.1</v>
      </c>
      <c r="F155" t="s">
        <v>316</v>
      </c>
      <c r="G155" t="s">
        <v>2585</v>
      </c>
      <c r="H155" t="s">
        <v>2694</v>
      </c>
      <c r="I155" t="str">
        <f>INDEX(Genomes!$I:$I,(MATCH(AllProteins!H155,Genomes!$B:$B,0)))</f>
        <v>X69198-variola_major_virus</v>
      </c>
      <c r="J155">
        <f>INDEX(Genomes!$A:$A,(MATCH(AllProteins!H155,Genomes!$B:$B,0)))</f>
        <v>53</v>
      </c>
      <c r="K155" t="str">
        <f>INDEX(Genomes!$J:$J,(MATCH(AllProteins!H155,Genomes!$B:$B,0)))</f>
        <v>Y</v>
      </c>
    </row>
    <row r="156" spans="1:11" x14ac:dyDescent="0.2">
      <c r="A156">
        <f>INDEX(CoreProteinGroups!A:A,MATCH(B156,CoreProteinGroups!B:B,0))</f>
        <v>2</v>
      </c>
      <c r="B156" s="1" t="s">
        <v>251</v>
      </c>
      <c r="C156" t="str">
        <f>VLOOKUP(B156,CoreProteinGroups!$B:$C,2,FALSE)</f>
        <v>holliday junction resolvase</v>
      </c>
      <c r="D156" t="s">
        <v>317</v>
      </c>
      <c r="E156" s="6" t="str">
        <f t="shared" si="2"/>
        <v>PROT:CAB54726.1</v>
      </c>
      <c r="F156" t="s">
        <v>318</v>
      </c>
      <c r="G156" t="s">
        <v>106</v>
      </c>
      <c r="H156" t="s">
        <v>2695</v>
      </c>
      <c r="I156" t="str">
        <f>INDEX(Genomes!$I:$I,(MATCH(AllProteins!H156,Genomes!$B:$B,0)))</f>
        <v>Y16780-variola_minor_virus</v>
      </c>
      <c r="J156">
        <f>INDEX(Genomes!$A:$A,(MATCH(AllProteins!H156,Genomes!$B:$B,0)))</f>
        <v>54</v>
      </c>
      <c r="K156" t="str">
        <f>INDEX(Genomes!$J:$J,(MATCH(AllProteins!H156,Genomes!$B:$B,0)))</f>
        <v>Y</v>
      </c>
    </row>
    <row r="157" spans="1:11" x14ac:dyDescent="0.2">
      <c r="A157">
        <f>INDEX(CoreProteinGroups!A:A,MATCH(B157,CoreProteinGroups!B:B,0))</f>
        <v>2</v>
      </c>
      <c r="B157" s="1" t="s">
        <v>251</v>
      </c>
      <c r="C157" t="str">
        <f>VLOOKUP(B157,CoreProteinGroups!$B:$C,2,FALSE)</f>
        <v>holliday junction resolvase</v>
      </c>
      <c r="D157" t="s">
        <v>319</v>
      </c>
      <c r="E157" s="6" t="str">
        <f t="shared" si="2"/>
        <v>PROT:AOP31831.1</v>
      </c>
      <c r="F157" t="s">
        <v>252</v>
      </c>
      <c r="G157" t="s">
        <v>108</v>
      </c>
      <c r="H157" t="s">
        <v>2696</v>
      </c>
      <c r="I157" t="str">
        <f>INDEX(Genomes!$I:$I,(MATCH(AllProteins!H157,Genomes!$B:$B,0)))</f>
        <v>KU749311-volepox_virus</v>
      </c>
      <c r="J157">
        <f>INDEX(Genomes!$A:$A,(MATCH(AllProteins!H157,Genomes!$B:$B,0)))</f>
        <v>55</v>
      </c>
      <c r="K157" t="str">
        <f>INDEX(Genomes!$J:$J,(MATCH(AllProteins!H157,Genomes!$B:$B,0)))</f>
        <v>Y</v>
      </c>
    </row>
    <row r="158" spans="1:11" x14ac:dyDescent="0.2">
      <c r="A158">
        <f>INDEX(CoreProteinGroups!A:A,MATCH(B158,CoreProteinGroups!B:B,0))</f>
        <v>2</v>
      </c>
      <c r="B158" s="1" t="s">
        <v>251</v>
      </c>
      <c r="C158" t="str">
        <f>VLOOKUP(B158,CoreProteinGroups!$B:$C,2,FALSE)</f>
        <v>holliday junction resolvase</v>
      </c>
      <c r="D158" t="s">
        <v>320</v>
      </c>
      <c r="E158" s="6" t="str">
        <f t="shared" si="2"/>
        <v>PROT:ASC55548.1</v>
      </c>
      <c r="F158" t="s">
        <v>321</v>
      </c>
      <c r="G158" t="s">
        <v>111</v>
      </c>
      <c r="H158" t="s">
        <v>2667</v>
      </c>
      <c r="I158" t="str">
        <f>INDEX(Genomes!$I:$I,(MATCH(AllProteins!H158,Genomes!$B:$B,0)))</f>
        <v>KY382358-seal_parapoxvirus</v>
      </c>
      <c r="J158">
        <f>INDEX(Genomes!$A:$A,(MATCH(AllProteins!H158,Genomes!$B:$B,0)))</f>
        <v>22</v>
      </c>
      <c r="K158" t="str">
        <f>INDEX(Genomes!$J:$J,(MATCH(AllProteins!H158,Genomes!$B:$B,0)))</f>
        <v>Y</v>
      </c>
    </row>
    <row r="159" spans="1:11" x14ac:dyDescent="0.2">
      <c r="A159">
        <f>INDEX(CoreProteinGroups!A:A,MATCH(B159,CoreProteinGroups!B:B,0))</f>
        <v>2</v>
      </c>
      <c r="B159" s="1" t="s">
        <v>251</v>
      </c>
      <c r="C159" t="str">
        <f>VLOOKUP(B159,CoreProteinGroups!$B:$C,2,FALSE)</f>
        <v>holliday junction resolvase</v>
      </c>
      <c r="D159" t="s">
        <v>322</v>
      </c>
      <c r="E159" s="6" t="str">
        <f t="shared" si="2"/>
        <v>PROT:AAR98456.1</v>
      </c>
      <c r="F159" t="s">
        <v>323</v>
      </c>
      <c r="G159" t="s">
        <v>114</v>
      </c>
      <c r="H159" t="s">
        <v>2652</v>
      </c>
      <c r="I159" t="str">
        <f>INDEX(Genomes!$I:$I,(MATCH(AllProteins!H159,Genomes!$B:$B,0)))</f>
        <v>AY386265-bovine_papular_stomatitis_virus</v>
      </c>
      <c r="J159">
        <f>INDEX(Genomes!$A:$A,(MATCH(AllProteins!H159,Genomes!$B:$B,0)))</f>
        <v>6</v>
      </c>
      <c r="K159" t="str">
        <f>INDEX(Genomes!$J:$J,(MATCH(AllProteins!H159,Genomes!$B:$B,0)))</f>
        <v>Y</v>
      </c>
    </row>
    <row r="160" spans="1:11" x14ac:dyDescent="0.2">
      <c r="A160">
        <f>INDEX(CoreProteinGroups!A:A,MATCH(B160,CoreProteinGroups!B:B,0))</f>
        <v>2</v>
      </c>
      <c r="B160" s="1" t="s">
        <v>251</v>
      </c>
      <c r="C160" t="str">
        <f>VLOOKUP(B160,CoreProteinGroups!$B:$C,2,FALSE)</f>
        <v>holliday junction resolvase</v>
      </c>
      <c r="D160" t="s">
        <v>324</v>
      </c>
      <c r="E160" s="6" t="str">
        <f t="shared" si="2"/>
        <v>PROT:AAR98324.1</v>
      </c>
      <c r="F160" t="s">
        <v>323</v>
      </c>
      <c r="G160" t="s">
        <v>2702</v>
      </c>
      <c r="H160" t="s">
        <v>2678</v>
      </c>
      <c r="I160" t="str">
        <f>INDEX(Genomes!$I:$I,(MATCH(AllProteins!H160,Genomes!$B:$B,0)))</f>
        <v>AY386264-orf_virus</v>
      </c>
      <c r="J160">
        <f>INDEX(Genomes!$A:$A,(MATCH(AllProteins!H160,Genomes!$B:$B,0)))</f>
        <v>35</v>
      </c>
      <c r="K160" t="str">
        <f>INDEX(Genomes!$J:$J,(MATCH(AllProteins!H160,Genomes!$B:$B,0)))</f>
        <v>Y</v>
      </c>
    </row>
    <row r="161" spans="1:11" x14ac:dyDescent="0.2">
      <c r="A161">
        <f>INDEX(CoreProteinGroups!A:A,MATCH(B161,CoreProteinGroups!B:B,0))</f>
        <v>2</v>
      </c>
      <c r="B161" s="1" t="s">
        <v>251</v>
      </c>
      <c r="C161" t="str">
        <f>VLOOKUP(B161,CoreProteinGroups!$B:$C,2,FALSE)</f>
        <v>holliday junction resolvase</v>
      </c>
      <c r="D161" t="s">
        <v>325</v>
      </c>
      <c r="E161" s="6" t="str">
        <f t="shared" si="2"/>
        <v>PROT:ABA00616.1</v>
      </c>
      <c r="F161" t="s">
        <v>326</v>
      </c>
      <c r="G161" t="s">
        <v>2555</v>
      </c>
      <c r="H161" t="s">
        <v>2645</v>
      </c>
      <c r="I161" t="str">
        <f>INDEX(Genomes!$I:$I,(MATCH(AllProteins!H161,Genomes!$B:$B,0)))</f>
        <v>DQ184476-orf_virus_strain_NZ2</v>
      </c>
      <c r="J161">
        <f>INDEX(Genomes!$A:$A,(MATCH(AllProteins!H161,Genomes!$B:$B,0)))</f>
        <v>36</v>
      </c>
      <c r="K161" t="str">
        <f>INDEX(Genomes!$J:$J,(MATCH(AllProteins!H161,Genomes!$B:$B,0)))</f>
        <v>N</v>
      </c>
    </row>
    <row r="162" spans="1:11" x14ac:dyDescent="0.2">
      <c r="A162">
        <f>INDEX(CoreProteinGroups!A:A,MATCH(B162,CoreProteinGroups!B:B,0))</f>
        <v>2</v>
      </c>
      <c r="B162" s="1" t="s">
        <v>251</v>
      </c>
      <c r="C162" t="str">
        <f>VLOOKUP(B162,CoreProteinGroups!$B:$C,2,FALSE)</f>
        <v>holliday junction resolvase</v>
      </c>
      <c r="D162" t="s">
        <v>327</v>
      </c>
      <c r="E162" s="6" t="str">
        <f t="shared" si="2"/>
        <v>PROT:AIZ77350.1</v>
      </c>
      <c r="F162" t="s">
        <v>328</v>
      </c>
      <c r="G162" t="s">
        <v>119</v>
      </c>
      <c r="H162" t="s">
        <v>2684</v>
      </c>
      <c r="I162" t="str">
        <f>INDEX(Genomes!$I:$I,(MATCH(AllProteins!H162,Genomes!$B:$B,0)))</f>
        <v>KM502564-parapoxvirus_red_deer</v>
      </c>
      <c r="J162">
        <f>INDEX(Genomes!$A:$A,(MATCH(AllProteins!H162,Genomes!$B:$B,0)))</f>
        <v>42</v>
      </c>
      <c r="K162" t="str">
        <f>INDEX(Genomes!$J:$J,(MATCH(AllProteins!H162,Genomes!$B:$B,0)))</f>
        <v>Y</v>
      </c>
    </row>
    <row r="163" spans="1:11" x14ac:dyDescent="0.2">
      <c r="A163">
        <f>INDEX(CoreProteinGroups!A:A,MATCH(B163,CoreProteinGroups!B:B,0))</f>
        <v>2</v>
      </c>
      <c r="B163" s="1" t="s">
        <v>251</v>
      </c>
      <c r="C163" t="str">
        <f>VLOOKUP(B163,CoreProteinGroups!$B:$C,2,FALSE)</f>
        <v>holliday junction resolvase</v>
      </c>
      <c r="D163" t="s">
        <v>329</v>
      </c>
      <c r="E163" s="6" t="str">
        <f t="shared" si="2"/>
        <v>PROT:ADC54001.1</v>
      </c>
      <c r="F163" t="s">
        <v>326</v>
      </c>
      <c r="G163" t="s">
        <v>121</v>
      </c>
      <c r="H163" t="s">
        <v>2679</v>
      </c>
      <c r="I163" t="str">
        <f>INDEX(Genomes!$I:$I,(MATCH(AllProteins!H163,Genomes!$B:$B,0)))</f>
        <v>GQ329670-pseudocowpox_virus</v>
      </c>
      <c r="J163">
        <f>INDEX(Genomes!$A:$A,(MATCH(AllProteins!H163,Genomes!$B:$B,0)))</f>
        <v>37</v>
      </c>
      <c r="K163" t="str">
        <f>INDEX(Genomes!$J:$J,(MATCH(AllProteins!H163,Genomes!$B:$B,0)))</f>
        <v>Y</v>
      </c>
    </row>
    <row r="164" spans="1:11" x14ac:dyDescent="0.2">
      <c r="A164">
        <f>INDEX(CoreProteinGroups!A:A,MATCH(B164,CoreProteinGroups!B:B,0))</f>
        <v>2</v>
      </c>
      <c r="B164" s="1" t="s">
        <v>251</v>
      </c>
      <c r="C164" t="str">
        <f>VLOOKUP(B164,CoreProteinGroups!$B:$C,2,FALSE)</f>
        <v>holliday junction resolvase</v>
      </c>
      <c r="D164" t="s">
        <v>330</v>
      </c>
      <c r="E164" s="6" t="str">
        <f t="shared" si="2"/>
        <v>PROT:AAL69850.1</v>
      </c>
      <c r="F164" t="s">
        <v>331</v>
      </c>
      <c r="G164" t="s">
        <v>124</v>
      </c>
      <c r="H164" t="s">
        <v>2690</v>
      </c>
      <c r="I164" t="str">
        <f>INDEX(Genomes!$I:$I,(MATCH(AllProteins!H164,Genomes!$B:$B,0)))</f>
        <v>AF410153-swinepox_virus</v>
      </c>
      <c r="J164">
        <f>INDEX(Genomes!$A:$A,(MATCH(AllProteins!H164,Genomes!$B:$B,0)))</f>
        <v>49</v>
      </c>
      <c r="K164" t="str">
        <f>INDEX(Genomes!$J:$J,(MATCH(AllProteins!H164,Genomes!$B:$B,0)))</f>
        <v>Y</v>
      </c>
    </row>
    <row r="165" spans="1:11" x14ac:dyDescent="0.2">
      <c r="A165">
        <f>INDEX(CoreProteinGroups!A:A,MATCH(B165,CoreProteinGroups!B:B,0))</f>
        <v>2</v>
      </c>
      <c r="B165" s="1" t="s">
        <v>251</v>
      </c>
      <c r="C165" t="str">
        <f>VLOOKUP(B165,CoreProteinGroups!$B:$C,2,FALSE)</f>
        <v>holliday junction resolvase</v>
      </c>
      <c r="D165" t="s">
        <v>332</v>
      </c>
      <c r="E165" s="6" t="str">
        <f t="shared" si="2"/>
        <v>PROT:CAC21352.1</v>
      </c>
      <c r="F165" t="s">
        <v>333</v>
      </c>
      <c r="G165" t="s">
        <v>127</v>
      </c>
      <c r="H165" t="s">
        <v>2699</v>
      </c>
      <c r="I165" t="str">
        <f>INDEX(Genomes!$I:$I,(MATCH(AllProteins!H165,Genomes!$B:$B,0)))</f>
        <v>AJ293568-tanapox_virus</v>
      </c>
      <c r="J165">
        <f>INDEX(Genomes!$A:$A,(MATCH(AllProteins!H165,Genomes!$B:$B,0)))</f>
        <v>58</v>
      </c>
      <c r="K165" t="str">
        <f>INDEX(Genomes!$J:$J,(MATCH(AllProteins!H165,Genomes!$B:$B,0)))</f>
        <v>Y</v>
      </c>
    </row>
    <row r="166" spans="1:11" x14ac:dyDescent="0.2">
      <c r="A166">
        <f>INDEX(CoreProteinGroups!A:A,MATCH(B166,CoreProteinGroups!B:B,0))</f>
        <v>2</v>
      </c>
      <c r="B166" s="1" t="s">
        <v>251</v>
      </c>
      <c r="C166" t="str">
        <f>VLOOKUP(B166,CoreProteinGroups!$B:$C,2,FALSE)</f>
        <v>holliday junction resolvase</v>
      </c>
      <c r="D166" t="s">
        <v>334</v>
      </c>
      <c r="E166" s="6" t="str">
        <f t="shared" si="2"/>
        <v>PROT:AAR07470.1</v>
      </c>
      <c r="F166" t="s">
        <v>335</v>
      </c>
      <c r="G166" t="s">
        <v>130</v>
      </c>
      <c r="H166" t="s">
        <v>2700</v>
      </c>
      <c r="I166" t="str">
        <f>INDEX(Genomes!$I:$I,(MATCH(AllProteins!H166,Genomes!$B:$B,0)))</f>
        <v>AY386371-Yaba_monkey_tumor_virus</v>
      </c>
      <c r="J166">
        <f>INDEX(Genomes!$A:$A,(MATCH(AllProteins!H166,Genomes!$B:$B,0)))</f>
        <v>59</v>
      </c>
      <c r="K166" t="str">
        <f>INDEX(Genomes!$J:$J,(MATCH(AllProteins!H166,Genomes!$B:$B,0)))</f>
        <v>Y</v>
      </c>
    </row>
    <row r="167" spans="1:11" x14ac:dyDescent="0.2">
      <c r="A167">
        <f>INDEX(CoreProteinGroups!A:A,MATCH(B167,CoreProteinGroups!B:B,0))</f>
        <v>2</v>
      </c>
      <c r="B167" s="1" t="s">
        <v>251</v>
      </c>
      <c r="C167" t="str">
        <f>VLOOKUP(B167,CoreProteinGroups!$B:$C,2,FALSE)</f>
        <v>holliday junction resolvase</v>
      </c>
      <c r="D167" t="s">
        <v>336</v>
      </c>
      <c r="E167" s="6" t="str">
        <f t="shared" si="2"/>
        <v>PROT:AAC97652.1</v>
      </c>
      <c r="F167" t="s">
        <v>337</v>
      </c>
      <c r="G167" t="s">
        <v>133</v>
      </c>
      <c r="H167" t="s">
        <v>2674</v>
      </c>
      <c r="I167" t="str">
        <f>INDEX(Genomes!$I:$I,(MATCH(AllProteins!H167,Genomes!$B:$B,0)))</f>
        <v>AF063866-Melanoplus_sanguinipes_entomopoxvirus</v>
      </c>
      <c r="J167">
        <f>INDEX(Genomes!$A:$A,(MATCH(AllProteins!H167,Genomes!$B:$B,0)))</f>
        <v>30</v>
      </c>
      <c r="K167" t="str">
        <f>INDEX(Genomes!$J:$J,(MATCH(AllProteins!H167,Genomes!$B:$B,0)))</f>
        <v>Y</v>
      </c>
    </row>
    <row r="168" spans="1:11" x14ac:dyDescent="0.2">
      <c r="A168">
        <f>INDEX(CoreProteinGroups!A:A,MATCH(B168,CoreProteinGroups!B:B,0))</f>
        <v>2</v>
      </c>
      <c r="B168" s="1" t="s">
        <v>251</v>
      </c>
      <c r="C168" t="str">
        <f>VLOOKUP(B168,CoreProteinGroups!$B:$C,2,FALSE)</f>
        <v>holliday junction resolvase</v>
      </c>
      <c r="D168" t="s">
        <v>338</v>
      </c>
      <c r="E168" s="6" t="str">
        <f t="shared" si="2"/>
        <v>PROT:BAO49463.1</v>
      </c>
      <c r="F168" t="s">
        <v>252</v>
      </c>
      <c r="G168" t="s">
        <v>136</v>
      </c>
      <c r="H168" t="s">
        <v>2648</v>
      </c>
      <c r="I168" t="str">
        <f>INDEX(Genomes!$I:$I,(MATCH(AllProteins!H168,Genomes!$B:$B,0)))</f>
        <v>AP013055-Anomala_cuprea_entomopoxvirus</v>
      </c>
      <c r="J168">
        <f>INDEX(Genomes!$A:$A,(MATCH(AllProteins!H168,Genomes!$B:$B,0)))</f>
        <v>2</v>
      </c>
      <c r="K168" t="str">
        <f>INDEX(Genomes!$J:$J,(MATCH(AllProteins!H168,Genomes!$B:$B,0)))</f>
        <v>Y</v>
      </c>
    </row>
    <row r="169" spans="1:11" x14ac:dyDescent="0.2">
      <c r="A169">
        <f>INDEX(CoreProteinGroups!A:A,MATCH(B169,CoreProteinGroups!B:B,0))</f>
        <v>2</v>
      </c>
      <c r="B169" s="1" t="s">
        <v>251</v>
      </c>
      <c r="C169" t="str">
        <f>VLOOKUP(B169,CoreProteinGroups!$B:$C,2,FALSE)</f>
        <v>holliday junction resolvase</v>
      </c>
      <c r="D169" t="s">
        <v>339</v>
      </c>
      <c r="E169" s="6" t="str">
        <f t="shared" si="2"/>
        <v>PROT:CCU55493.1</v>
      </c>
      <c r="F169" t="s">
        <v>252</v>
      </c>
      <c r="G169" t="s">
        <v>138</v>
      </c>
      <c r="H169" t="s">
        <v>2649</v>
      </c>
      <c r="I169" t="str">
        <f>INDEX(Genomes!$I:$I,(MATCH(AllProteins!H169,Genomes!$B:$B,0)))</f>
        <v>HF679131-Adoxophyes_honmai_entomopoxvirus</v>
      </c>
      <c r="J169">
        <f>INDEX(Genomes!$A:$A,(MATCH(AllProteins!H169,Genomes!$B:$B,0)))</f>
        <v>3</v>
      </c>
      <c r="K169" t="str">
        <f>INDEX(Genomes!$J:$J,(MATCH(AllProteins!H169,Genomes!$B:$B,0)))</f>
        <v>Y</v>
      </c>
    </row>
    <row r="170" spans="1:11" x14ac:dyDescent="0.2">
      <c r="A170">
        <f>INDEX(CoreProteinGroups!A:A,MATCH(B170,CoreProteinGroups!B:B,0))</f>
        <v>2</v>
      </c>
      <c r="B170" s="1" t="s">
        <v>251</v>
      </c>
      <c r="C170" t="str">
        <f>VLOOKUP(B170,CoreProteinGroups!$B:$C,2,FALSE)</f>
        <v>holliday junction resolvase</v>
      </c>
      <c r="D170" t="s">
        <v>340</v>
      </c>
      <c r="E170" s="6" t="str">
        <f t="shared" si="2"/>
        <v>PROT:AAG02868.1</v>
      </c>
      <c r="F170" t="s">
        <v>341</v>
      </c>
      <c r="G170" t="s">
        <v>141</v>
      </c>
      <c r="H170" t="s">
        <v>2651</v>
      </c>
      <c r="I170" t="str">
        <f>INDEX(Genomes!$I:$I,(MATCH(AllProteins!H170,Genomes!$B:$B,0)))</f>
        <v>AF250284-Amsacta_moorei_entomopoxvirus</v>
      </c>
      <c r="J170">
        <f>INDEX(Genomes!$A:$A,(MATCH(AllProteins!H170,Genomes!$B:$B,0)))</f>
        <v>5</v>
      </c>
      <c r="K170" t="str">
        <f>INDEX(Genomes!$J:$J,(MATCH(AllProteins!H170,Genomes!$B:$B,0)))</f>
        <v>Y</v>
      </c>
    </row>
    <row r="171" spans="1:11" x14ac:dyDescent="0.2">
      <c r="A171">
        <f>INDEX(CoreProteinGroups!A:A,MATCH(B171,CoreProteinGroups!B:B,0))</f>
        <v>2</v>
      </c>
      <c r="B171" s="1" t="s">
        <v>251</v>
      </c>
      <c r="C171" t="str">
        <f>VLOOKUP(B171,CoreProteinGroups!$B:$C,2,FALSE)</f>
        <v>holliday junction resolvase</v>
      </c>
      <c r="D171" t="s">
        <v>342</v>
      </c>
      <c r="E171" s="6" t="str">
        <f t="shared" si="2"/>
        <v>PROT:CCU55772.1</v>
      </c>
      <c r="F171" t="s">
        <v>252</v>
      </c>
      <c r="G171" t="s">
        <v>143</v>
      </c>
      <c r="H171" t="s">
        <v>2656</v>
      </c>
      <c r="I171" t="str">
        <f>INDEX(Genomes!$I:$I,(MATCH(AllProteins!H171,Genomes!$B:$B,0)))</f>
        <v>HF679132-Choristoneura_biennis_entomopoxvirus</v>
      </c>
      <c r="J171">
        <f>INDEX(Genomes!$A:$A,(MATCH(AllProteins!H171,Genomes!$B:$B,0)))</f>
        <v>10</v>
      </c>
      <c r="K171" t="str">
        <f>INDEX(Genomes!$J:$J,(MATCH(AllProteins!H171,Genomes!$B:$B,0)))</f>
        <v>Y</v>
      </c>
    </row>
    <row r="172" spans="1:11" x14ac:dyDescent="0.2">
      <c r="A172">
        <f>INDEX(CoreProteinGroups!A:A,MATCH(B172,CoreProteinGroups!B:B,0))</f>
        <v>2</v>
      </c>
      <c r="B172" s="1" t="s">
        <v>251</v>
      </c>
      <c r="C172" t="str">
        <f>VLOOKUP(B172,CoreProteinGroups!$B:$C,2,FALSE)</f>
        <v>holliday junction resolvase</v>
      </c>
      <c r="D172" t="s">
        <v>343</v>
      </c>
      <c r="E172" s="6" t="str">
        <f t="shared" si="2"/>
        <v>PROT:CCU56074.1</v>
      </c>
      <c r="F172" t="s">
        <v>252</v>
      </c>
      <c r="G172" t="s">
        <v>145</v>
      </c>
      <c r="H172" t="s">
        <v>2660</v>
      </c>
      <c r="I172" t="str">
        <f>INDEX(Genomes!$I:$I,(MATCH(AllProteins!H172,Genomes!$B:$B,0)))</f>
        <v>HF679133-Choristoneura_rosaceana_entomopoxvirus</v>
      </c>
      <c r="J172">
        <f>INDEX(Genomes!$A:$A,(MATCH(AllProteins!H172,Genomes!$B:$B,0)))</f>
        <v>14</v>
      </c>
      <c r="K172" t="str">
        <f>INDEX(Genomes!$J:$J,(MATCH(AllProteins!H172,Genomes!$B:$B,0)))</f>
        <v>Y</v>
      </c>
    </row>
    <row r="173" spans="1:11" x14ac:dyDescent="0.2">
      <c r="A173">
        <f>INDEX(CoreProteinGroups!A:A,MATCH(B173,CoreProteinGroups!B:B,0))</f>
        <v>2</v>
      </c>
      <c r="B173" s="1" t="s">
        <v>251</v>
      </c>
      <c r="C173" t="str">
        <f>VLOOKUP(B173,CoreProteinGroups!$B:$C,2,FALSE)</f>
        <v>holliday junction resolvase</v>
      </c>
      <c r="D173" t="s">
        <v>344</v>
      </c>
      <c r="E173" s="6" t="str">
        <f t="shared" si="2"/>
        <v>PROT:CCU56396.1</v>
      </c>
      <c r="F173" t="s">
        <v>252</v>
      </c>
      <c r="G173" t="s">
        <v>147</v>
      </c>
      <c r="H173" t="s">
        <v>2675</v>
      </c>
      <c r="I173" t="str">
        <f>INDEX(Genomes!$I:$I,(MATCH(AllProteins!H173,Genomes!$B:$B,0)))</f>
        <v>HF679134-Mythimna_separata_entomopoxvirus</v>
      </c>
      <c r="J173">
        <f>INDEX(Genomes!$A:$A,(MATCH(AllProteins!H173,Genomes!$B:$B,0)))</f>
        <v>31</v>
      </c>
      <c r="K173" t="str">
        <f>INDEX(Genomes!$J:$J,(MATCH(AllProteins!H173,Genomes!$B:$B,0)))</f>
        <v>Y</v>
      </c>
    </row>
    <row r="174" spans="1:11" x14ac:dyDescent="0.2">
      <c r="A174">
        <f>INDEX(CoreProteinGroups!A:A,MATCH(B174,CoreProteinGroups!B:B,0))</f>
        <v>2</v>
      </c>
      <c r="B174" s="1" t="s">
        <v>251</v>
      </c>
      <c r="C174" t="str">
        <f>VLOOKUP(B174,CoreProteinGroups!$B:$C,2,FALSE)</f>
        <v>holliday junction resolvase</v>
      </c>
      <c r="D174" t="s">
        <v>345</v>
      </c>
      <c r="E174" s="6" t="str">
        <f t="shared" si="2"/>
        <v>PROT:NP_659686.1</v>
      </c>
      <c r="F174" t="s">
        <v>346</v>
      </c>
      <c r="G174" t="s">
        <v>150</v>
      </c>
      <c r="H174" t="s">
        <v>2620</v>
      </c>
      <c r="I174" t="str">
        <f>INDEX(Genomes!$I:$I,(MATCH(AllProteins!H174,Genomes!$B:$B,0)))</f>
        <v>NC_004002-sheeppox_virus</v>
      </c>
      <c r="J174">
        <f>INDEX(Genomes!$A:$A,(MATCH(AllProteins!H174,Genomes!$B:$B,0)))</f>
        <v>44</v>
      </c>
      <c r="K174" t="str">
        <f>INDEX(Genomes!$J:$J,(MATCH(AllProteins!H174,Genomes!$B:$B,0)))</f>
        <v>Y</v>
      </c>
    </row>
    <row r="175" spans="1:11" x14ac:dyDescent="0.2">
      <c r="A175">
        <f>INDEX(CoreProteinGroups!A:A,MATCH(B175,CoreProteinGroups!B:B,0))</f>
        <v>2</v>
      </c>
      <c r="B175" s="1" t="s">
        <v>251</v>
      </c>
      <c r="C175" t="str">
        <f>VLOOKUP(B175,CoreProteinGroups!$B:$C,2,FALSE)</f>
        <v>holliday junction resolvase</v>
      </c>
      <c r="D175" t="s">
        <v>347</v>
      </c>
      <c r="E175" s="6" t="str">
        <f t="shared" si="2"/>
        <v>PROT:YP_001293305.1</v>
      </c>
      <c r="F175" t="s">
        <v>348</v>
      </c>
      <c r="G175" t="s">
        <v>153</v>
      </c>
      <c r="H175" t="s">
        <v>2644</v>
      </c>
      <c r="I175" t="str">
        <f>INDEX(Genomes!$I:$I,(MATCH(AllProteins!H175,Genomes!$B:$B,0)))</f>
        <v>NC_004003-goatpox_virus</v>
      </c>
      <c r="J175">
        <f>INDEX(Genomes!$A:$A,(MATCH(AllProteins!H175,Genomes!$B:$B,0)))</f>
        <v>23</v>
      </c>
      <c r="K175" t="str">
        <f>INDEX(Genomes!$J:$J,(MATCH(AllProteins!H175,Genomes!$B:$B,0)))</f>
        <v>Y</v>
      </c>
    </row>
    <row r="176" spans="1:11" x14ac:dyDescent="0.2">
      <c r="A176">
        <f>INDEX(CoreProteinGroups!A:A,MATCH(B176,CoreProteinGroups!B:B,0))</f>
        <v>3</v>
      </c>
      <c r="B176" s="1" t="s">
        <v>349</v>
      </c>
      <c r="C176" t="str">
        <f>VLOOKUP(B176,CoreProteinGroups!$B:$C,2,FALSE)</f>
        <v>VITF-3</v>
      </c>
      <c r="D176" t="s">
        <v>351</v>
      </c>
      <c r="E176" s="6" t="str">
        <f t="shared" si="2"/>
        <v>PROT:ATI21225.1</v>
      </c>
      <c r="F176" t="s">
        <v>352</v>
      </c>
      <c r="G176" t="s">
        <v>11</v>
      </c>
      <c r="H176" t="s">
        <v>2663</v>
      </c>
      <c r="I176" t="str">
        <f>INDEX(Genomes!$I:$I,(MATCH(AllProteins!H176,Genomes!$B:$B,0)))</f>
        <v>MF467281-Eastern_grey_kangaroopox_virus</v>
      </c>
      <c r="J176">
        <f>INDEX(Genomes!$A:$A,(MATCH(AllProteins!H176,Genomes!$B:$B,0)))</f>
        <v>18</v>
      </c>
      <c r="K176" t="str">
        <f>INDEX(Genomes!$J:$J,(MATCH(AllProteins!H176,Genomes!$B:$B,0)))</f>
        <v>Y</v>
      </c>
    </row>
    <row r="177" spans="1:11" x14ac:dyDescent="0.2">
      <c r="A177">
        <f>INDEX(CoreProteinGroups!A:A,MATCH(B177,CoreProteinGroups!B:B,0))</f>
        <v>3</v>
      </c>
      <c r="B177" s="1" t="s">
        <v>349</v>
      </c>
      <c r="C177" t="str">
        <f>VLOOKUP(B177,CoreProteinGroups!$B:$C,2,FALSE)</f>
        <v>VITF-3</v>
      </c>
      <c r="D177" t="s">
        <v>353</v>
      </c>
      <c r="E177" s="6" t="str">
        <f t="shared" si="2"/>
        <v>PROT:AWU47158.1</v>
      </c>
      <c r="F177" t="s">
        <v>350</v>
      </c>
      <c r="G177" t="s">
        <v>13</v>
      </c>
      <c r="H177" t="s">
        <v>2688</v>
      </c>
      <c r="I177" t="str">
        <f>INDEX(Genomes!$I:$I,(MATCH(AllProteins!H177,Genomes!$B:$B,0)))</f>
        <v>MH427217-sea_otter_poxvirus</v>
      </c>
      <c r="J177">
        <f>INDEX(Genomes!$A:$A,(MATCH(AllProteins!H177,Genomes!$B:$B,0)))</f>
        <v>47</v>
      </c>
      <c r="K177" t="str">
        <f>INDEX(Genomes!$J:$J,(MATCH(AllProteins!H177,Genomes!$B:$B,0)))</f>
        <v>Y</v>
      </c>
    </row>
    <row r="178" spans="1:11" x14ac:dyDescent="0.2">
      <c r="A178">
        <f>INDEX(CoreProteinGroups!A:A,MATCH(B178,CoreProteinGroups!B:B,0))</f>
        <v>3</v>
      </c>
      <c r="B178" s="1" t="s">
        <v>349</v>
      </c>
      <c r="C178" t="str">
        <f>VLOOKUP(B178,CoreProteinGroups!$B:$C,2,FALSE)</f>
        <v>VITF-3</v>
      </c>
      <c r="D178" t="s">
        <v>354</v>
      </c>
      <c r="E178" s="6" t="str">
        <f t="shared" si="2"/>
        <v>PROT:APG58333.1</v>
      </c>
      <c r="F178" t="s">
        <v>355</v>
      </c>
      <c r="G178" t="s">
        <v>16</v>
      </c>
      <c r="H178" t="s">
        <v>2653</v>
      </c>
      <c r="I178" t="str">
        <f>INDEX(Genomes!$I:$I,(MATCH(AllProteins!H178,Genomes!$B:$B,0)))</f>
        <v>KY094066-BeAn_58058_virus</v>
      </c>
      <c r="J178">
        <f>INDEX(Genomes!$A:$A,(MATCH(AllProteins!H178,Genomes!$B:$B,0)))</f>
        <v>7</v>
      </c>
      <c r="K178" t="str">
        <f>INDEX(Genomes!$J:$J,(MATCH(AllProteins!H178,Genomes!$B:$B,0)))</f>
        <v>N</v>
      </c>
    </row>
    <row r="179" spans="1:11" x14ac:dyDescent="0.2">
      <c r="A179">
        <f>INDEX(CoreProteinGroups!A:A,MATCH(B179,CoreProteinGroups!B:B,0))</f>
        <v>3</v>
      </c>
      <c r="B179" s="1" t="s">
        <v>349</v>
      </c>
      <c r="C179" t="str">
        <f>VLOOKUP(B179,CoreProteinGroups!$B:$C,2,FALSE)</f>
        <v>VITF-3</v>
      </c>
      <c r="D179" t="s">
        <v>356</v>
      </c>
      <c r="E179" s="6" t="str">
        <f t="shared" si="2"/>
        <v>PROT:ADT91142.1</v>
      </c>
      <c r="F179" t="s">
        <v>357</v>
      </c>
      <c r="G179" t="s">
        <v>19</v>
      </c>
      <c r="H179" t="s">
        <v>2658</v>
      </c>
      <c r="I179" t="str">
        <f>INDEX(Genomes!$I:$I,(MATCH(AllProteins!H179,Genomes!$B:$B,0)))</f>
        <v>HQ647181-Cotia_virus</v>
      </c>
      <c r="J179">
        <f>INDEX(Genomes!$A:$A,(MATCH(AllProteins!H179,Genomes!$B:$B,0)))</f>
        <v>12</v>
      </c>
      <c r="K179" t="str">
        <f>INDEX(Genomes!$J:$J,(MATCH(AllProteins!H179,Genomes!$B:$B,0)))</f>
        <v>Y</v>
      </c>
    </row>
    <row r="180" spans="1:11" x14ac:dyDescent="0.2">
      <c r="A180">
        <f>INDEX(CoreProteinGroups!A:A,MATCH(B180,CoreProteinGroups!B:B,0))</f>
        <v>3</v>
      </c>
      <c r="B180" s="1" t="s">
        <v>349</v>
      </c>
      <c r="C180" t="str">
        <f>VLOOKUP(B180,CoreProteinGroups!$B:$C,2,FALSE)</f>
        <v>VITF-3</v>
      </c>
      <c r="D180" t="s">
        <v>358</v>
      </c>
      <c r="E180" s="6" t="str">
        <f t="shared" si="2"/>
        <v>PROT:ANS71202.1</v>
      </c>
      <c r="F180" t="s">
        <v>359</v>
      </c>
      <c r="G180" t="s">
        <v>21</v>
      </c>
      <c r="H180" t="s">
        <v>2682</v>
      </c>
      <c r="I180" t="str">
        <f>INDEX(Genomes!$I:$I,(MATCH(AllProteins!H180,Genomes!$B:$B,0)))</f>
        <v>KU980965-pteropox_virus</v>
      </c>
      <c r="J180">
        <f>INDEX(Genomes!$A:$A,(MATCH(AllProteins!H180,Genomes!$B:$B,0)))</f>
        <v>40</v>
      </c>
      <c r="K180" t="str">
        <f>INDEX(Genomes!$J:$J,(MATCH(AllProteins!H180,Genomes!$B:$B,0)))</f>
        <v>Y</v>
      </c>
    </row>
    <row r="181" spans="1:11" x14ac:dyDescent="0.2">
      <c r="A181">
        <f>INDEX(CoreProteinGroups!A:A,MATCH(B181,CoreProteinGroups!B:B,0))</f>
        <v>3</v>
      </c>
      <c r="B181" s="1" t="s">
        <v>349</v>
      </c>
      <c r="C181" t="str">
        <f>VLOOKUP(B181,CoreProteinGroups!$B:$C,2,FALSE)</f>
        <v>VITF-3</v>
      </c>
      <c r="D181" t="s">
        <v>360</v>
      </c>
      <c r="E181" s="6" t="str">
        <f t="shared" si="2"/>
        <v>PROT:AKR04249.1</v>
      </c>
      <c r="F181" t="s">
        <v>361</v>
      </c>
      <c r="G181" t="s">
        <v>24</v>
      </c>
      <c r="H181" t="s">
        <v>2687</v>
      </c>
      <c r="I181" t="str">
        <f>INDEX(Genomes!$I:$I,(MATCH(AllProteins!H181,Genomes!$B:$B,0)))</f>
        <v>KT159937-salmon_gill_poxvirus</v>
      </c>
      <c r="J181">
        <f>INDEX(Genomes!$A:$A,(MATCH(AllProteins!H181,Genomes!$B:$B,0)))</f>
        <v>46</v>
      </c>
      <c r="K181" t="str">
        <f>INDEX(Genomes!$J:$J,(MATCH(AllProteins!H181,Genomes!$B:$B,0)))</f>
        <v>Y</v>
      </c>
    </row>
    <row r="182" spans="1:11" x14ac:dyDescent="0.2">
      <c r="A182">
        <f>INDEX(CoreProteinGroups!A:A,MATCH(B182,CoreProteinGroups!B:B,0))</f>
        <v>3</v>
      </c>
      <c r="B182" s="1" t="s">
        <v>349</v>
      </c>
      <c r="C182" t="str">
        <f>VLOOKUP(B182,CoreProteinGroups!$B:$C,2,FALSE)</f>
        <v>VITF-3</v>
      </c>
      <c r="D182" t="s">
        <v>362</v>
      </c>
      <c r="E182" s="6" t="str">
        <f t="shared" si="2"/>
        <v>PROT:CCD83295.1</v>
      </c>
      <c r="F182" t="s">
        <v>363</v>
      </c>
      <c r="G182" t="s">
        <v>27</v>
      </c>
      <c r="H182" t="s">
        <v>2689</v>
      </c>
      <c r="I182" t="str">
        <f>INDEX(Genomes!$I:$I,(MATCH(AllProteins!H182,Genomes!$B:$B,0)))</f>
        <v>HE601899-squirrelpox_virus</v>
      </c>
      <c r="J182">
        <f>INDEX(Genomes!$A:$A,(MATCH(AllProteins!H182,Genomes!$B:$B,0)))</f>
        <v>48</v>
      </c>
      <c r="K182" t="str">
        <f>INDEX(Genomes!$J:$J,(MATCH(AllProteins!H182,Genomes!$B:$B,0)))</f>
        <v>Y</v>
      </c>
    </row>
    <row r="183" spans="1:11" x14ac:dyDescent="0.2">
      <c r="A183">
        <f>INDEX(CoreProteinGroups!A:A,MATCH(B183,CoreProteinGroups!B:B,0))</f>
        <v>3</v>
      </c>
      <c r="B183" s="1" t="s">
        <v>349</v>
      </c>
      <c r="C183" t="str">
        <f>VLOOKUP(B183,CoreProteinGroups!$B:$C,2,FALSE)</f>
        <v>VITF-3</v>
      </c>
      <c r="D183" t="s">
        <v>364</v>
      </c>
      <c r="E183" s="6" t="str">
        <f t="shared" si="2"/>
        <v>PROT:ASK51321.1</v>
      </c>
      <c r="F183" t="s">
        <v>365</v>
      </c>
      <c r="G183" t="s">
        <v>30</v>
      </c>
      <c r="H183" t="s">
        <v>2664</v>
      </c>
      <c r="I183" t="str">
        <f>INDEX(Genomes!$I:$I,(MATCH(AllProteins!H183,Genomes!$B:$B,0)))</f>
        <v>KY747497-eptesipox_virus</v>
      </c>
      <c r="J183">
        <f>INDEX(Genomes!$A:$A,(MATCH(AllProteins!H183,Genomes!$B:$B,0)))</f>
        <v>19</v>
      </c>
      <c r="K183" t="str">
        <f>INDEX(Genomes!$J:$J,(MATCH(AllProteins!H183,Genomes!$B:$B,0)))</f>
        <v>Y</v>
      </c>
    </row>
    <row r="184" spans="1:11" x14ac:dyDescent="0.2">
      <c r="A184">
        <f>INDEX(CoreProteinGroups!A:A,MATCH(B184,CoreProteinGroups!B:B,0))</f>
        <v>3</v>
      </c>
      <c r="B184" s="1" t="s">
        <v>349</v>
      </c>
      <c r="C184" t="str">
        <f>VLOOKUP(B184,CoreProteinGroups!$B:$C,2,FALSE)</f>
        <v>VITF-3</v>
      </c>
      <c r="D184" t="s">
        <v>366</v>
      </c>
      <c r="E184" s="6" t="str">
        <f t="shared" si="2"/>
        <v>PROT:AUD40296.1</v>
      </c>
      <c r="F184" t="s">
        <v>367</v>
      </c>
      <c r="G184" t="s">
        <v>32</v>
      </c>
      <c r="H184" t="s">
        <v>2665</v>
      </c>
      <c r="I184" t="str">
        <f>INDEX(Genomes!$I:$I,(MATCH(AllProteins!H184,Genomes!$B:$B,0)))</f>
        <v>MF678796-flamingopox_virus</v>
      </c>
      <c r="J184">
        <f>INDEX(Genomes!$A:$A,(MATCH(AllProteins!H184,Genomes!$B:$B,0)))</f>
        <v>20</v>
      </c>
      <c r="K184" t="str">
        <f>INDEX(Genomes!$J:$J,(MATCH(AllProteins!H184,Genomes!$B:$B,0)))</f>
        <v>Y</v>
      </c>
    </row>
    <row r="185" spans="1:11" x14ac:dyDescent="0.2">
      <c r="A185">
        <f>INDEX(CoreProteinGroups!A:A,MATCH(B185,CoreProteinGroups!B:B,0))</f>
        <v>3</v>
      </c>
      <c r="B185" s="1" t="s">
        <v>349</v>
      </c>
      <c r="C185" t="str">
        <f>VLOOKUP(B185,CoreProteinGroups!$B:$C,2,FALSE)</f>
        <v>VITF-3</v>
      </c>
      <c r="D185" t="s">
        <v>368</v>
      </c>
      <c r="E185" s="6" t="str">
        <f t="shared" si="2"/>
        <v>PROT:AID46927.1</v>
      </c>
      <c r="F185" t="s">
        <v>369</v>
      </c>
      <c r="G185" t="s">
        <v>34</v>
      </c>
      <c r="H185" t="s">
        <v>2681</v>
      </c>
      <c r="I185" t="str">
        <f>INDEX(Genomes!$I:$I,(MATCH(AllProteins!H185,Genomes!$B:$B,0)))</f>
        <v>KJ859677-penguinpox_virus</v>
      </c>
      <c r="J185">
        <f>INDEX(Genomes!$A:$A,(MATCH(AllProteins!H185,Genomes!$B:$B,0)))</f>
        <v>39</v>
      </c>
      <c r="K185" t="str">
        <f>INDEX(Genomes!$J:$J,(MATCH(AllProteins!H185,Genomes!$B:$B,0)))</f>
        <v>Y</v>
      </c>
    </row>
    <row r="186" spans="1:11" x14ac:dyDescent="0.2">
      <c r="A186">
        <f>INDEX(CoreProteinGroups!A:A,MATCH(B186,CoreProteinGroups!B:B,0))</f>
        <v>3</v>
      </c>
      <c r="B186" s="1" t="s">
        <v>349</v>
      </c>
      <c r="C186" t="str">
        <f>VLOOKUP(B186,CoreProteinGroups!$B:$C,2,FALSE)</f>
        <v>VITF-3</v>
      </c>
      <c r="D186" t="s">
        <v>370</v>
      </c>
      <c r="E186" s="6" t="str">
        <f t="shared" si="2"/>
        <v>PROT:AID46695.1</v>
      </c>
      <c r="F186" t="s">
        <v>369</v>
      </c>
      <c r="G186" t="s">
        <v>36</v>
      </c>
      <c r="H186" t="s">
        <v>2680</v>
      </c>
      <c r="I186" t="str">
        <f>INDEX(Genomes!$I:$I,(MATCH(AllProteins!H186,Genomes!$B:$B,0)))</f>
        <v>KJ801920-pigeonpox_virus</v>
      </c>
      <c r="J186">
        <f>INDEX(Genomes!$A:$A,(MATCH(AllProteins!H186,Genomes!$B:$B,0)))</f>
        <v>38</v>
      </c>
      <c r="K186" t="str">
        <f>INDEX(Genomes!$J:$J,(MATCH(AllProteins!H186,Genomes!$B:$B,0)))</f>
        <v>Y</v>
      </c>
    </row>
    <row r="187" spans="1:11" x14ac:dyDescent="0.2">
      <c r="A187">
        <f>INDEX(CoreProteinGroups!A:A,MATCH(B187,CoreProteinGroups!B:B,0))</f>
        <v>3</v>
      </c>
      <c r="B187" s="1" t="s">
        <v>349</v>
      </c>
      <c r="C187" t="str">
        <f>VLOOKUP(B187,CoreProteinGroups!$B:$C,2,FALSE)</f>
        <v>VITF-3</v>
      </c>
      <c r="D187" t="s">
        <v>371</v>
      </c>
      <c r="E187" s="6" t="str">
        <f t="shared" si="2"/>
        <v>PROT:ALA62512.1</v>
      </c>
      <c r="F187" t="s">
        <v>369</v>
      </c>
      <c r="G187" t="s">
        <v>39</v>
      </c>
      <c r="H187" t="s">
        <v>2692</v>
      </c>
      <c r="I187" t="str">
        <f>INDEX(Genomes!$I:$I,(MATCH(AllProteins!H187,Genomes!$B:$B,0)))</f>
        <v>KP728110-turkeypox_virus</v>
      </c>
      <c r="J187">
        <f>INDEX(Genomes!$A:$A,(MATCH(AllProteins!H187,Genomes!$B:$B,0)))</f>
        <v>51</v>
      </c>
      <c r="K187" t="str">
        <f>INDEX(Genomes!$J:$J,(MATCH(AllProteins!H187,Genomes!$B:$B,0)))</f>
        <v>Y</v>
      </c>
    </row>
    <row r="188" spans="1:11" x14ac:dyDescent="0.2">
      <c r="A188">
        <f>INDEX(CoreProteinGroups!A:A,MATCH(B188,CoreProteinGroups!B:B,0))</f>
        <v>3</v>
      </c>
      <c r="B188" s="1" t="s">
        <v>349</v>
      </c>
      <c r="C188" t="str">
        <f>VLOOKUP(B188,CoreProteinGroups!$B:$C,2,FALSE)</f>
        <v>VITF-3</v>
      </c>
      <c r="D188" t="s">
        <v>372</v>
      </c>
      <c r="E188" s="6" t="str">
        <f t="shared" si="2"/>
        <v>PROT:AAR83608.1</v>
      </c>
      <c r="F188" t="s">
        <v>373</v>
      </c>
      <c r="G188" t="s">
        <v>42</v>
      </c>
      <c r="H188" t="s">
        <v>2657</v>
      </c>
      <c r="I188" t="str">
        <f>INDEX(Genomes!$I:$I,(MATCH(AllProteins!H188,Genomes!$B:$B,0)))</f>
        <v>AY318871-canarypox_virus</v>
      </c>
      <c r="J188">
        <f>INDEX(Genomes!$A:$A,(MATCH(AllProteins!H188,Genomes!$B:$B,0)))</f>
        <v>11</v>
      </c>
      <c r="K188" t="str">
        <f>INDEX(Genomes!$J:$J,(MATCH(AllProteins!H188,Genomes!$B:$B,0)))</f>
        <v>Y</v>
      </c>
    </row>
    <row r="189" spans="1:11" x14ac:dyDescent="0.2">
      <c r="A189">
        <f>INDEX(CoreProteinGroups!A:A,MATCH(B189,CoreProteinGroups!B:B,0))</f>
        <v>3</v>
      </c>
      <c r="B189" s="1" t="s">
        <v>349</v>
      </c>
      <c r="C189" t="str">
        <f>VLOOKUP(B189,CoreProteinGroups!$B:$C,2,FALSE)</f>
        <v>VITF-3</v>
      </c>
      <c r="D189" t="s">
        <v>374</v>
      </c>
      <c r="E189" s="6" t="str">
        <f t="shared" si="2"/>
        <v>PROT:AAF44532.1</v>
      </c>
      <c r="F189" t="s">
        <v>375</v>
      </c>
      <c r="G189" t="s">
        <v>45</v>
      </c>
      <c r="H189" t="s">
        <v>2666</v>
      </c>
      <c r="I189" t="str">
        <f>INDEX(Genomes!$I:$I,(MATCH(AllProteins!H189,Genomes!$B:$B,0)))</f>
        <v>AF198100-fowlpox_virus</v>
      </c>
      <c r="J189">
        <f>INDEX(Genomes!$A:$A,(MATCH(AllProteins!H189,Genomes!$B:$B,0)))</f>
        <v>21</v>
      </c>
      <c r="K189" t="str">
        <f>INDEX(Genomes!$J:$J,(MATCH(AllProteins!H189,Genomes!$B:$B,0)))</f>
        <v>Y</v>
      </c>
    </row>
    <row r="190" spans="1:11" x14ac:dyDescent="0.2">
      <c r="A190">
        <f>INDEX(CoreProteinGroups!A:A,MATCH(B190,CoreProteinGroups!B:B,0))</f>
        <v>3</v>
      </c>
      <c r="B190" s="1" t="s">
        <v>349</v>
      </c>
      <c r="C190" t="str">
        <f>VLOOKUP(B190,CoreProteinGroups!$B:$C,2,FALSE)</f>
        <v>VITF-3</v>
      </c>
      <c r="D190" t="s">
        <v>376</v>
      </c>
      <c r="E190" s="6" t="str">
        <f t="shared" si="2"/>
        <v>PROT:YP_001293306.1</v>
      </c>
      <c r="F190" t="s">
        <v>377</v>
      </c>
      <c r="G190" t="s">
        <v>153</v>
      </c>
      <c r="H190" t="s">
        <v>2644</v>
      </c>
      <c r="I190" t="str">
        <f>INDEX(Genomes!$I:$I,(MATCH(AllProteins!H190,Genomes!$B:$B,0)))</f>
        <v>NC_004003-goatpox_virus</v>
      </c>
      <c r="J190">
        <f>INDEX(Genomes!$A:$A,(MATCH(AllProteins!H190,Genomes!$B:$B,0)))</f>
        <v>23</v>
      </c>
      <c r="K190" t="str">
        <f>INDEX(Genomes!$J:$J,(MATCH(AllProteins!H190,Genomes!$B:$B,0)))</f>
        <v>Y</v>
      </c>
    </row>
    <row r="191" spans="1:11" x14ac:dyDescent="0.2">
      <c r="A191">
        <f>INDEX(CoreProteinGroups!A:A,MATCH(B191,CoreProteinGroups!B:B,0))</f>
        <v>3</v>
      </c>
      <c r="B191" s="1" t="s">
        <v>349</v>
      </c>
      <c r="C191" t="str">
        <f>VLOOKUP(B191,CoreProteinGroups!$B:$C,2,FALSE)</f>
        <v>VITF-3</v>
      </c>
      <c r="D191" t="s">
        <v>378</v>
      </c>
      <c r="E191" s="6" t="str">
        <f t="shared" si="2"/>
        <v>PROT:AAK85076.1</v>
      </c>
      <c r="F191" t="s">
        <v>379</v>
      </c>
      <c r="G191" t="s">
        <v>48</v>
      </c>
      <c r="H191" t="s">
        <v>2669</v>
      </c>
      <c r="I191" t="str">
        <f>INDEX(Genomes!$I:$I,(MATCH(AllProteins!H191,Genomes!$B:$B,0)))</f>
        <v>AF325528-lumpy_skin_disease_virus</v>
      </c>
      <c r="J191">
        <f>INDEX(Genomes!$A:$A,(MATCH(AllProteins!H191,Genomes!$B:$B,0)))</f>
        <v>25</v>
      </c>
      <c r="K191" t="str">
        <f>INDEX(Genomes!$J:$J,(MATCH(AllProteins!H191,Genomes!$B:$B,0)))</f>
        <v>Y</v>
      </c>
    </row>
    <row r="192" spans="1:11" x14ac:dyDescent="0.2">
      <c r="A192">
        <f>INDEX(CoreProteinGroups!A:A,MATCH(B192,CoreProteinGroups!B:B,0))</f>
        <v>3</v>
      </c>
      <c r="B192" s="1" t="s">
        <v>349</v>
      </c>
      <c r="C192" t="str">
        <f>VLOOKUP(B192,CoreProteinGroups!$B:$C,2,FALSE)</f>
        <v>VITF-3</v>
      </c>
      <c r="D192" t="s">
        <v>380</v>
      </c>
      <c r="E192" s="6" t="str">
        <f t="shared" si="2"/>
        <v>PROT:NP_659687.1</v>
      </c>
      <c r="F192" t="s">
        <v>381</v>
      </c>
      <c r="G192" t="s">
        <v>150</v>
      </c>
      <c r="H192" t="s">
        <v>2620</v>
      </c>
      <c r="I192" t="str">
        <f>INDEX(Genomes!$I:$I,(MATCH(AllProteins!H192,Genomes!$B:$B,0)))</f>
        <v>NC_004002-sheeppox_virus</v>
      </c>
      <c r="J192">
        <f>INDEX(Genomes!$A:$A,(MATCH(AllProteins!H192,Genomes!$B:$B,0)))</f>
        <v>44</v>
      </c>
      <c r="K192" t="str">
        <f>INDEX(Genomes!$J:$J,(MATCH(AllProteins!H192,Genomes!$B:$B,0)))</f>
        <v>Y</v>
      </c>
    </row>
    <row r="193" spans="1:11" x14ac:dyDescent="0.2">
      <c r="A193">
        <f>INDEX(CoreProteinGroups!A:A,MATCH(B193,CoreProteinGroups!B:B,0))</f>
        <v>3</v>
      </c>
      <c r="B193" s="1" t="s">
        <v>349</v>
      </c>
      <c r="C193" t="str">
        <f>VLOOKUP(B193,CoreProteinGroups!$B:$C,2,FALSE)</f>
        <v>VITF-3</v>
      </c>
      <c r="D193" t="s">
        <v>382</v>
      </c>
      <c r="E193" s="6" t="str">
        <f t="shared" si="2"/>
        <v>PROT:AST09334.1</v>
      </c>
      <c r="F193" t="s">
        <v>361</v>
      </c>
      <c r="G193" t="s">
        <v>50</v>
      </c>
      <c r="H193" t="s">
        <v>2671</v>
      </c>
      <c r="I193" t="str">
        <f>INDEX(Genomes!$I:$I,(MATCH(AllProteins!H193,Genomes!$B:$B,0)))</f>
        <v>MF001304-Murmansk_poxvirus</v>
      </c>
      <c r="J193">
        <f>INDEX(Genomes!$A:$A,(MATCH(AllProteins!H193,Genomes!$B:$B,0)))</f>
        <v>27</v>
      </c>
      <c r="K193" t="str">
        <f>INDEX(Genomes!$J:$J,(MATCH(AllProteins!H193,Genomes!$B:$B,0)))</f>
        <v>Y</v>
      </c>
    </row>
    <row r="194" spans="1:11" x14ac:dyDescent="0.2">
      <c r="A194">
        <f>INDEX(CoreProteinGroups!A:A,MATCH(B194,CoreProteinGroups!B:B,0))</f>
        <v>3</v>
      </c>
      <c r="B194" s="1" t="s">
        <v>349</v>
      </c>
      <c r="C194" t="str">
        <f>VLOOKUP(B194,CoreProteinGroups!$B:$C,2,FALSE)</f>
        <v>VITF-3</v>
      </c>
      <c r="D194" t="s">
        <v>383</v>
      </c>
      <c r="E194" s="6" t="str">
        <f t="shared" ref="E194:E257" si="3">HYPERLINK(_xlfn.CONCAT("https://www.ncbi.nlm.nih.gov/protein/",D194),_xlfn.CONCAT("PROT:",D194))</f>
        <v>PROT:AEN03716.1</v>
      </c>
      <c r="F194" t="s">
        <v>384</v>
      </c>
      <c r="G194" t="s">
        <v>52</v>
      </c>
      <c r="H194" t="s">
        <v>2698</v>
      </c>
      <c r="I194" t="str">
        <f>INDEX(Genomes!$I:$I,(MATCH(AllProteins!H194,Genomes!$B:$B,0)))</f>
        <v>HQ849551-yokapox_virus</v>
      </c>
      <c r="J194">
        <f>INDEX(Genomes!$A:$A,(MATCH(AllProteins!H194,Genomes!$B:$B,0)))</f>
        <v>57</v>
      </c>
      <c r="K194" t="str">
        <f>INDEX(Genomes!$J:$J,(MATCH(AllProteins!H194,Genomes!$B:$B,0)))</f>
        <v>Y</v>
      </c>
    </row>
    <row r="195" spans="1:11" x14ac:dyDescent="0.2">
      <c r="A195">
        <f>INDEX(CoreProteinGroups!A:A,MATCH(B195,CoreProteinGroups!B:B,0))</f>
        <v>3</v>
      </c>
      <c r="B195" s="1" t="s">
        <v>349</v>
      </c>
      <c r="C195" t="str">
        <f>VLOOKUP(B195,CoreProteinGroups!$B:$C,2,FALSE)</f>
        <v>VITF-3</v>
      </c>
      <c r="D195" t="s">
        <v>385</v>
      </c>
      <c r="E195" s="6" t="str">
        <f t="shared" si="3"/>
        <v>PROT:ABI99279.1</v>
      </c>
      <c r="F195" t="s">
        <v>369</v>
      </c>
      <c r="G195" t="s">
        <v>54</v>
      </c>
      <c r="H195" t="s">
        <v>2661</v>
      </c>
      <c r="I195" t="str">
        <f>INDEX(Genomes!$I:$I,(MATCH(AllProteins!H195,Genomes!$B:$B,0)))</f>
        <v>AY689436-mule_deerpox_virus</v>
      </c>
      <c r="J195">
        <f>INDEX(Genomes!$A:$A,(MATCH(AllProteins!H195,Genomes!$B:$B,0)))</f>
        <v>15</v>
      </c>
      <c r="K195" t="str">
        <f>INDEX(Genomes!$J:$J,(MATCH(AllProteins!H195,Genomes!$B:$B,0)))</f>
        <v>Y</v>
      </c>
    </row>
    <row r="196" spans="1:11" x14ac:dyDescent="0.2">
      <c r="A196">
        <f>INDEX(CoreProteinGroups!A:A,MATCH(B196,CoreProteinGroups!B:B,0))</f>
        <v>3</v>
      </c>
      <c r="B196" s="1" t="s">
        <v>349</v>
      </c>
      <c r="C196" t="str">
        <f>VLOOKUP(B196,CoreProteinGroups!$B:$C,2,FALSE)</f>
        <v>VITF-3</v>
      </c>
      <c r="D196" t="s">
        <v>386</v>
      </c>
      <c r="E196" s="6" t="str">
        <f t="shared" si="3"/>
        <v>PROT:ABJ09037.1</v>
      </c>
      <c r="F196" t="s">
        <v>369</v>
      </c>
      <c r="G196" t="s">
        <v>56</v>
      </c>
      <c r="H196" t="s">
        <v>2677</v>
      </c>
      <c r="I196" t="str">
        <f>INDEX(Genomes!$I:$I,(MATCH(AllProteins!H196,Genomes!$B:$B,0)))</f>
        <v>DQ356948-Nile_crocodilepox_virus</v>
      </c>
      <c r="J196">
        <f>INDEX(Genomes!$A:$A,(MATCH(AllProteins!H196,Genomes!$B:$B,0)))</f>
        <v>34</v>
      </c>
      <c r="K196" t="str">
        <f>INDEX(Genomes!$J:$J,(MATCH(AllProteins!H196,Genomes!$B:$B,0)))</f>
        <v>Y</v>
      </c>
    </row>
    <row r="197" spans="1:11" x14ac:dyDescent="0.2">
      <c r="A197">
        <f>INDEX(CoreProteinGroups!A:A,MATCH(B197,CoreProteinGroups!B:B,0))</f>
        <v>3</v>
      </c>
      <c r="B197" s="1" t="s">
        <v>349</v>
      </c>
      <c r="C197" t="str">
        <f>VLOOKUP(B197,CoreProteinGroups!$B:$C,2,FALSE)</f>
        <v>VITF-3</v>
      </c>
      <c r="D197" t="s">
        <v>387</v>
      </c>
      <c r="E197" s="6" t="str">
        <f t="shared" si="3"/>
        <v>PROT:AAF15001.1</v>
      </c>
      <c r="F197" t="s">
        <v>388</v>
      </c>
      <c r="G197" t="s">
        <v>2584</v>
      </c>
      <c r="H197" t="s">
        <v>2676</v>
      </c>
      <c r="I197" t="str">
        <f>INDEX(Genomes!$I:$I,(MATCH(AllProteins!H197,Genomes!$B:$B,0)))</f>
        <v>AF170726-myxoma_virus</v>
      </c>
      <c r="J197">
        <f>INDEX(Genomes!$A:$A,(MATCH(AllProteins!H197,Genomes!$B:$B,0)))</f>
        <v>32</v>
      </c>
      <c r="K197" t="str">
        <f>INDEX(Genomes!$J:$J,(MATCH(AllProteins!H197,Genomes!$B:$B,0)))</f>
        <v>Y</v>
      </c>
    </row>
    <row r="198" spans="1:11" x14ac:dyDescent="0.2">
      <c r="A198">
        <f>INDEX(CoreProteinGroups!A:A,MATCH(B198,CoreProteinGroups!B:B,0))</f>
        <v>3</v>
      </c>
      <c r="B198" s="1" t="s">
        <v>349</v>
      </c>
      <c r="C198" t="str">
        <f>VLOOKUP(B198,CoreProteinGroups!$B:$C,2,FALSE)</f>
        <v>VITF-3</v>
      </c>
      <c r="D198" t="s">
        <v>389</v>
      </c>
      <c r="E198" s="6" t="str">
        <f t="shared" si="3"/>
        <v>PROT:AFU77377.1</v>
      </c>
      <c r="F198" t="s">
        <v>388</v>
      </c>
      <c r="G198" t="s">
        <v>2553</v>
      </c>
      <c r="H198" t="s">
        <v>2646</v>
      </c>
      <c r="I198" t="str">
        <f>INDEX(Genomes!$I:$I,(MATCH(AllProteins!H198,Genomes!$B:$B,0)))</f>
        <v>JX565564-myxoma_virus_isolate_BRK_897</v>
      </c>
      <c r="J198">
        <f>INDEX(Genomes!$A:$A,(MATCH(AllProteins!H198,Genomes!$B:$B,0)))</f>
        <v>33</v>
      </c>
      <c r="K198" t="str">
        <f>INDEX(Genomes!$J:$J,(MATCH(AllProteins!H198,Genomes!$B:$B,0)))</f>
        <v>N</v>
      </c>
    </row>
    <row r="199" spans="1:11" x14ac:dyDescent="0.2">
      <c r="A199">
        <f>INDEX(CoreProteinGroups!A:A,MATCH(B199,CoreProteinGroups!B:B,0))</f>
        <v>3</v>
      </c>
      <c r="B199" s="1" t="s">
        <v>349</v>
      </c>
      <c r="C199" t="str">
        <f>VLOOKUP(B199,CoreProteinGroups!$B:$C,2,FALSE)</f>
        <v>VITF-3</v>
      </c>
      <c r="D199" t="s">
        <v>390</v>
      </c>
      <c r="E199" s="6" t="str">
        <f t="shared" si="3"/>
        <v>PROT:AAF17996.1</v>
      </c>
      <c r="F199" t="s">
        <v>391</v>
      </c>
      <c r="G199" t="s">
        <v>62</v>
      </c>
      <c r="H199" t="s">
        <v>2685</v>
      </c>
      <c r="I199" t="str">
        <f>INDEX(Genomes!$I:$I,(MATCH(AllProteins!H199,Genomes!$B:$B,0)))</f>
        <v>AF170722-rabbit_fibroma_virus</v>
      </c>
      <c r="J199">
        <f>INDEX(Genomes!$A:$A,(MATCH(AllProteins!H199,Genomes!$B:$B,0)))</f>
        <v>43</v>
      </c>
      <c r="K199" t="str">
        <f>INDEX(Genomes!$J:$J,(MATCH(AllProteins!H199,Genomes!$B:$B,0)))</f>
        <v>Y</v>
      </c>
    </row>
    <row r="200" spans="1:11" x14ac:dyDescent="0.2">
      <c r="A200">
        <f>INDEX(CoreProteinGroups!A:A,MATCH(B200,CoreProteinGroups!B:B,0))</f>
        <v>3</v>
      </c>
      <c r="B200" s="1" t="s">
        <v>349</v>
      </c>
      <c r="C200" t="str">
        <f>VLOOKUP(B200,CoreProteinGroups!$B:$C,2,FALSE)</f>
        <v>VITF-3</v>
      </c>
      <c r="D200" t="s">
        <v>392</v>
      </c>
      <c r="E200" s="6" t="str">
        <f t="shared" si="3"/>
        <v>PROT:AAC55256.1</v>
      </c>
      <c r="F200" t="s">
        <v>393</v>
      </c>
      <c r="G200" t="s">
        <v>65</v>
      </c>
      <c r="H200" t="s">
        <v>2670</v>
      </c>
      <c r="I200" t="str">
        <f>INDEX(Genomes!$I:$I,(MATCH(AllProteins!H200,Genomes!$B:$B,0)))</f>
        <v>U60315-molluscum_contagiosum_virus</v>
      </c>
      <c r="J200">
        <f>INDEX(Genomes!$A:$A,(MATCH(AllProteins!H200,Genomes!$B:$B,0)))</f>
        <v>26</v>
      </c>
      <c r="K200" t="str">
        <f>INDEX(Genomes!$J:$J,(MATCH(AllProteins!H200,Genomes!$B:$B,0)))</f>
        <v>Y</v>
      </c>
    </row>
    <row r="201" spans="1:11" x14ac:dyDescent="0.2">
      <c r="A201">
        <f>INDEX(CoreProteinGroups!A:A,MATCH(B201,CoreProteinGroups!B:B,0))</f>
        <v>3</v>
      </c>
      <c r="B201" s="1" t="s">
        <v>349</v>
      </c>
      <c r="C201" t="str">
        <f>VLOOKUP(B201,CoreProteinGroups!$B:$C,2,FALSE)</f>
        <v>VITF-3</v>
      </c>
      <c r="D201" t="s">
        <v>394</v>
      </c>
      <c r="E201" s="6" t="str">
        <f t="shared" si="3"/>
        <v>PROT:AYN64708.1</v>
      </c>
      <c r="F201" t="s">
        <v>395</v>
      </c>
      <c r="G201" t="s">
        <v>68</v>
      </c>
      <c r="H201" t="s">
        <v>2647</v>
      </c>
      <c r="I201" t="str">
        <f>INDEX(Genomes!$I:$I,(MATCH(AllProteins!H201,Genomes!$B:$B,0)))</f>
        <v>MH816996-orthopoxvirus_abatino</v>
      </c>
      <c r="J201">
        <f>INDEX(Genomes!$A:$A,(MATCH(AllProteins!H201,Genomes!$B:$B,0)))</f>
        <v>1</v>
      </c>
      <c r="K201" t="str">
        <f>INDEX(Genomes!$J:$J,(MATCH(AllProteins!H201,Genomes!$B:$B,0)))</f>
        <v>Y</v>
      </c>
    </row>
    <row r="202" spans="1:11" x14ac:dyDescent="0.2">
      <c r="A202">
        <f>INDEX(CoreProteinGroups!A:A,MATCH(B202,CoreProteinGroups!B:B,0))</f>
        <v>3</v>
      </c>
      <c r="B202" s="1" t="s">
        <v>349</v>
      </c>
      <c r="C202" t="str">
        <f>VLOOKUP(B202,CoreProteinGroups!$B:$C,2,FALSE)</f>
        <v>VITF-3</v>
      </c>
      <c r="D202" t="s">
        <v>396</v>
      </c>
      <c r="E202" s="6" t="str">
        <f t="shared" si="3"/>
        <v>PROT:AXN74939.1</v>
      </c>
      <c r="F202" t="s">
        <v>397</v>
      </c>
      <c r="G202" t="s">
        <v>70</v>
      </c>
      <c r="H202" t="s">
        <v>2650</v>
      </c>
      <c r="I202" t="str">
        <f>INDEX(Genomes!$I:$I,(MATCH(AllProteins!H202,Genomes!$B:$B,0)))</f>
        <v>MH607141-Akhmeta_virus</v>
      </c>
      <c r="J202">
        <f>INDEX(Genomes!$A:$A,(MATCH(AllProteins!H202,Genomes!$B:$B,0)))</f>
        <v>4</v>
      </c>
      <c r="K202" t="str">
        <f>INDEX(Genomes!$J:$J,(MATCH(AllProteins!H202,Genomes!$B:$B,0)))</f>
        <v>Y</v>
      </c>
    </row>
    <row r="203" spans="1:11" x14ac:dyDescent="0.2">
      <c r="A203">
        <f>INDEX(CoreProteinGroups!A:A,MATCH(B203,CoreProteinGroups!B:B,0))</f>
        <v>3</v>
      </c>
      <c r="B203" s="1" t="s">
        <v>349</v>
      </c>
      <c r="C203" t="str">
        <f>VLOOKUP(B203,CoreProteinGroups!$B:$C,2,FALSE)</f>
        <v>VITF-3</v>
      </c>
      <c r="D203" t="s">
        <v>398</v>
      </c>
      <c r="E203" s="6" t="str">
        <f t="shared" si="3"/>
        <v>PROT:ABH08250.1</v>
      </c>
      <c r="F203" t="s">
        <v>399</v>
      </c>
      <c r="G203" t="s">
        <v>73</v>
      </c>
      <c r="H203" t="s">
        <v>2668</v>
      </c>
      <c r="I203" t="str">
        <f>INDEX(Genomes!$I:$I,(MATCH(AllProteins!H203,Genomes!$B:$B,0)))</f>
        <v>DQ792504-horsepox_virus</v>
      </c>
      <c r="J203">
        <f>INDEX(Genomes!$A:$A,(MATCH(AllProteins!H203,Genomes!$B:$B,0)))</f>
        <v>24</v>
      </c>
      <c r="K203" t="str">
        <f>INDEX(Genomes!$J:$J,(MATCH(AllProteins!H203,Genomes!$B:$B,0)))</f>
        <v>Y</v>
      </c>
    </row>
    <row r="204" spans="1:11" x14ac:dyDescent="0.2">
      <c r="A204">
        <f>INDEX(CoreProteinGroups!A:A,MATCH(B204,CoreProteinGroups!B:B,0))</f>
        <v>3</v>
      </c>
      <c r="B204" s="1" t="s">
        <v>349</v>
      </c>
      <c r="C204" t="str">
        <f>VLOOKUP(B204,CoreProteinGroups!$B:$C,2,FALSE)</f>
        <v>VITF-3</v>
      </c>
      <c r="D204" t="s">
        <v>400</v>
      </c>
      <c r="E204" s="6" t="str">
        <f t="shared" si="3"/>
        <v>PROT:AAG37632.1</v>
      </c>
      <c r="F204" t="s">
        <v>401</v>
      </c>
      <c r="G204" t="s">
        <v>76</v>
      </c>
      <c r="H204" t="s">
        <v>2655</v>
      </c>
      <c r="I204" t="str">
        <f>INDEX(Genomes!$I:$I,(MATCH(AllProteins!H204,Genomes!$B:$B,0)))</f>
        <v>AY009089-camelpox_virus_CMS</v>
      </c>
      <c r="J204">
        <f>INDEX(Genomes!$A:$A,(MATCH(AllProteins!H204,Genomes!$B:$B,0)))</f>
        <v>9</v>
      </c>
      <c r="K204" t="str">
        <f>INDEX(Genomes!$J:$J,(MATCH(AllProteins!H204,Genomes!$B:$B,0)))</f>
        <v>N</v>
      </c>
    </row>
    <row r="205" spans="1:11" x14ac:dyDescent="0.2">
      <c r="A205">
        <f>INDEX(CoreProteinGroups!A:A,MATCH(B205,CoreProteinGroups!B:B,0))</f>
        <v>3</v>
      </c>
      <c r="B205" s="1" t="s">
        <v>349</v>
      </c>
      <c r="C205" t="str">
        <f>VLOOKUP(B205,CoreProteinGroups!$B:$C,2,FALSE)</f>
        <v>VITF-3</v>
      </c>
      <c r="D205" t="s">
        <v>402</v>
      </c>
      <c r="E205" s="6" t="str">
        <f t="shared" si="3"/>
        <v>PROT:AAL73848.1</v>
      </c>
      <c r="F205" t="s">
        <v>403</v>
      </c>
      <c r="G205" t="s">
        <v>79</v>
      </c>
      <c r="H205" t="s">
        <v>2654</v>
      </c>
      <c r="I205" t="str">
        <f>INDEX(Genomes!$I:$I,(MATCH(AllProteins!H205,Genomes!$B:$B,0)))</f>
        <v>AF438165-camelpox_virus</v>
      </c>
      <c r="J205">
        <f>INDEX(Genomes!$A:$A,(MATCH(AllProteins!H205,Genomes!$B:$B,0)))</f>
        <v>8</v>
      </c>
      <c r="K205" t="str">
        <f>INDEX(Genomes!$J:$J,(MATCH(AllProteins!H205,Genomes!$B:$B,0)))</f>
        <v>Y</v>
      </c>
    </row>
    <row r="206" spans="1:11" x14ac:dyDescent="0.2">
      <c r="A206">
        <f>INDEX(CoreProteinGroups!A:A,MATCH(B206,CoreProteinGroups!B:B,0))</f>
        <v>3</v>
      </c>
      <c r="B206" s="1" t="s">
        <v>349</v>
      </c>
      <c r="C206" t="str">
        <f>VLOOKUP(B206,CoreProteinGroups!$B:$C,2,FALSE)</f>
        <v>VITF-3</v>
      </c>
      <c r="D206" t="s">
        <v>404</v>
      </c>
      <c r="E206" s="6" t="str">
        <f t="shared" si="3"/>
        <v>PROT:AAM13598.1</v>
      </c>
      <c r="F206" t="s">
        <v>405</v>
      </c>
      <c r="G206" t="s">
        <v>82</v>
      </c>
      <c r="H206" t="s">
        <v>2659</v>
      </c>
      <c r="I206" t="str">
        <f>INDEX(Genomes!$I:$I,(MATCH(AllProteins!H206,Genomes!$B:$B,0)))</f>
        <v>AF482758-cowpox_virus</v>
      </c>
      <c r="J206">
        <f>INDEX(Genomes!$A:$A,(MATCH(AllProteins!H206,Genomes!$B:$B,0)))</f>
        <v>13</v>
      </c>
      <c r="K206" t="str">
        <f>INDEX(Genomes!$J:$J,(MATCH(AllProteins!H206,Genomes!$B:$B,0)))</f>
        <v>Y</v>
      </c>
    </row>
    <row r="207" spans="1:11" x14ac:dyDescent="0.2">
      <c r="A207">
        <f>INDEX(CoreProteinGroups!A:A,MATCH(B207,CoreProteinGroups!B:B,0))</f>
        <v>3</v>
      </c>
      <c r="B207" s="1" t="s">
        <v>349</v>
      </c>
      <c r="C207" t="str">
        <f>VLOOKUP(B207,CoreProteinGroups!$B:$C,2,FALSE)</f>
        <v>VITF-3</v>
      </c>
      <c r="D207" t="s">
        <v>406</v>
      </c>
      <c r="E207" s="6" t="str">
        <f t="shared" si="3"/>
        <v>PROT:AAM92431.1</v>
      </c>
      <c r="F207" t="s">
        <v>407</v>
      </c>
      <c r="G207" t="s">
        <v>85</v>
      </c>
      <c r="H207" t="s">
        <v>2662</v>
      </c>
      <c r="I207" t="str">
        <f>INDEX(Genomes!$I:$I,(MATCH(AllProteins!H207,Genomes!$B:$B,0)))</f>
        <v>AF012825-ectromelia_virus</v>
      </c>
      <c r="J207">
        <f>INDEX(Genomes!$A:$A,(MATCH(AllProteins!H207,Genomes!$B:$B,0)))</f>
        <v>16</v>
      </c>
      <c r="K207" t="str">
        <f>INDEX(Genomes!$J:$J,(MATCH(AllProteins!H207,Genomes!$B:$B,0)))</f>
        <v>Y</v>
      </c>
    </row>
    <row r="208" spans="1:11" x14ac:dyDescent="0.2">
      <c r="A208">
        <f>INDEX(CoreProteinGroups!A:A,MATCH(B208,CoreProteinGroups!B:B,0))</f>
        <v>3</v>
      </c>
      <c r="B208" s="1" t="s">
        <v>349</v>
      </c>
      <c r="C208" t="str">
        <f>VLOOKUP(B208,CoreProteinGroups!$B:$C,2,FALSE)</f>
        <v>VITF-3</v>
      </c>
      <c r="D208" t="s">
        <v>408</v>
      </c>
      <c r="E208" s="6" t="str">
        <f t="shared" si="3"/>
        <v>PROT:AFH54690.1</v>
      </c>
      <c r="F208" t="s">
        <v>409</v>
      </c>
      <c r="G208" t="s">
        <v>87</v>
      </c>
      <c r="H208" t="s">
        <v>2619</v>
      </c>
      <c r="I208" t="str">
        <f>INDEX(Genomes!$I:$I,(MATCH(AllProteins!H208,Genomes!$B:$B,0)))</f>
        <v>JQ410350-ectromelia_virus_strain_ERPV</v>
      </c>
      <c r="J208">
        <f>INDEX(Genomes!$A:$A,(MATCH(AllProteins!H208,Genomes!$B:$B,0)))</f>
        <v>17</v>
      </c>
      <c r="K208" t="str">
        <f>INDEX(Genomes!$J:$J,(MATCH(AllProteins!H208,Genomes!$B:$B,0)))</f>
        <v>N</v>
      </c>
    </row>
    <row r="209" spans="1:11" x14ac:dyDescent="0.2">
      <c r="A209">
        <f>INDEX(CoreProteinGroups!A:A,MATCH(B209,CoreProteinGroups!B:B,0))</f>
        <v>3</v>
      </c>
      <c r="B209" s="1" t="s">
        <v>349</v>
      </c>
      <c r="C209" t="str">
        <f>VLOOKUP(B209,CoreProteinGroups!$B:$C,2,FALSE)</f>
        <v>VITF-3</v>
      </c>
      <c r="D209" t="s">
        <v>410</v>
      </c>
      <c r="E209" s="6" t="str">
        <f t="shared" si="3"/>
        <v>PROT:AAL40592.1</v>
      </c>
      <c r="F209" t="s">
        <v>411</v>
      </c>
      <c r="G209" t="s">
        <v>90</v>
      </c>
      <c r="H209" t="s">
        <v>2673</v>
      </c>
      <c r="I209" t="str">
        <f>INDEX(Genomes!$I:$I,(MATCH(AllProteins!H209,Genomes!$B:$B,0)))</f>
        <v>AF380138-monkeypox_virus_(clade_I)</v>
      </c>
      <c r="J209">
        <f>INDEX(Genomes!$A:$A,(MATCH(AllProteins!H209,Genomes!$B:$B,0)))</f>
        <v>29</v>
      </c>
      <c r="K209" t="str">
        <f>INDEX(Genomes!$J:$J,(MATCH(AllProteins!H209,Genomes!$B:$B,0)))</f>
        <v>Y</v>
      </c>
    </row>
    <row r="210" spans="1:11" x14ac:dyDescent="0.2">
      <c r="A210">
        <f>INDEX(CoreProteinGroups!A:A,MATCH(B210,CoreProteinGroups!B:B,0))</f>
        <v>3</v>
      </c>
      <c r="B210" s="1" t="s">
        <v>349</v>
      </c>
      <c r="C210" t="str">
        <f>VLOOKUP(B210,CoreProteinGroups!$B:$C,2,FALSE)</f>
        <v>VITF-3</v>
      </c>
      <c r="D210" t="s">
        <v>412</v>
      </c>
      <c r="E210" s="6" t="str">
        <f t="shared" si="3"/>
        <v>PROT:AAX09230.1</v>
      </c>
      <c r="F210" t="s">
        <v>413</v>
      </c>
      <c r="G210" t="s">
        <v>93</v>
      </c>
      <c r="H210" t="s">
        <v>2672</v>
      </c>
      <c r="I210" t="str">
        <f>INDEX(Genomes!$I:$I,(MATCH(AllProteins!H210,Genomes!$B:$B,0)))</f>
        <v>AY753185-monkeypox_virus_(clade_IIa)</v>
      </c>
      <c r="J210">
        <f>INDEX(Genomes!$A:$A,(MATCH(AllProteins!H210,Genomes!$B:$B,0)))</f>
        <v>28</v>
      </c>
      <c r="K210" t="str">
        <f>INDEX(Genomes!$J:$J,(MATCH(AllProteins!H210,Genomes!$B:$B,0)))</f>
        <v>Y</v>
      </c>
    </row>
    <row r="211" spans="1:11" x14ac:dyDescent="0.2">
      <c r="A211">
        <f>INDEX(CoreProteinGroups!A:A,MATCH(B211,CoreProteinGroups!B:B,0))</f>
        <v>3</v>
      </c>
      <c r="B211" s="1" t="s">
        <v>349</v>
      </c>
      <c r="C211" t="str">
        <f>VLOOKUP(B211,CoreProteinGroups!$B:$C,2,FALSE)</f>
        <v>VITF-3</v>
      </c>
      <c r="D211" t="s">
        <v>414</v>
      </c>
      <c r="E211" s="6" t="str">
        <f t="shared" si="3"/>
        <v>PROT:AKJ93772.1</v>
      </c>
      <c r="F211" t="s">
        <v>415</v>
      </c>
      <c r="G211" t="s">
        <v>95</v>
      </c>
      <c r="H211" t="s">
        <v>2683</v>
      </c>
      <c r="I211" t="str">
        <f>INDEX(Genomes!$I:$I,(MATCH(AllProteins!H211,Genomes!$B:$B,0)))</f>
        <v>KP143769-raccoonpox_virus</v>
      </c>
      <c r="J211">
        <f>INDEX(Genomes!$A:$A,(MATCH(AllProteins!H211,Genomes!$B:$B,0)))</f>
        <v>41</v>
      </c>
      <c r="K211" t="str">
        <f>INDEX(Genomes!$J:$J,(MATCH(AllProteins!H211,Genomes!$B:$B,0)))</f>
        <v>Y</v>
      </c>
    </row>
    <row r="212" spans="1:11" x14ac:dyDescent="0.2">
      <c r="A212">
        <f>INDEX(CoreProteinGroups!A:A,MATCH(B212,CoreProteinGroups!B:B,0))</f>
        <v>3</v>
      </c>
      <c r="B212" s="1" t="s">
        <v>349</v>
      </c>
      <c r="C212" t="str">
        <f>VLOOKUP(B212,CoreProteinGroups!$B:$C,2,FALSE)</f>
        <v>VITF-3</v>
      </c>
      <c r="D212" t="s">
        <v>416</v>
      </c>
      <c r="E212" s="6" t="str">
        <f t="shared" si="3"/>
        <v>PROT:AOP31621.1</v>
      </c>
      <c r="F212" t="s">
        <v>417</v>
      </c>
      <c r="G212" t="s">
        <v>97</v>
      </c>
      <c r="H212" t="s">
        <v>2686</v>
      </c>
      <c r="I212" t="str">
        <f>INDEX(Genomes!$I:$I,(MATCH(AllProteins!H212,Genomes!$B:$B,0)))</f>
        <v>KU749310-skunkpox_virus</v>
      </c>
      <c r="J212">
        <f>INDEX(Genomes!$A:$A,(MATCH(AllProteins!H212,Genomes!$B:$B,0)))</f>
        <v>45</v>
      </c>
      <c r="K212" t="str">
        <f>INDEX(Genomes!$J:$J,(MATCH(AllProteins!H212,Genomes!$B:$B,0)))</f>
        <v>Y</v>
      </c>
    </row>
    <row r="213" spans="1:11" x14ac:dyDescent="0.2">
      <c r="A213">
        <f>INDEX(CoreProteinGroups!A:A,MATCH(B213,CoreProteinGroups!B:B,0))</f>
        <v>3</v>
      </c>
      <c r="B213" s="1" t="s">
        <v>349</v>
      </c>
      <c r="C213" t="str">
        <f>VLOOKUP(B213,CoreProteinGroups!$B:$C,2,FALSE)</f>
        <v>VITF-3</v>
      </c>
      <c r="D213" t="s">
        <v>418</v>
      </c>
      <c r="E213" s="6" t="str">
        <f t="shared" si="3"/>
        <v>PROT:ABD97711.1</v>
      </c>
      <c r="F213" t="s">
        <v>384</v>
      </c>
      <c r="G213" t="s">
        <v>99</v>
      </c>
      <c r="H213" t="s">
        <v>2691</v>
      </c>
      <c r="I213" t="str">
        <f>INDEX(Genomes!$I:$I,(MATCH(AllProteins!H213,Genomes!$B:$B,0)))</f>
        <v>DQ437594-taterapox_virus</v>
      </c>
      <c r="J213">
        <f>INDEX(Genomes!$A:$A,(MATCH(AllProteins!H213,Genomes!$B:$B,0)))</f>
        <v>50</v>
      </c>
      <c r="K213" t="str">
        <f>INDEX(Genomes!$J:$J,(MATCH(AllProteins!H213,Genomes!$B:$B,0)))</f>
        <v>Y</v>
      </c>
    </row>
    <row r="214" spans="1:11" x14ac:dyDescent="0.2">
      <c r="A214">
        <f>INDEX(CoreProteinGroups!A:A,MATCH(B214,CoreProteinGroups!B:B,0))</f>
        <v>3</v>
      </c>
      <c r="B214" s="1" t="s">
        <v>349</v>
      </c>
      <c r="C214" t="str">
        <f>VLOOKUP(B214,CoreProteinGroups!$B:$C,2,FALSE)</f>
        <v>VITF-3</v>
      </c>
      <c r="D214" t="s">
        <v>419</v>
      </c>
      <c r="E214" s="6" t="str">
        <f t="shared" si="3"/>
        <v>PROT:AAO89422.1</v>
      </c>
      <c r="F214" t="s">
        <v>384</v>
      </c>
      <c r="G214" t="s">
        <v>101</v>
      </c>
      <c r="H214" t="s">
        <v>2693</v>
      </c>
      <c r="I214" t="str">
        <f>INDEX(Genomes!$I:$I,(MATCH(AllProteins!H214,Genomes!$B:$B,0)))</f>
        <v>AY243312-vaccinia_virus</v>
      </c>
      <c r="J214">
        <f>INDEX(Genomes!$A:$A,(MATCH(AllProteins!H214,Genomes!$B:$B,0)))</f>
        <v>52</v>
      </c>
      <c r="K214" t="str">
        <f>INDEX(Genomes!$J:$J,(MATCH(AllProteins!H214,Genomes!$B:$B,0)))</f>
        <v>Y</v>
      </c>
    </row>
    <row r="215" spans="1:11" x14ac:dyDescent="0.2">
      <c r="A215">
        <f>INDEX(CoreProteinGroups!A:A,MATCH(B215,CoreProteinGroups!B:B,0))</f>
        <v>3</v>
      </c>
      <c r="B215" s="1" t="s">
        <v>349</v>
      </c>
      <c r="C215" t="str">
        <f>VLOOKUP(B215,CoreProteinGroups!$B:$C,2,FALSE)</f>
        <v>VITF-3</v>
      </c>
      <c r="D215" t="s">
        <v>420</v>
      </c>
      <c r="E215" s="6" t="str">
        <f t="shared" si="3"/>
        <v>PROT:CAA49068.1</v>
      </c>
      <c r="F215" t="s">
        <v>305</v>
      </c>
      <c r="G215" t="s">
        <v>2585</v>
      </c>
      <c r="H215" t="s">
        <v>2694</v>
      </c>
      <c r="I215" t="str">
        <f>INDEX(Genomes!$I:$I,(MATCH(AllProteins!H215,Genomes!$B:$B,0)))</f>
        <v>X69198-variola_major_virus</v>
      </c>
      <c r="J215">
        <f>INDEX(Genomes!$A:$A,(MATCH(AllProteins!H215,Genomes!$B:$B,0)))</f>
        <v>53</v>
      </c>
      <c r="K215" t="str">
        <f>INDEX(Genomes!$J:$J,(MATCH(AllProteins!H215,Genomes!$B:$B,0)))</f>
        <v>Y</v>
      </c>
    </row>
    <row r="216" spans="1:11" x14ac:dyDescent="0.2">
      <c r="A216">
        <f>INDEX(CoreProteinGroups!A:A,MATCH(B216,CoreProteinGroups!B:B,0))</f>
        <v>3</v>
      </c>
      <c r="B216" s="1" t="s">
        <v>349</v>
      </c>
      <c r="C216" t="str">
        <f>VLOOKUP(B216,CoreProteinGroups!$B:$C,2,FALSE)</f>
        <v>VITF-3</v>
      </c>
      <c r="D216" t="s">
        <v>421</v>
      </c>
      <c r="E216" s="6" t="str">
        <f t="shared" si="3"/>
        <v>PROT:CAB54727.1</v>
      </c>
      <c r="F216" t="s">
        <v>422</v>
      </c>
      <c r="G216" t="s">
        <v>106</v>
      </c>
      <c r="H216" t="s">
        <v>2695</v>
      </c>
      <c r="I216" t="str">
        <f>INDEX(Genomes!$I:$I,(MATCH(AllProteins!H216,Genomes!$B:$B,0)))</f>
        <v>Y16780-variola_minor_virus</v>
      </c>
      <c r="J216">
        <f>INDEX(Genomes!$A:$A,(MATCH(AllProteins!H216,Genomes!$B:$B,0)))</f>
        <v>54</v>
      </c>
      <c r="K216" t="str">
        <f>INDEX(Genomes!$J:$J,(MATCH(AllProteins!H216,Genomes!$B:$B,0)))</f>
        <v>Y</v>
      </c>
    </row>
    <row r="217" spans="1:11" x14ac:dyDescent="0.2">
      <c r="A217">
        <f>INDEX(CoreProteinGroups!A:A,MATCH(B217,CoreProteinGroups!B:B,0))</f>
        <v>3</v>
      </c>
      <c r="B217" s="1" t="s">
        <v>349</v>
      </c>
      <c r="C217" t="str">
        <f>VLOOKUP(B217,CoreProteinGroups!$B:$C,2,FALSE)</f>
        <v>VITF-3</v>
      </c>
      <c r="D217" t="s">
        <v>423</v>
      </c>
      <c r="E217" s="6" t="str">
        <f t="shared" si="3"/>
        <v>PROT:AOP31832.1</v>
      </c>
      <c r="F217" t="s">
        <v>417</v>
      </c>
      <c r="G217" t="s">
        <v>108</v>
      </c>
      <c r="H217" t="s">
        <v>2696</v>
      </c>
      <c r="I217" t="str">
        <f>INDEX(Genomes!$I:$I,(MATCH(AllProteins!H217,Genomes!$B:$B,0)))</f>
        <v>KU749311-volepox_virus</v>
      </c>
      <c r="J217">
        <f>INDEX(Genomes!$A:$A,(MATCH(AllProteins!H217,Genomes!$B:$B,0)))</f>
        <v>55</v>
      </c>
      <c r="K217" t="str">
        <f>INDEX(Genomes!$J:$J,(MATCH(AllProteins!H217,Genomes!$B:$B,0)))</f>
        <v>Y</v>
      </c>
    </row>
    <row r="218" spans="1:11" x14ac:dyDescent="0.2">
      <c r="A218">
        <f>INDEX(CoreProteinGroups!A:A,MATCH(B218,CoreProteinGroups!B:B,0))</f>
        <v>3</v>
      </c>
      <c r="B218" s="1" t="s">
        <v>349</v>
      </c>
      <c r="C218" t="str">
        <f>VLOOKUP(B218,CoreProteinGroups!$B:$C,2,FALSE)</f>
        <v>VITF-3</v>
      </c>
      <c r="D218" t="s">
        <v>424</v>
      </c>
      <c r="E218" s="6" t="str">
        <f t="shared" si="3"/>
        <v>PROT:ASC55547.1</v>
      </c>
      <c r="F218" t="s">
        <v>425</v>
      </c>
      <c r="G218" t="s">
        <v>111</v>
      </c>
      <c r="H218" t="s">
        <v>2667</v>
      </c>
      <c r="I218" t="str">
        <f>INDEX(Genomes!$I:$I,(MATCH(AllProteins!H218,Genomes!$B:$B,0)))</f>
        <v>KY382358-seal_parapoxvirus</v>
      </c>
      <c r="J218">
        <f>INDEX(Genomes!$A:$A,(MATCH(AllProteins!H218,Genomes!$B:$B,0)))</f>
        <v>22</v>
      </c>
      <c r="K218" t="str">
        <f>INDEX(Genomes!$J:$J,(MATCH(AllProteins!H218,Genomes!$B:$B,0)))</f>
        <v>Y</v>
      </c>
    </row>
    <row r="219" spans="1:11" x14ac:dyDescent="0.2">
      <c r="A219">
        <f>INDEX(CoreProteinGroups!A:A,MATCH(B219,CoreProteinGroups!B:B,0))</f>
        <v>3</v>
      </c>
      <c r="B219" s="1" t="s">
        <v>349</v>
      </c>
      <c r="C219" t="str">
        <f>VLOOKUP(B219,CoreProteinGroups!$B:$C,2,FALSE)</f>
        <v>VITF-3</v>
      </c>
      <c r="D219" t="s">
        <v>426</v>
      </c>
      <c r="E219" s="6" t="str">
        <f t="shared" si="3"/>
        <v>PROT:AAR98457.1</v>
      </c>
      <c r="F219" t="s">
        <v>427</v>
      </c>
      <c r="G219" t="s">
        <v>114</v>
      </c>
      <c r="H219" t="s">
        <v>2652</v>
      </c>
      <c r="I219" t="str">
        <f>INDEX(Genomes!$I:$I,(MATCH(AllProteins!H219,Genomes!$B:$B,0)))</f>
        <v>AY386265-bovine_papular_stomatitis_virus</v>
      </c>
      <c r="J219">
        <f>INDEX(Genomes!$A:$A,(MATCH(AllProteins!H219,Genomes!$B:$B,0)))</f>
        <v>6</v>
      </c>
      <c r="K219" t="str">
        <f>INDEX(Genomes!$J:$J,(MATCH(AllProteins!H219,Genomes!$B:$B,0)))</f>
        <v>Y</v>
      </c>
    </row>
    <row r="220" spans="1:11" x14ac:dyDescent="0.2">
      <c r="A220">
        <f>INDEX(CoreProteinGroups!A:A,MATCH(B220,CoreProteinGroups!B:B,0))</f>
        <v>3</v>
      </c>
      <c r="B220" s="1" t="s">
        <v>349</v>
      </c>
      <c r="C220" t="str">
        <f>VLOOKUP(B220,CoreProteinGroups!$B:$C,2,FALSE)</f>
        <v>VITF-3</v>
      </c>
      <c r="D220" t="s">
        <v>428</v>
      </c>
      <c r="E220" s="6" t="str">
        <f t="shared" si="3"/>
        <v>PROT:AAR98325.1</v>
      </c>
      <c r="F220" t="s">
        <v>427</v>
      </c>
      <c r="G220" t="s">
        <v>2702</v>
      </c>
      <c r="H220" t="s">
        <v>2678</v>
      </c>
      <c r="I220" t="str">
        <f>INDEX(Genomes!$I:$I,(MATCH(AllProteins!H220,Genomes!$B:$B,0)))</f>
        <v>AY386264-orf_virus</v>
      </c>
      <c r="J220">
        <f>INDEX(Genomes!$A:$A,(MATCH(AllProteins!H220,Genomes!$B:$B,0)))</f>
        <v>35</v>
      </c>
      <c r="K220" t="str">
        <f>INDEX(Genomes!$J:$J,(MATCH(AllProteins!H220,Genomes!$B:$B,0)))</f>
        <v>Y</v>
      </c>
    </row>
    <row r="221" spans="1:11" x14ac:dyDescent="0.2">
      <c r="A221">
        <f>INDEX(CoreProteinGroups!A:A,MATCH(B221,CoreProteinGroups!B:B,0))</f>
        <v>3</v>
      </c>
      <c r="B221" s="1" t="s">
        <v>349</v>
      </c>
      <c r="C221" t="str">
        <f>VLOOKUP(B221,CoreProteinGroups!$B:$C,2,FALSE)</f>
        <v>VITF-3</v>
      </c>
      <c r="D221" t="s">
        <v>429</v>
      </c>
      <c r="E221" s="6" t="str">
        <f t="shared" si="3"/>
        <v>PROT:ABA00617.1</v>
      </c>
      <c r="F221" t="s">
        <v>430</v>
      </c>
      <c r="G221" t="s">
        <v>2555</v>
      </c>
      <c r="H221" t="s">
        <v>2645</v>
      </c>
      <c r="I221" t="str">
        <f>INDEX(Genomes!$I:$I,(MATCH(AllProteins!H221,Genomes!$B:$B,0)))</f>
        <v>DQ184476-orf_virus_strain_NZ2</v>
      </c>
      <c r="J221">
        <f>INDEX(Genomes!$A:$A,(MATCH(AllProteins!H221,Genomes!$B:$B,0)))</f>
        <v>36</v>
      </c>
      <c r="K221" t="str">
        <f>INDEX(Genomes!$J:$J,(MATCH(AllProteins!H221,Genomes!$B:$B,0)))</f>
        <v>N</v>
      </c>
    </row>
    <row r="222" spans="1:11" x14ac:dyDescent="0.2">
      <c r="A222">
        <f>INDEX(CoreProteinGroups!A:A,MATCH(B222,CoreProteinGroups!B:B,0))</f>
        <v>3</v>
      </c>
      <c r="B222" s="1" t="s">
        <v>349</v>
      </c>
      <c r="C222" t="str">
        <f>VLOOKUP(B222,CoreProteinGroups!$B:$C,2,FALSE)</f>
        <v>VITF-3</v>
      </c>
      <c r="D222" t="s">
        <v>431</v>
      </c>
      <c r="E222" s="6" t="str">
        <f t="shared" si="3"/>
        <v>PROT:AIZ77351.1</v>
      </c>
      <c r="F222" t="s">
        <v>432</v>
      </c>
      <c r="G222" t="s">
        <v>119</v>
      </c>
      <c r="H222" t="s">
        <v>2684</v>
      </c>
      <c r="I222" t="str">
        <f>INDEX(Genomes!$I:$I,(MATCH(AllProteins!H222,Genomes!$B:$B,0)))</f>
        <v>KM502564-parapoxvirus_red_deer</v>
      </c>
      <c r="J222">
        <f>INDEX(Genomes!$A:$A,(MATCH(AllProteins!H222,Genomes!$B:$B,0)))</f>
        <v>42</v>
      </c>
      <c r="K222" t="str">
        <f>INDEX(Genomes!$J:$J,(MATCH(AllProteins!H222,Genomes!$B:$B,0)))</f>
        <v>Y</v>
      </c>
    </row>
    <row r="223" spans="1:11" x14ac:dyDescent="0.2">
      <c r="A223">
        <f>INDEX(CoreProteinGroups!A:A,MATCH(B223,CoreProteinGroups!B:B,0))</f>
        <v>3</v>
      </c>
      <c r="B223" s="1" t="s">
        <v>349</v>
      </c>
      <c r="C223" t="str">
        <f>VLOOKUP(B223,CoreProteinGroups!$B:$C,2,FALSE)</f>
        <v>VITF-3</v>
      </c>
      <c r="D223" t="s">
        <v>433</v>
      </c>
      <c r="E223" s="6" t="str">
        <f t="shared" si="3"/>
        <v>PROT:ADC54002.1</v>
      </c>
      <c r="F223" t="s">
        <v>430</v>
      </c>
      <c r="G223" t="s">
        <v>121</v>
      </c>
      <c r="H223" t="s">
        <v>2679</v>
      </c>
      <c r="I223" t="str">
        <f>INDEX(Genomes!$I:$I,(MATCH(AllProteins!H223,Genomes!$B:$B,0)))</f>
        <v>GQ329670-pseudocowpox_virus</v>
      </c>
      <c r="J223">
        <f>INDEX(Genomes!$A:$A,(MATCH(AllProteins!H223,Genomes!$B:$B,0)))</f>
        <v>37</v>
      </c>
      <c r="K223" t="str">
        <f>INDEX(Genomes!$J:$J,(MATCH(AllProteins!H223,Genomes!$B:$B,0)))</f>
        <v>Y</v>
      </c>
    </row>
    <row r="224" spans="1:11" x14ac:dyDescent="0.2">
      <c r="A224">
        <f>INDEX(CoreProteinGroups!A:A,MATCH(B224,CoreProteinGroups!B:B,0))</f>
        <v>3</v>
      </c>
      <c r="B224" s="1" t="s">
        <v>349</v>
      </c>
      <c r="C224" t="str">
        <f>VLOOKUP(B224,CoreProteinGroups!$B:$C,2,FALSE)</f>
        <v>VITF-3</v>
      </c>
      <c r="D224" t="s">
        <v>434</v>
      </c>
      <c r="E224" s="6" t="str">
        <f t="shared" si="3"/>
        <v>PROT:AAL69851.1</v>
      </c>
      <c r="F224" t="s">
        <v>435</v>
      </c>
      <c r="G224" t="s">
        <v>124</v>
      </c>
      <c r="H224" t="s">
        <v>2690</v>
      </c>
      <c r="I224" t="str">
        <f>INDEX(Genomes!$I:$I,(MATCH(AllProteins!H224,Genomes!$B:$B,0)))</f>
        <v>AF410153-swinepox_virus</v>
      </c>
      <c r="J224">
        <f>INDEX(Genomes!$A:$A,(MATCH(AllProteins!H224,Genomes!$B:$B,0)))</f>
        <v>49</v>
      </c>
      <c r="K224" t="str">
        <f>INDEX(Genomes!$J:$J,(MATCH(AllProteins!H224,Genomes!$B:$B,0)))</f>
        <v>Y</v>
      </c>
    </row>
    <row r="225" spans="1:11" x14ac:dyDescent="0.2">
      <c r="A225">
        <f>INDEX(CoreProteinGroups!A:A,MATCH(B225,CoreProteinGroups!B:B,0))</f>
        <v>3</v>
      </c>
      <c r="B225" s="1" t="s">
        <v>349</v>
      </c>
      <c r="C225" t="str">
        <f>VLOOKUP(B225,CoreProteinGroups!$B:$C,2,FALSE)</f>
        <v>VITF-3</v>
      </c>
      <c r="D225" t="s">
        <v>436</v>
      </c>
      <c r="E225" s="6" t="str">
        <f t="shared" si="3"/>
        <v>PROT:CAC21353.1</v>
      </c>
      <c r="F225" t="s">
        <v>437</v>
      </c>
      <c r="G225" t="s">
        <v>127</v>
      </c>
      <c r="H225" t="s">
        <v>2699</v>
      </c>
      <c r="I225" t="str">
        <f>INDEX(Genomes!$I:$I,(MATCH(AllProteins!H225,Genomes!$B:$B,0)))</f>
        <v>AJ293568-tanapox_virus</v>
      </c>
      <c r="J225">
        <f>INDEX(Genomes!$A:$A,(MATCH(AllProteins!H225,Genomes!$B:$B,0)))</f>
        <v>58</v>
      </c>
      <c r="K225" t="str">
        <f>INDEX(Genomes!$J:$J,(MATCH(AllProteins!H225,Genomes!$B:$B,0)))</f>
        <v>Y</v>
      </c>
    </row>
    <row r="226" spans="1:11" x14ac:dyDescent="0.2">
      <c r="A226">
        <f>INDEX(CoreProteinGroups!A:A,MATCH(B226,CoreProteinGroups!B:B,0))</f>
        <v>3</v>
      </c>
      <c r="B226" s="1" t="s">
        <v>349</v>
      </c>
      <c r="C226" t="str">
        <f>VLOOKUP(B226,CoreProteinGroups!$B:$C,2,FALSE)</f>
        <v>VITF-3</v>
      </c>
      <c r="D226" t="s">
        <v>438</v>
      </c>
      <c r="E226" s="6" t="str">
        <f t="shared" si="3"/>
        <v>PROT:AAR07471.1</v>
      </c>
      <c r="F226" t="s">
        <v>439</v>
      </c>
      <c r="G226" t="s">
        <v>130</v>
      </c>
      <c r="H226" t="s">
        <v>2700</v>
      </c>
      <c r="I226" t="str">
        <f>INDEX(Genomes!$I:$I,(MATCH(AllProteins!H226,Genomes!$B:$B,0)))</f>
        <v>AY386371-Yaba_monkey_tumor_virus</v>
      </c>
      <c r="J226">
        <f>INDEX(Genomes!$A:$A,(MATCH(AllProteins!H226,Genomes!$B:$B,0)))</f>
        <v>59</v>
      </c>
      <c r="K226" t="str">
        <f>INDEX(Genomes!$J:$J,(MATCH(AllProteins!H226,Genomes!$B:$B,0)))</f>
        <v>Y</v>
      </c>
    </row>
    <row r="227" spans="1:11" x14ac:dyDescent="0.2">
      <c r="A227">
        <f>INDEX(CoreProteinGroups!A:A,MATCH(B227,CoreProteinGroups!B:B,0))</f>
        <v>3</v>
      </c>
      <c r="B227" s="1" t="s">
        <v>349</v>
      </c>
      <c r="C227" t="str">
        <f>VLOOKUP(B227,CoreProteinGroups!$B:$C,2,FALSE)</f>
        <v>VITF-3</v>
      </c>
      <c r="D227" t="s">
        <v>440</v>
      </c>
      <c r="E227" s="6" t="str">
        <f t="shared" si="3"/>
        <v>PROT:AAC97825.1</v>
      </c>
      <c r="F227" t="s">
        <v>441</v>
      </c>
      <c r="G227" t="s">
        <v>133</v>
      </c>
      <c r="H227" t="s">
        <v>2674</v>
      </c>
      <c r="I227" t="str">
        <f>INDEX(Genomes!$I:$I,(MATCH(AllProteins!H227,Genomes!$B:$B,0)))</f>
        <v>AF063866-Melanoplus_sanguinipes_entomopoxvirus</v>
      </c>
      <c r="J227">
        <f>INDEX(Genomes!$A:$A,(MATCH(AllProteins!H227,Genomes!$B:$B,0)))</f>
        <v>30</v>
      </c>
      <c r="K227" t="str">
        <f>INDEX(Genomes!$J:$J,(MATCH(AllProteins!H227,Genomes!$B:$B,0)))</f>
        <v>Y</v>
      </c>
    </row>
    <row r="228" spans="1:11" x14ac:dyDescent="0.2">
      <c r="A228">
        <f>INDEX(CoreProteinGroups!A:A,MATCH(B228,CoreProteinGroups!B:B,0))</f>
        <v>3</v>
      </c>
      <c r="B228" s="1" t="s">
        <v>349</v>
      </c>
      <c r="C228" t="str">
        <f>VLOOKUP(B228,CoreProteinGroups!$B:$C,2,FALSE)</f>
        <v>VITF-3</v>
      </c>
      <c r="D228" t="s">
        <v>442</v>
      </c>
      <c r="E228" s="6" t="str">
        <f t="shared" si="3"/>
        <v>PROT:BAO49550.1</v>
      </c>
      <c r="F228" t="s">
        <v>443</v>
      </c>
      <c r="G228" t="s">
        <v>136</v>
      </c>
      <c r="H228" t="s">
        <v>2648</v>
      </c>
      <c r="I228" t="str">
        <f>INDEX(Genomes!$I:$I,(MATCH(AllProteins!H228,Genomes!$B:$B,0)))</f>
        <v>AP013055-Anomala_cuprea_entomopoxvirus</v>
      </c>
      <c r="J228">
        <f>INDEX(Genomes!$A:$A,(MATCH(AllProteins!H228,Genomes!$B:$B,0)))</f>
        <v>2</v>
      </c>
      <c r="K228" t="str">
        <f>INDEX(Genomes!$J:$J,(MATCH(AllProteins!H228,Genomes!$B:$B,0)))</f>
        <v>Y</v>
      </c>
    </row>
    <row r="229" spans="1:11" x14ac:dyDescent="0.2">
      <c r="A229">
        <f>INDEX(CoreProteinGroups!A:A,MATCH(B229,CoreProteinGroups!B:B,0))</f>
        <v>3</v>
      </c>
      <c r="B229" s="1" t="s">
        <v>349</v>
      </c>
      <c r="C229" t="str">
        <f>VLOOKUP(B229,CoreProteinGroups!$B:$C,2,FALSE)</f>
        <v>VITF-3</v>
      </c>
      <c r="D229" t="s">
        <v>444</v>
      </c>
      <c r="E229" s="6" t="str">
        <f t="shared" si="3"/>
        <v>PROT:CCU55410.1</v>
      </c>
      <c r="F229" t="s">
        <v>445</v>
      </c>
      <c r="G229" t="s">
        <v>138</v>
      </c>
      <c r="H229" t="s">
        <v>2649</v>
      </c>
      <c r="I229" t="str">
        <f>INDEX(Genomes!$I:$I,(MATCH(AllProteins!H229,Genomes!$B:$B,0)))</f>
        <v>HF679131-Adoxophyes_honmai_entomopoxvirus</v>
      </c>
      <c r="J229">
        <f>INDEX(Genomes!$A:$A,(MATCH(AllProteins!H229,Genomes!$B:$B,0)))</f>
        <v>3</v>
      </c>
      <c r="K229" t="str">
        <f>INDEX(Genomes!$J:$J,(MATCH(AllProteins!H229,Genomes!$B:$B,0)))</f>
        <v>Y</v>
      </c>
    </row>
    <row r="230" spans="1:11" x14ac:dyDescent="0.2">
      <c r="A230">
        <f>INDEX(CoreProteinGroups!A:A,MATCH(B230,CoreProteinGroups!B:B,0))</f>
        <v>3</v>
      </c>
      <c r="B230" s="1" t="s">
        <v>349</v>
      </c>
      <c r="C230" t="str">
        <f>VLOOKUP(B230,CoreProteinGroups!$B:$C,2,FALSE)</f>
        <v>VITF-3</v>
      </c>
      <c r="D230" t="s">
        <v>446</v>
      </c>
      <c r="E230" s="6" t="str">
        <f t="shared" si="3"/>
        <v>PROT:AAG02797.1</v>
      </c>
      <c r="F230" t="s">
        <v>447</v>
      </c>
      <c r="G230" t="s">
        <v>141</v>
      </c>
      <c r="H230" t="s">
        <v>2651</v>
      </c>
      <c r="I230" t="str">
        <f>INDEX(Genomes!$I:$I,(MATCH(AllProteins!H230,Genomes!$B:$B,0)))</f>
        <v>AF250284-Amsacta_moorei_entomopoxvirus</v>
      </c>
      <c r="J230">
        <f>INDEX(Genomes!$A:$A,(MATCH(AllProteins!H230,Genomes!$B:$B,0)))</f>
        <v>5</v>
      </c>
      <c r="K230" t="str">
        <f>INDEX(Genomes!$J:$J,(MATCH(AllProteins!H230,Genomes!$B:$B,0)))</f>
        <v>Y</v>
      </c>
    </row>
    <row r="231" spans="1:11" x14ac:dyDescent="0.2">
      <c r="A231">
        <f>INDEX(CoreProteinGroups!A:A,MATCH(B231,CoreProteinGroups!B:B,0))</f>
        <v>3</v>
      </c>
      <c r="B231" s="1" t="s">
        <v>349</v>
      </c>
      <c r="C231" t="str">
        <f>VLOOKUP(B231,CoreProteinGroups!$B:$C,2,FALSE)</f>
        <v>VITF-3</v>
      </c>
      <c r="D231" t="s">
        <v>448</v>
      </c>
      <c r="E231" s="6" t="str">
        <f t="shared" si="3"/>
        <v>PROT:CCU55716.1</v>
      </c>
      <c r="F231" t="s">
        <v>445</v>
      </c>
      <c r="G231" t="s">
        <v>143</v>
      </c>
      <c r="H231" t="s">
        <v>2656</v>
      </c>
      <c r="I231" t="str">
        <f>INDEX(Genomes!$I:$I,(MATCH(AllProteins!H231,Genomes!$B:$B,0)))</f>
        <v>HF679132-Choristoneura_biennis_entomopoxvirus</v>
      </c>
      <c r="J231">
        <f>INDEX(Genomes!$A:$A,(MATCH(AllProteins!H231,Genomes!$B:$B,0)))</f>
        <v>10</v>
      </c>
      <c r="K231" t="str">
        <f>INDEX(Genomes!$J:$J,(MATCH(AllProteins!H231,Genomes!$B:$B,0)))</f>
        <v>Y</v>
      </c>
    </row>
    <row r="232" spans="1:11" x14ac:dyDescent="0.2">
      <c r="A232">
        <f>INDEX(CoreProteinGroups!A:A,MATCH(B232,CoreProteinGroups!B:B,0))</f>
        <v>3</v>
      </c>
      <c r="B232" s="1" t="s">
        <v>349</v>
      </c>
      <c r="C232" t="str">
        <f>VLOOKUP(B232,CoreProteinGroups!$B:$C,2,FALSE)</f>
        <v>VITF-3</v>
      </c>
      <c r="D232" t="s">
        <v>449</v>
      </c>
      <c r="E232" s="6" t="str">
        <f t="shared" si="3"/>
        <v>PROT:CCU56018.1</v>
      </c>
      <c r="F232" t="s">
        <v>445</v>
      </c>
      <c r="G232" t="s">
        <v>145</v>
      </c>
      <c r="H232" t="s">
        <v>2660</v>
      </c>
      <c r="I232" t="str">
        <f>INDEX(Genomes!$I:$I,(MATCH(AllProteins!H232,Genomes!$B:$B,0)))</f>
        <v>HF679133-Choristoneura_rosaceana_entomopoxvirus</v>
      </c>
      <c r="J232">
        <f>INDEX(Genomes!$A:$A,(MATCH(AllProteins!H232,Genomes!$B:$B,0)))</f>
        <v>14</v>
      </c>
      <c r="K232" t="str">
        <f>INDEX(Genomes!$J:$J,(MATCH(AllProteins!H232,Genomes!$B:$B,0)))</f>
        <v>Y</v>
      </c>
    </row>
    <row r="233" spans="1:11" x14ac:dyDescent="0.2">
      <c r="A233">
        <f>INDEX(CoreProteinGroups!A:A,MATCH(B233,CoreProteinGroups!B:B,0))</f>
        <v>3</v>
      </c>
      <c r="B233" s="1" t="s">
        <v>349</v>
      </c>
      <c r="C233" t="str">
        <f>VLOOKUP(B233,CoreProteinGroups!$B:$C,2,FALSE)</f>
        <v>VITF-3</v>
      </c>
      <c r="D233" t="s">
        <v>450</v>
      </c>
      <c r="E233" s="6" t="str">
        <f t="shared" si="3"/>
        <v>PROT:CCU56312.1</v>
      </c>
      <c r="F233" t="s">
        <v>445</v>
      </c>
      <c r="G233" t="s">
        <v>147</v>
      </c>
      <c r="H233" t="s">
        <v>2675</v>
      </c>
      <c r="I233" t="str">
        <f>INDEX(Genomes!$I:$I,(MATCH(AllProteins!H233,Genomes!$B:$B,0)))</f>
        <v>HF679134-Mythimna_separata_entomopoxvirus</v>
      </c>
      <c r="J233">
        <f>INDEX(Genomes!$A:$A,(MATCH(AllProteins!H233,Genomes!$B:$B,0)))</f>
        <v>31</v>
      </c>
      <c r="K233" t="str">
        <f>INDEX(Genomes!$J:$J,(MATCH(AllProteins!H233,Genomes!$B:$B,0)))</f>
        <v>Y</v>
      </c>
    </row>
    <row r="234" spans="1:11" x14ac:dyDescent="0.2">
      <c r="A234">
        <f>INDEX(CoreProteinGroups!A:A,MATCH(B234,CoreProteinGroups!B:B,0))</f>
        <v>4</v>
      </c>
      <c r="B234" s="1" t="s">
        <v>451</v>
      </c>
      <c r="C234" t="str">
        <f>VLOOKUP(B234,CoreProteinGroups!$B:$C,2,FALSE)</f>
        <v>RPO132</v>
      </c>
      <c r="D234" t="s">
        <v>453</v>
      </c>
      <c r="E234" s="6" t="str">
        <f t="shared" si="3"/>
        <v>PROT:ATI21226.1</v>
      </c>
      <c r="F234" t="s">
        <v>454</v>
      </c>
      <c r="G234" t="s">
        <v>11</v>
      </c>
      <c r="H234" t="s">
        <v>2663</v>
      </c>
      <c r="I234" t="str">
        <f>INDEX(Genomes!$I:$I,(MATCH(AllProteins!H234,Genomes!$B:$B,0)))</f>
        <v>MF467281-Eastern_grey_kangaroopox_virus</v>
      </c>
      <c r="J234">
        <f>INDEX(Genomes!$A:$A,(MATCH(AllProteins!H234,Genomes!$B:$B,0)))</f>
        <v>18</v>
      </c>
      <c r="K234" t="str">
        <f>INDEX(Genomes!$J:$J,(MATCH(AllProteins!H234,Genomes!$B:$B,0)))</f>
        <v>Y</v>
      </c>
    </row>
    <row r="235" spans="1:11" x14ac:dyDescent="0.2">
      <c r="A235">
        <f>INDEX(CoreProteinGroups!A:A,MATCH(B235,CoreProteinGroups!B:B,0))</f>
        <v>4</v>
      </c>
      <c r="B235" s="1" t="s">
        <v>451</v>
      </c>
      <c r="C235" t="str">
        <f>VLOOKUP(B235,CoreProteinGroups!$B:$C,2,FALSE)</f>
        <v>RPO132</v>
      </c>
      <c r="D235" t="s">
        <v>455</v>
      </c>
      <c r="E235" s="6" t="str">
        <f t="shared" si="3"/>
        <v>PROT:AWU47159.1</v>
      </c>
      <c r="F235" t="s">
        <v>454</v>
      </c>
      <c r="G235" t="s">
        <v>13</v>
      </c>
      <c r="H235" t="s">
        <v>2688</v>
      </c>
      <c r="I235" t="str">
        <f>INDEX(Genomes!$I:$I,(MATCH(AllProteins!H235,Genomes!$B:$B,0)))</f>
        <v>MH427217-sea_otter_poxvirus</v>
      </c>
      <c r="J235">
        <f>INDEX(Genomes!$A:$A,(MATCH(AllProteins!H235,Genomes!$B:$B,0)))</f>
        <v>47</v>
      </c>
      <c r="K235" t="str">
        <f>INDEX(Genomes!$J:$J,(MATCH(AllProteins!H235,Genomes!$B:$B,0)))</f>
        <v>Y</v>
      </c>
    </row>
    <row r="236" spans="1:11" x14ac:dyDescent="0.2">
      <c r="A236">
        <f>INDEX(CoreProteinGroups!A:A,MATCH(B236,CoreProteinGroups!B:B,0))</f>
        <v>4</v>
      </c>
      <c r="B236" s="1" t="s">
        <v>451</v>
      </c>
      <c r="C236" t="str">
        <f>VLOOKUP(B236,CoreProteinGroups!$B:$C,2,FALSE)</f>
        <v>RPO132</v>
      </c>
      <c r="D236" t="s">
        <v>456</v>
      </c>
      <c r="E236" s="6" t="str">
        <f t="shared" si="3"/>
        <v>PROT:APG58334.1</v>
      </c>
      <c r="F236" t="s">
        <v>457</v>
      </c>
      <c r="G236" t="s">
        <v>16</v>
      </c>
      <c r="H236" t="s">
        <v>2653</v>
      </c>
      <c r="I236" t="str">
        <f>INDEX(Genomes!$I:$I,(MATCH(AllProteins!H236,Genomes!$B:$B,0)))</f>
        <v>KY094066-BeAn_58058_virus</v>
      </c>
      <c r="J236">
        <f>INDEX(Genomes!$A:$A,(MATCH(AllProteins!H236,Genomes!$B:$B,0)))</f>
        <v>7</v>
      </c>
      <c r="K236" t="str">
        <f>INDEX(Genomes!$J:$J,(MATCH(AllProteins!H236,Genomes!$B:$B,0)))</f>
        <v>N</v>
      </c>
    </row>
    <row r="237" spans="1:11" x14ac:dyDescent="0.2">
      <c r="A237">
        <f>INDEX(CoreProteinGroups!A:A,MATCH(B237,CoreProteinGroups!B:B,0))</f>
        <v>4</v>
      </c>
      <c r="B237" s="1" t="s">
        <v>451</v>
      </c>
      <c r="C237" t="str">
        <f>VLOOKUP(B237,CoreProteinGroups!$B:$C,2,FALSE)</f>
        <v>RPO132</v>
      </c>
      <c r="D237" t="s">
        <v>458</v>
      </c>
      <c r="E237" s="6" t="str">
        <f t="shared" si="3"/>
        <v>PROT:ADT91143.1</v>
      </c>
      <c r="F237" t="s">
        <v>459</v>
      </c>
      <c r="G237" t="s">
        <v>19</v>
      </c>
      <c r="H237" t="s">
        <v>2658</v>
      </c>
      <c r="I237" t="str">
        <f>INDEX(Genomes!$I:$I,(MATCH(AllProteins!H237,Genomes!$B:$B,0)))</f>
        <v>HQ647181-Cotia_virus</v>
      </c>
      <c r="J237">
        <f>INDEX(Genomes!$A:$A,(MATCH(AllProteins!H237,Genomes!$B:$B,0)))</f>
        <v>12</v>
      </c>
      <c r="K237" t="str">
        <f>INDEX(Genomes!$J:$J,(MATCH(AllProteins!H237,Genomes!$B:$B,0)))</f>
        <v>Y</v>
      </c>
    </row>
    <row r="238" spans="1:11" x14ac:dyDescent="0.2">
      <c r="A238">
        <f>INDEX(CoreProteinGroups!A:A,MATCH(B238,CoreProteinGroups!B:B,0))</f>
        <v>4</v>
      </c>
      <c r="B238" s="1" t="s">
        <v>451</v>
      </c>
      <c r="C238" t="str">
        <f>VLOOKUP(B238,CoreProteinGroups!$B:$C,2,FALSE)</f>
        <v>RPO132</v>
      </c>
      <c r="D238" t="s">
        <v>460</v>
      </c>
      <c r="E238" s="6" t="str">
        <f t="shared" si="3"/>
        <v>PROT:ANS71203.1</v>
      </c>
      <c r="F238" t="s">
        <v>454</v>
      </c>
      <c r="G238" t="s">
        <v>21</v>
      </c>
      <c r="H238" t="s">
        <v>2682</v>
      </c>
      <c r="I238" t="str">
        <f>INDEX(Genomes!$I:$I,(MATCH(AllProteins!H238,Genomes!$B:$B,0)))</f>
        <v>KU980965-pteropox_virus</v>
      </c>
      <c r="J238">
        <f>INDEX(Genomes!$A:$A,(MATCH(AllProteins!H238,Genomes!$B:$B,0)))</f>
        <v>40</v>
      </c>
      <c r="K238" t="str">
        <f>INDEX(Genomes!$J:$J,(MATCH(AllProteins!H238,Genomes!$B:$B,0)))</f>
        <v>Y</v>
      </c>
    </row>
    <row r="239" spans="1:11" x14ac:dyDescent="0.2">
      <c r="A239">
        <f>INDEX(CoreProteinGroups!A:A,MATCH(B239,CoreProteinGroups!B:B,0))</f>
        <v>4</v>
      </c>
      <c r="B239" s="1" t="s">
        <v>451</v>
      </c>
      <c r="C239" t="str">
        <f>VLOOKUP(B239,CoreProteinGroups!$B:$C,2,FALSE)</f>
        <v>RPO132</v>
      </c>
      <c r="D239" t="s">
        <v>461</v>
      </c>
      <c r="E239" s="6" t="str">
        <f t="shared" si="3"/>
        <v>PROT:AKR04250.1</v>
      </c>
      <c r="F239" t="s">
        <v>462</v>
      </c>
      <c r="G239" t="s">
        <v>24</v>
      </c>
      <c r="H239" t="s">
        <v>2687</v>
      </c>
      <c r="I239" t="str">
        <f>INDEX(Genomes!$I:$I,(MATCH(AllProteins!H239,Genomes!$B:$B,0)))</f>
        <v>KT159937-salmon_gill_poxvirus</v>
      </c>
      <c r="J239">
        <f>INDEX(Genomes!$A:$A,(MATCH(AllProteins!H239,Genomes!$B:$B,0)))</f>
        <v>46</v>
      </c>
      <c r="K239" t="str">
        <f>INDEX(Genomes!$J:$J,(MATCH(AllProteins!H239,Genomes!$B:$B,0)))</f>
        <v>Y</v>
      </c>
    </row>
    <row r="240" spans="1:11" x14ac:dyDescent="0.2">
      <c r="A240">
        <f>INDEX(CoreProteinGroups!A:A,MATCH(B240,CoreProteinGroups!B:B,0))</f>
        <v>4</v>
      </c>
      <c r="B240" s="1" t="s">
        <v>451</v>
      </c>
      <c r="C240" t="str">
        <f>VLOOKUP(B240,CoreProteinGroups!$B:$C,2,FALSE)</f>
        <v>RPO132</v>
      </c>
      <c r="D240" t="s">
        <v>463</v>
      </c>
      <c r="E240" s="6" t="str">
        <f t="shared" si="3"/>
        <v>PROT:CCD83296.1</v>
      </c>
      <c r="F240" t="s">
        <v>464</v>
      </c>
      <c r="G240" t="s">
        <v>27</v>
      </c>
      <c r="H240" t="s">
        <v>2689</v>
      </c>
      <c r="I240" t="str">
        <f>INDEX(Genomes!$I:$I,(MATCH(AllProteins!H240,Genomes!$B:$B,0)))</f>
        <v>HE601899-squirrelpox_virus</v>
      </c>
      <c r="J240">
        <f>INDEX(Genomes!$A:$A,(MATCH(AllProteins!H240,Genomes!$B:$B,0)))</f>
        <v>48</v>
      </c>
      <c r="K240" t="str">
        <f>INDEX(Genomes!$J:$J,(MATCH(AllProteins!H240,Genomes!$B:$B,0)))</f>
        <v>Y</v>
      </c>
    </row>
    <row r="241" spans="1:11" x14ac:dyDescent="0.2">
      <c r="A241">
        <f>INDEX(CoreProteinGroups!A:A,MATCH(B241,CoreProteinGroups!B:B,0))</f>
        <v>4</v>
      </c>
      <c r="B241" s="1" t="s">
        <v>451</v>
      </c>
      <c r="C241" t="str">
        <f>VLOOKUP(B241,CoreProteinGroups!$B:$C,2,FALSE)</f>
        <v>RPO132</v>
      </c>
      <c r="D241" t="s">
        <v>465</v>
      </c>
      <c r="E241" s="6" t="str">
        <f t="shared" si="3"/>
        <v>PROT:ASK51322.1</v>
      </c>
      <c r="F241" t="s">
        <v>466</v>
      </c>
      <c r="G241" t="s">
        <v>30</v>
      </c>
      <c r="H241" t="s">
        <v>2664</v>
      </c>
      <c r="I241" t="str">
        <f>INDEX(Genomes!$I:$I,(MATCH(AllProteins!H241,Genomes!$B:$B,0)))</f>
        <v>KY747497-eptesipox_virus</v>
      </c>
      <c r="J241">
        <f>INDEX(Genomes!$A:$A,(MATCH(AllProteins!H241,Genomes!$B:$B,0)))</f>
        <v>19</v>
      </c>
      <c r="K241" t="str">
        <f>INDEX(Genomes!$J:$J,(MATCH(AllProteins!H241,Genomes!$B:$B,0)))</f>
        <v>Y</v>
      </c>
    </row>
    <row r="242" spans="1:11" x14ac:dyDescent="0.2">
      <c r="A242">
        <f>INDEX(CoreProteinGroups!A:A,MATCH(B242,CoreProteinGroups!B:B,0))</f>
        <v>4</v>
      </c>
      <c r="B242" s="1" t="s">
        <v>451</v>
      </c>
      <c r="C242" t="str">
        <f>VLOOKUP(B242,CoreProteinGroups!$B:$C,2,FALSE)</f>
        <v>RPO132</v>
      </c>
      <c r="D242" t="s">
        <v>467</v>
      </c>
      <c r="E242" s="6" t="str">
        <f t="shared" si="3"/>
        <v>PROT:AUD40297.1</v>
      </c>
      <c r="F242" t="s">
        <v>468</v>
      </c>
      <c r="G242" t="s">
        <v>32</v>
      </c>
      <c r="H242" t="s">
        <v>2665</v>
      </c>
      <c r="I242" t="str">
        <f>INDEX(Genomes!$I:$I,(MATCH(AllProteins!H242,Genomes!$B:$B,0)))</f>
        <v>MF678796-flamingopox_virus</v>
      </c>
      <c r="J242">
        <f>INDEX(Genomes!$A:$A,(MATCH(AllProteins!H242,Genomes!$B:$B,0)))</f>
        <v>20</v>
      </c>
      <c r="K242" t="str">
        <f>INDEX(Genomes!$J:$J,(MATCH(AllProteins!H242,Genomes!$B:$B,0)))</f>
        <v>Y</v>
      </c>
    </row>
    <row r="243" spans="1:11" x14ac:dyDescent="0.2">
      <c r="A243">
        <f>INDEX(CoreProteinGroups!A:A,MATCH(B243,CoreProteinGroups!B:B,0))</f>
        <v>4</v>
      </c>
      <c r="B243" s="1" t="s">
        <v>451</v>
      </c>
      <c r="C243" t="str">
        <f>VLOOKUP(B243,CoreProteinGroups!$B:$C,2,FALSE)</f>
        <v>RPO132</v>
      </c>
      <c r="D243" t="s">
        <v>469</v>
      </c>
      <c r="E243" s="6" t="str">
        <f t="shared" si="3"/>
        <v>PROT:AID46928.1</v>
      </c>
      <c r="F243" t="s">
        <v>470</v>
      </c>
      <c r="G243" t="s">
        <v>34</v>
      </c>
      <c r="H243" t="s">
        <v>2681</v>
      </c>
      <c r="I243" t="str">
        <f>INDEX(Genomes!$I:$I,(MATCH(AllProteins!H243,Genomes!$B:$B,0)))</f>
        <v>KJ859677-penguinpox_virus</v>
      </c>
      <c r="J243">
        <f>INDEX(Genomes!$A:$A,(MATCH(AllProteins!H243,Genomes!$B:$B,0)))</f>
        <v>39</v>
      </c>
      <c r="K243" t="str">
        <f>INDEX(Genomes!$J:$J,(MATCH(AllProteins!H243,Genomes!$B:$B,0)))</f>
        <v>Y</v>
      </c>
    </row>
    <row r="244" spans="1:11" x14ac:dyDescent="0.2">
      <c r="A244">
        <f>INDEX(CoreProteinGroups!A:A,MATCH(B244,CoreProteinGroups!B:B,0))</f>
        <v>4</v>
      </c>
      <c r="B244" s="1" t="s">
        <v>451</v>
      </c>
      <c r="C244" t="str">
        <f>VLOOKUP(B244,CoreProteinGroups!$B:$C,2,FALSE)</f>
        <v>RPO132</v>
      </c>
      <c r="D244" t="s">
        <v>471</v>
      </c>
      <c r="E244" s="6" t="str">
        <f t="shared" si="3"/>
        <v>PROT:AID46696.1</v>
      </c>
      <c r="F244" t="s">
        <v>470</v>
      </c>
      <c r="G244" t="s">
        <v>36</v>
      </c>
      <c r="H244" t="s">
        <v>2680</v>
      </c>
      <c r="I244" t="str">
        <f>INDEX(Genomes!$I:$I,(MATCH(AllProteins!H244,Genomes!$B:$B,0)))</f>
        <v>KJ801920-pigeonpox_virus</v>
      </c>
      <c r="J244">
        <f>INDEX(Genomes!$A:$A,(MATCH(AllProteins!H244,Genomes!$B:$B,0)))</f>
        <v>38</v>
      </c>
      <c r="K244" t="str">
        <f>INDEX(Genomes!$J:$J,(MATCH(AllProteins!H244,Genomes!$B:$B,0)))</f>
        <v>Y</v>
      </c>
    </row>
    <row r="245" spans="1:11" x14ac:dyDescent="0.2">
      <c r="A245">
        <f>INDEX(CoreProteinGroups!A:A,MATCH(B245,CoreProteinGroups!B:B,0))</f>
        <v>4</v>
      </c>
      <c r="B245" s="1" t="s">
        <v>451</v>
      </c>
      <c r="C245" t="str">
        <f>VLOOKUP(B245,CoreProteinGroups!$B:$C,2,FALSE)</f>
        <v>RPO132</v>
      </c>
      <c r="D245" t="s">
        <v>472</v>
      </c>
      <c r="E245" s="6" t="str">
        <f t="shared" si="3"/>
        <v>PROT:ALA62513.1</v>
      </c>
      <c r="F245" t="s">
        <v>470</v>
      </c>
      <c r="G245" t="s">
        <v>39</v>
      </c>
      <c r="H245" t="s">
        <v>2692</v>
      </c>
      <c r="I245" t="str">
        <f>INDEX(Genomes!$I:$I,(MATCH(AllProteins!H245,Genomes!$B:$B,0)))</f>
        <v>KP728110-turkeypox_virus</v>
      </c>
      <c r="J245">
        <f>INDEX(Genomes!$A:$A,(MATCH(AllProteins!H245,Genomes!$B:$B,0)))</f>
        <v>51</v>
      </c>
      <c r="K245" t="str">
        <f>INDEX(Genomes!$J:$J,(MATCH(AllProteins!H245,Genomes!$B:$B,0)))</f>
        <v>Y</v>
      </c>
    </row>
    <row r="246" spans="1:11" x14ac:dyDescent="0.2">
      <c r="A246">
        <f>INDEX(CoreProteinGroups!A:A,MATCH(B246,CoreProteinGroups!B:B,0))</f>
        <v>4</v>
      </c>
      <c r="B246" s="1" t="s">
        <v>451</v>
      </c>
      <c r="C246" t="str">
        <f>VLOOKUP(B246,CoreProteinGroups!$B:$C,2,FALSE)</f>
        <v>RPO132</v>
      </c>
      <c r="D246" t="s">
        <v>473</v>
      </c>
      <c r="E246" s="6" t="str">
        <f t="shared" si="3"/>
        <v>PROT:AAR83609.1</v>
      </c>
      <c r="F246" t="s">
        <v>474</v>
      </c>
      <c r="G246" t="s">
        <v>42</v>
      </c>
      <c r="H246" t="s">
        <v>2657</v>
      </c>
      <c r="I246" t="str">
        <f>INDEX(Genomes!$I:$I,(MATCH(AllProteins!H246,Genomes!$B:$B,0)))</f>
        <v>AY318871-canarypox_virus</v>
      </c>
      <c r="J246">
        <f>INDEX(Genomes!$A:$A,(MATCH(AllProteins!H246,Genomes!$B:$B,0)))</f>
        <v>11</v>
      </c>
      <c r="K246" t="str">
        <f>INDEX(Genomes!$J:$J,(MATCH(AllProteins!H246,Genomes!$B:$B,0)))</f>
        <v>Y</v>
      </c>
    </row>
    <row r="247" spans="1:11" x14ac:dyDescent="0.2">
      <c r="A247">
        <f>INDEX(CoreProteinGroups!A:A,MATCH(B247,CoreProteinGroups!B:B,0))</f>
        <v>4</v>
      </c>
      <c r="B247" s="1" t="s">
        <v>451</v>
      </c>
      <c r="C247" t="str">
        <f>VLOOKUP(B247,CoreProteinGroups!$B:$C,2,FALSE)</f>
        <v>RPO132</v>
      </c>
      <c r="D247" t="s">
        <v>475</v>
      </c>
      <c r="E247" s="6" t="str">
        <f t="shared" si="3"/>
        <v>PROT:AAF44533.1</v>
      </c>
      <c r="F247" t="s">
        <v>476</v>
      </c>
      <c r="G247" t="s">
        <v>45</v>
      </c>
      <c r="H247" t="s">
        <v>2666</v>
      </c>
      <c r="I247" t="str">
        <f>INDEX(Genomes!$I:$I,(MATCH(AllProteins!H247,Genomes!$B:$B,0)))</f>
        <v>AF198100-fowlpox_virus</v>
      </c>
      <c r="J247">
        <f>INDEX(Genomes!$A:$A,(MATCH(AllProteins!H247,Genomes!$B:$B,0)))</f>
        <v>21</v>
      </c>
      <c r="K247" t="str">
        <f>INDEX(Genomes!$J:$J,(MATCH(AllProteins!H247,Genomes!$B:$B,0)))</f>
        <v>Y</v>
      </c>
    </row>
    <row r="248" spans="1:11" x14ac:dyDescent="0.2">
      <c r="A248">
        <f>INDEX(CoreProteinGroups!A:A,MATCH(B248,CoreProteinGroups!B:B,0))</f>
        <v>4</v>
      </c>
      <c r="B248" s="1" t="s">
        <v>451</v>
      </c>
      <c r="C248" t="str">
        <f>VLOOKUP(B248,CoreProteinGroups!$B:$C,2,FALSE)</f>
        <v>RPO132</v>
      </c>
      <c r="D248" t="s">
        <v>477</v>
      </c>
      <c r="E248" s="6" t="str">
        <f t="shared" si="3"/>
        <v>PROT:AAK85077.1</v>
      </c>
      <c r="F248" t="s">
        <v>2733</v>
      </c>
      <c r="G248" t="s">
        <v>48</v>
      </c>
      <c r="H248" t="s">
        <v>2669</v>
      </c>
      <c r="I248" t="str">
        <f>INDEX(Genomes!$I:$I,(MATCH(AllProteins!H248,Genomes!$B:$B,0)))</f>
        <v>AF325528-lumpy_skin_disease_virus</v>
      </c>
      <c r="J248">
        <f>INDEX(Genomes!$A:$A,(MATCH(AllProteins!H248,Genomes!$B:$B,0)))</f>
        <v>25</v>
      </c>
      <c r="K248" t="str">
        <f>INDEX(Genomes!$J:$J,(MATCH(AllProteins!H248,Genomes!$B:$B,0)))</f>
        <v>Y</v>
      </c>
    </row>
    <row r="249" spans="1:11" x14ac:dyDescent="0.2">
      <c r="A249">
        <f>INDEX(CoreProteinGroups!A:A,MATCH(B249,CoreProteinGroups!B:B,0))</f>
        <v>4</v>
      </c>
      <c r="B249" s="1" t="s">
        <v>451</v>
      </c>
      <c r="C249" t="str">
        <f>VLOOKUP(B249,CoreProteinGroups!$B:$C,2,FALSE)</f>
        <v>RPO132</v>
      </c>
      <c r="D249" t="s">
        <v>478</v>
      </c>
      <c r="E249" s="6" t="str">
        <f t="shared" si="3"/>
        <v>PROT:AST09335.1</v>
      </c>
      <c r="F249" t="s">
        <v>464</v>
      </c>
      <c r="G249" t="s">
        <v>50</v>
      </c>
      <c r="H249" t="s">
        <v>2671</v>
      </c>
      <c r="I249" t="str">
        <f>INDEX(Genomes!$I:$I,(MATCH(AllProteins!H249,Genomes!$B:$B,0)))</f>
        <v>MF001304-Murmansk_poxvirus</v>
      </c>
      <c r="J249">
        <f>INDEX(Genomes!$A:$A,(MATCH(AllProteins!H249,Genomes!$B:$B,0)))</f>
        <v>27</v>
      </c>
      <c r="K249" t="str">
        <f>INDEX(Genomes!$J:$J,(MATCH(AllProteins!H249,Genomes!$B:$B,0)))</f>
        <v>Y</v>
      </c>
    </row>
    <row r="250" spans="1:11" x14ac:dyDescent="0.2">
      <c r="A250">
        <f>INDEX(CoreProteinGroups!A:A,MATCH(B250,CoreProteinGroups!B:B,0))</f>
        <v>4</v>
      </c>
      <c r="B250" s="1" t="s">
        <v>451</v>
      </c>
      <c r="C250" t="str">
        <f>VLOOKUP(B250,CoreProteinGroups!$B:$C,2,FALSE)</f>
        <v>RPO132</v>
      </c>
      <c r="D250" t="s">
        <v>479</v>
      </c>
      <c r="E250" s="6" t="str">
        <f t="shared" si="3"/>
        <v>PROT:AEN03717.1</v>
      </c>
      <c r="F250" t="s">
        <v>464</v>
      </c>
      <c r="G250" t="s">
        <v>52</v>
      </c>
      <c r="H250" t="s">
        <v>2698</v>
      </c>
      <c r="I250" t="str">
        <f>INDEX(Genomes!$I:$I,(MATCH(AllProteins!H250,Genomes!$B:$B,0)))</f>
        <v>HQ849551-yokapox_virus</v>
      </c>
      <c r="J250">
        <f>INDEX(Genomes!$A:$A,(MATCH(AllProteins!H250,Genomes!$B:$B,0)))</f>
        <v>57</v>
      </c>
      <c r="K250" t="str">
        <f>INDEX(Genomes!$J:$J,(MATCH(AllProteins!H250,Genomes!$B:$B,0)))</f>
        <v>Y</v>
      </c>
    </row>
    <row r="251" spans="1:11" x14ac:dyDescent="0.2">
      <c r="A251">
        <f>INDEX(CoreProteinGroups!A:A,MATCH(B251,CoreProteinGroups!B:B,0))</f>
        <v>4</v>
      </c>
      <c r="B251" s="1" t="s">
        <v>451</v>
      </c>
      <c r="C251" t="str">
        <f>VLOOKUP(B251,CoreProteinGroups!$B:$C,2,FALSE)</f>
        <v>RPO132</v>
      </c>
      <c r="D251" t="s">
        <v>480</v>
      </c>
      <c r="E251" s="6" t="str">
        <f t="shared" si="3"/>
        <v>PROT:ABI99280.1</v>
      </c>
      <c r="F251" t="s">
        <v>470</v>
      </c>
      <c r="G251" t="s">
        <v>54</v>
      </c>
      <c r="H251" t="s">
        <v>2661</v>
      </c>
      <c r="I251" t="str">
        <f>INDEX(Genomes!$I:$I,(MATCH(AllProteins!H251,Genomes!$B:$B,0)))</f>
        <v>AY689436-mule_deerpox_virus</v>
      </c>
      <c r="J251">
        <f>INDEX(Genomes!$A:$A,(MATCH(AllProteins!H251,Genomes!$B:$B,0)))</f>
        <v>15</v>
      </c>
      <c r="K251" t="str">
        <f>INDEX(Genomes!$J:$J,(MATCH(AllProteins!H251,Genomes!$B:$B,0)))</f>
        <v>Y</v>
      </c>
    </row>
    <row r="252" spans="1:11" x14ac:dyDescent="0.2">
      <c r="A252">
        <f>INDEX(CoreProteinGroups!A:A,MATCH(B252,CoreProteinGroups!B:B,0))</f>
        <v>4</v>
      </c>
      <c r="B252" s="1" t="s">
        <v>451</v>
      </c>
      <c r="C252" t="str">
        <f>VLOOKUP(B252,CoreProteinGroups!$B:$C,2,FALSE)</f>
        <v>RPO132</v>
      </c>
      <c r="D252" t="s">
        <v>481</v>
      </c>
      <c r="E252" s="6" t="str">
        <f t="shared" si="3"/>
        <v>PROT:ABJ09038.1</v>
      </c>
      <c r="F252" t="s">
        <v>470</v>
      </c>
      <c r="G252" t="s">
        <v>56</v>
      </c>
      <c r="H252" t="s">
        <v>2677</v>
      </c>
      <c r="I252" t="str">
        <f>INDEX(Genomes!$I:$I,(MATCH(AllProteins!H252,Genomes!$B:$B,0)))</f>
        <v>DQ356948-Nile_crocodilepox_virus</v>
      </c>
      <c r="J252">
        <f>INDEX(Genomes!$A:$A,(MATCH(AllProteins!H252,Genomes!$B:$B,0)))</f>
        <v>34</v>
      </c>
      <c r="K252" t="str">
        <f>INDEX(Genomes!$J:$J,(MATCH(AllProteins!H252,Genomes!$B:$B,0)))</f>
        <v>Y</v>
      </c>
    </row>
    <row r="253" spans="1:11" x14ac:dyDescent="0.2">
      <c r="A253">
        <f>INDEX(CoreProteinGroups!A:A,MATCH(B253,CoreProteinGroups!B:B,0))</f>
        <v>4</v>
      </c>
      <c r="B253" s="1" t="s">
        <v>451</v>
      </c>
      <c r="C253" t="str">
        <f>VLOOKUP(B253,CoreProteinGroups!$B:$C,2,FALSE)</f>
        <v>RPO132</v>
      </c>
      <c r="D253" t="s">
        <v>482</v>
      </c>
      <c r="E253" s="6" t="str">
        <f t="shared" si="3"/>
        <v>PROT:AAF15002.1</v>
      </c>
      <c r="F253" t="s">
        <v>483</v>
      </c>
      <c r="G253" t="s">
        <v>2584</v>
      </c>
      <c r="H253" t="s">
        <v>2676</v>
      </c>
      <c r="I253" t="str">
        <f>INDEX(Genomes!$I:$I,(MATCH(AllProteins!H253,Genomes!$B:$B,0)))</f>
        <v>AF170726-myxoma_virus</v>
      </c>
      <c r="J253">
        <f>INDEX(Genomes!$A:$A,(MATCH(AllProteins!H253,Genomes!$B:$B,0)))</f>
        <v>32</v>
      </c>
      <c r="K253" t="str">
        <f>INDEX(Genomes!$J:$J,(MATCH(AllProteins!H253,Genomes!$B:$B,0)))</f>
        <v>Y</v>
      </c>
    </row>
    <row r="254" spans="1:11" x14ac:dyDescent="0.2">
      <c r="A254">
        <f>INDEX(CoreProteinGroups!A:A,MATCH(B254,CoreProteinGroups!B:B,0))</f>
        <v>4</v>
      </c>
      <c r="B254" s="1" t="s">
        <v>451</v>
      </c>
      <c r="C254" t="str">
        <f>VLOOKUP(B254,CoreProteinGroups!$B:$C,2,FALSE)</f>
        <v>RPO132</v>
      </c>
      <c r="D254" t="s">
        <v>484</v>
      </c>
      <c r="E254" s="6" t="str">
        <f t="shared" si="3"/>
        <v>PROT:AFU77378.1</v>
      </c>
      <c r="F254" t="s">
        <v>483</v>
      </c>
      <c r="G254" t="s">
        <v>2553</v>
      </c>
      <c r="H254" t="s">
        <v>2646</v>
      </c>
      <c r="I254" t="str">
        <f>INDEX(Genomes!$I:$I,(MATCH(AllProteins!H254,Genomes!$B:$B,0)))</f>
        <v>JX565564-myxoma_virus_isolate_BRK_897</v>
      </c>
      <c r="J254">
        <f>INDEX(Genomes!$A:$A,(MATCH(AllProteins!H254,Genomes!$B:$B,0)))</f>
        <v>33</v>
      </c>
      <c r="K254" t="str">
        <f>INDEX(Genomes!$J:$J,(MATCH(AllProteins!H254,Genomes!$B:$B,0)))</f>
        <v>N</v>
      </c>
    </row>
    <row r="255" spans="1:11" x14ac:dyDescent="0.2">
      <c r="A255">
        <f>INDEX(CoreProteinGroups!A:A,MATCH(B255,CoreProteinGroups!B:B,0))</f>
        <v>4</v>
      </c>
      <c r="B255" s="1" t="s">
        <v>451</v>
      </c>
      <c r="C255" t="str">
        <f>VLOOKUP(B255,CoreProteinGroups!$B:$C,2,FALSE)</f>
        <v>RPO132</v>
      </c>
      <c r="D255" t="s">
        <v>485</v>
      </c>
      <c r="E255" s="6" t="str">
        <f t="shared" si="3"/>
        <v>PROT:AAF17997.1</v>
      </c>
      <c r="F255" t="s">
        <v>486</v>
      </c>
      <c r="G255" t="s">
        <v>62</v>
      </c>
      <c r="H255" t="s">
        <v>2685</v>
      </c>
      <c r="I255" t="str">
        <f>INDEX(Genomes!$I:$I,(MATCH(AllProteins!H255,Genomes!$B:$B,0)))</f>
        <v>AF170722-rabbit_fibroma_virus</v>
      </c>
      <c r="J255">
        <f>INDEX(Genomes!$A:$A,(MATCH(AllProteins!H255,Genomes!$B:$B,0)))</f>
        <v>43</v>
      </c>
      <c r="K255" t="str">
        <f>INDEX(Genomes!$J:$J,(MATCH(AllProteins!H255,Genomes!$B:$B,0)))</f>
        <v>Y</v>
      </c>
    </row>
    <row r="256" spans="1:11" x14ac:dyDescent="0.2">
      <c r="A256">
        <f>INDEX(CoreProteinGroups!A:A,MATCH(B256,CoreProteinGroups!B:B,0))</f>
        <v>4</v>
      </c>
      <c r="B256" s="1" t="s">
        <v>451</v>
      </c>
      <c r="C256" t="str">
        <f>VLOOKUP(B256,CoreProteinGroups!$B:$C,2,FALSE)</f>
        <v>RPO132</v>
      </c>
      <c r="D256" t="s">
        <v>487</v>
      </c>
      <c r="E256" s="6" t="str">
        <f t="shared" si="3"/>
        <v>PROT:AAC55257.1</v>
      </c>
      <c r="F256" t="s">
        <v>488</v>
      </c>
      <c r="G256" t="s">
        <v>65</v>
      </c>
      <c r="H256" t="s">
        <v>2670</v>
      </c>
      <c r="I256" t="str">
        <f>INDEX(Genomes!$I:$I,(MATCH(AllProteins!H256,Genomes!$B:$B,0)))</f>
        <v>U60315-molluscum_contagiosum_virus</v>
      </c>
      <c r="J256">
        <f>INDEX(Genomes!$A:$A,(MATCH(AllProteins!H256,Genomes!$B:$B,0)))</f>
        <v>26</v>
      </c>
      <c r="K256" t="str">
        <f>INDEX(Genomes!$J:$J,(MATCH(AllProteins!H256,Genomes!$B:$B,0)))</f>
        <v>Y</v>
      </c>
    </row>
    <row r="257" spans="1:11" x14ac:dyDescent="0.2">
      <c r="A257">
        <f>INDEX(CoreProteinGroups!A:A,MATCH(B257,CoreProteinGroups!B:B,0))</f>
        <v>4</v>
      </c>
      <c r="B257" s="1" t="s">
        <v>451</v>
      </c>
      <c r="C257" t="str">
        <f>VLOOKUP(B257,CoreProteinGroups!$B:$C,2,FALSE)</f>
        <v>RPO132</v>
      </c>
      <c r="D257" t="s">
        <v>489</v>
      </c>
      <c r="E257" s="6" t="str">
        <f t="shared" si="3"/>
        <v>PROT:AYN64709.1</v>
      </c>
      <c r="F257" t="s">
        <v>490</v>
      </c>
      <c r="G257" t="s">
        <v>68</v>
      </c>
      <c r="H257" t="s">
        <v>2647</v>
      </c>
      <c r="I257" t="str">
        <f>INDEX(Genomes!$I:$I,(MATCH(AllProteins!H257,Genomes!$B:$B,0)))</f>
        <v>MH816996-orthopoxvirus_abatino</v>
      </c>
      <c r="J257">
        <f>INDEX(Genomes!$A:$A,(MATCH(AllProteins!H257,Genomes!$B:$B,0)))</f>
        <v>1</v>
      </c>
      <c r="K257" t="str">
        <f>INDEX(Genomes!$J:$J,(MATCH(AllProteins!H257,Genomes!$B:$B,0)))</f>
        <v>Y</v>
      </c>
    </row>
    <row r="258" spans="1:11" x14ac:dyDescent="0.2">
      <c r="A258">
        <f>INDEX(CoreProteinGroups!A:A,MATCH(B258,CoreProteinGroups!B:B,0))</f>
        <v>4</v>
      </c>
      <c r="B258" s="1" t="s">
        <v>451</v>
      </c>
      <c r="C258" t="str">
        <f>VLOOKUP(B258,CoreProteinGroups!$B:$C,2,FALSE)</f>
        <v>RPO132</v>
      </c>
      <c r="D258" t="s">
        <v>491</v>
      </c>
      <c r="E258" s="6" t="str">
        <f t="shared" ref="E258:E321" si="4">HYPERLINK(_xlfn.CONCAT("https://www.ncbi.nlm.nih.gov/protein/",D258),_xlfn.CONCAT("PROT:",D258))</f>
        <v>PROT:AXN74940.1</v>
      </c>
      <c r="F258" t="s">
        <v>492</v>
      </c>
      <c r="G258" t="s">
        <v>70</v>
      </c>
      <c r="H258" t="s">
        <v>2650</v>
      </c>
      <c r="I258" t="str">
        <f>INDEX(Genomes!$I:$I,(MATCH(AllProteins!H258,Genomes!$B:$B,0)))</f>
        <v>MH607141-Akhmeta_virus</v>
      </c>
      <c r="J258">
        <f>INDEX(Genomes!$A:$A,(MATCH(AllProteins!H258,Genomes!$B:$B,0)))</f>
        <v>4</v>
      </c>
      <c r="K258" t="str">
        <f>INDEX(Genomes!$J:$J,(MATCH(AllProteins!H258,Genomes!$B:$B,0)))</f>
        <v>Y</v>
      </c>
    </row>
    <row r="259" spans="1:11" x14ac:dyDescent="0.2">
      <c r="A259">
        <f>INDEX(CoreProteinGroups!A:A,MATCH(B259,CoreProteinGroups!B:B,0))</f>
        <v>4</v>
      </c>
      <c r="B259" s="1" t="s">
        <v>451</v>
      </c>
      <c r="C259" t="str">
        <f>VLOOKUP(B259,CoreProteinGroups!$B:$C,2,FALSE)</f>
        <v>RPO132</v>
      </c>
      <c r="D259" t="s">
        <v>493</v>
      </c>
      <c r="E259" s="6" t="str">
        <f t="shared" si="4"/>
        <v>PROT:ABH08251.1</v>
      </c>
      <c r="F259" t="s">
        <v>494</v>
      </c>
      <c r="G259" t="s">
        <v>73</v>
      </c>
      <c r="H259" t="s">
        <v>2668</v>
      </c>
      <c r="I259" t="str">
        <f>INDEX(Genomes!$I:$I,(MATCH(AllProteins!H259,Genomes!$B:$B,0)))</f>
        <v>DQ792504-horsepox_virus</v>
      </c>
      <c r="J259">
        <f>INDEX(Genomes!$A:$A,(MATCH(AllProteins!H259,Genomes!$B:$B,0)))</f>
        <v>24</v>
      </c>
      <c r="K259" t="str">
        <f>INDEX(Genomes!$J:$J,(MATCH(AllProteins!H259,Genomes!$B:$B,0)))</f>
        <v>Y</v>
      </c>
    </row>
    <row r="260" spans="1:11" x14ac:dyDescent="0.2">
      <c r="A260">
        <f>INDEX(CoreProteinGroups!A:A,MATCH(B260,CoreProteinGroups!B:B,0))</f>
        <v>4</v>
      </c>
      <c r="B260" s="1" t="s">
        <v>451</v>
      </c>
      <c r="C260" t="str">
        <f>VLOOKUP(B260,CoreProteinGroups!$B:$C,2,FALSE)</f>
        <v>RPO132</v>
      </c>
      <c r="D260" t="s">
        <v>495</v>
      </c>
      <c r="E260" s="6" t="str">
        <f t="shared" si="4"/>
        <v>PROT:AAG37633.1</v>
      </c>
      <c r="F260" t="s">
        <v>496</v>
      </c>
      <c r="G260" t="s">
        <v>76</v>
      </c>
      <c r="H260" t="s">
        <v>2655</v>
      </c>
      <c r="I260" t="str">
        <f>INDEX(Genomes!$I:$I,(MATCH(AllProteins!H260,Genomes!$B:$B,0)))</f>
        <v>AY009089-camelpox_virus_CMS</v>
      </c>
      <c r="J260">
        <f>INDEX(Genomes!$A:$A,(MATCH(AllProteins!H260,Genomes!$B:$B,0)))</f>
        <v>9</v>
      </c>
      <c r="K260" t="str">
        <f>INDEX(Genomes!$J:$J,(MATCH(AllProteins!H260,Genomes!$B:$B,0)))</f>
        <v>N</v>
      </c>
    </row>
    <row r="261" spans="1:11" x14ac:dyDescent="0.2">
      <c r="A261">
        <f>INDEX(CoreProteinGroups!A:A,MATCH(B261,CoreProteinGroups!B:B,0))</f>
        <v>4</v>
      </c>
      <c r="B261" s="1" t="s">
        <v>451</v>
      </c>
      <c r="C261" t="str">
        <f>VLOOKUP(B261,CoreProteinGroups!$B:$C,2,FALSE)</f>
        <v>RPO132</v>
      </c>
      <c r="D261" t="s">
        <v>497</v>
      </c>
      <c r="E261" s="6" t="str">
        <f t="shared" si="4"/>
        <v>PROT:AAL73849.1</v>
      </c>
      <c r="F261" t="s">
        <v>470</v>
      </c>
      <c r="G261" t="s">
        <v>79</v>
      </c>
      <c r="H261" t="s">
        <v>2654</v>
      </c>
      <c r="I261" t="str">
        <f>INDEX(Genomes!$I:$I,(MATCH(AllProteins!H261,Genomes!$B:$B,0)))</f>
        <v>AF438165-camelpox_virus</v>
      </c>
      <c r="J261">
        <f>INDEX(Genomes!$A:$A,(MATCH(AllProteins!H261,Genomes!$B:$B,0)))</f>
        <v>8</v>
      </c>
      <c r="K261" t="str">
        <f>INDEX(Genomes!$J:$J,(MATCH(AllProteins!H261,Genomes!$B:$B,0)))</f>
        <v>Y</v>
      </c>
    </row>
    <row r="262" spans="1:11" x14ac:dyDescent="0.2">
      <c r="A262">
        <f>INDEX(CoreProteinGroups!A:A,MATCH(B262,CoreProteinGroups!B:B,0))</f>
        <v>4</v>
      </c>
      <c r="B262" s="1" t="s">
        <v>451</v>
      </c>
      <c r="C262" t="str">
        <f>VLOOKUP(B262,CoreProteinGroups!$B:$C,2,FALSE)</f>
        <v>RPO132</v>
      </c>
      <c r="D262" t="s">
        <v>498</v>
      </c>
      <c r="E262" s="6" t="str">
        <f t="shared" si="4"/>
        <v>PROT:AAM13599.1</v>
      </c>
      <c r="F262" t="s">
        <v>499</v>
      </c>
      <c r="G262" t="s">
        <v>82</v>
      </c>
      <c r="H262" t="s">
        <v>2659</v>
      </c>
      <c r="I262" t="str">
        <f>INDEX(Genomes!$I:$I,(MATCH(AllProteins!H262,Genomes!$B:$B,0)))</f>
        <v>AF482758-cowpox_virus</v>
      </c>
      <c r="J262">
        <f>INDEX(Genomes!$A:$A,(MATCH(AllProteins!H262,Genomes!$B:$B,0)))</f>
        <v>13</v>
      </c>
      <c r="K262" t="str">
        <f>INDEX(Genomes!$J:$J,(MATCH(AllProteins!H262,Genomes!$B:$B,0)))</f>
        <v>Y</v>
      </c>
    </row>
    <row r="263" spans="1:11" x14ac:dyDescent="0.2">
      <c r="A263">
        <f>INDEX(CoreProteinGroups!A:A,MATCH(B263,CoreProteinGroups!B:B,0))</f>
        <v>4</v>
      </c>
      <c r="B263" s="1" t="s">
        <v>451</v>
      </c>
      <c r="C263" t="str">
        <f>VLOOKUP(B263,CoreProteinGroups!$B:$C,2,FALSE)</f>
        <v>RPO132</v>
      </c>
      <c r="D263" t="s">
        <v>500</v>
      </c>
      <c r="E263" s="6" t="str">
        <f t="shared" si="4"/>
        <v>PROT:AAM92432.1</v>
      </c>
      <c r="F263" t="s">
        <v>501</v>
      </c>
      <c r="G263" t="s">
        <v>85</v>
      </c>
      <c r="H263" t="s">
        <v>2662</v>
      </c>
      <c r="I263" t="str">
        <f>INDEX(Genomes!$I:$I,(MATCH(AllProteins!H263,Genomes!$B:$B,0)))</f>
        <v>AF012825-ectromelia_virus</v>
      </c>
      <c r="J263">
        <f>INDEX(Genomes!$A:$A,(MATCH(AllProteins!H263,Genomes!$B:$B,0)))</f>
        <v>16</v>
      </c>
      <c r="K263" t="str">
        <f>INDEX(Genomes!$J:$J,(MATCH(AllProteins!H263,Genomes!$B:$B,0)))</f>
        <v>Y</v>
      </c>
    </row>
    <row r="264" spans="1:11" x14ac:dyDescent="0.2">
      <c r="A264">
        <f>INDEX(CoreProteinGroups!A:A,MATCH(B264,CoreProteinGroups!B:B,0))</f>
        <v>4</v>
      </c>
      <c r="B264" s="1" t="s">
        <v>451</v>
      </c>
      <c r="C264" t="str">
        <f>VLOOKUP(B264,CoreProteinGroups!$B:$C,2,FALSE)</f>
        <v>RPO132</v>
      </c>
      <c r="D264" t="s">
        <v>502</v>
      </c>
      <c r="E264" s="6" t="str">
        <f t="shared" si="4"/>
        <v>PROT:AFH54691.1</v>
      </c>
      <c r="F264" t="s">
        <v>503</v>
      </c>
      <c r="G264" t="s">
        <v>87</v>
      </c>
      <c r="H264" t="s">
        <v>2619</v>
      </c>
      <c r="I264" t="str">
        <f>INDEX(Genomes!$I:$I,(MATCH(AllProteins!H264,Genomes!$B:$B,0)))</f>
        <v>JQ410350-ectromelia_virus_strain_ERPV</v>
      </c>
      <c r="J264">
        <f>INDEX(Genomes!$A:$A,(MATCH(AllProteins!H264,Genomes!$B:$B,0)))</f>
        <v>17</v>
      </c>
      <c r="K264" t="str">
        <f>INDEX(Genomes!$J:$J,(MATCH(AllProteins!H264,Genomes!$B:$B,0)))</f>
        <v>N</v>
      </c>
    </row>
    <row r="265" spans="1:11" x14ac:dyDescent="0.2">
      <c r="A265">
        <f>INDEX(CoreProteinGroups!A:A,MATCH(B265,CoreProteinGroups!B:B,0))</f>
        <v>4</v>
      </c>
      <c r="B265" s="1" t="s">
        <v>451</v>
      </c>
      <c r="C265" t="str">
        <f>VLOOKUP(B265,CoreProteinGroups!$B:$C,2,FALSE)</f>
        <v>RPO132</v>
      </c>
      <c r="D265" t="s">
        <v>504</v>
      </c>
      <c r="E265" s="6" t="str">
        <f t="shared" si="4"/>
        <v>PROT:AAL40593.1</v>
      </c>
      <c r="F265" t="s">
        <v>505</v>
      </c>
      <c r="G265" t="s">
        <v>90</v>
      </c>
      <c r="H265" t="s">
        <v>2673</v>
      </c>
      <c r="I265" t="str">
        <f>INDEX(Genomes!$I:$I,(MATCH(AllProteins!H265,Genomes!$B:$B,0)))</f>
        <v>AF380138-monkeypox_virus_(clade_I)</v>
      </c>
      <c r="J265">
        <f>INDEX(Genomes!$A:$A,(MATCH(AllProteins!H265,Genomes!$B:$B,0)))</f>
        <v>29</v>
      </c>
      <c r="K265" t="str">
        <f>INDEX(Genomes!$J:$J,(MATCH(AllProteins!H265,Genomes!$B:$B,0)))</f>
        <v>Y</v>
      </c>
    </row>
    <row r="266" spans="1:11" x14ac:dyDescent="0.2">
      <c r="A266">
        <f>INDEX(CoreProteinGroups!A:A,MATCH(B266,CoreProteinGroups!B:B,0))</f>
        <v>4</v>
      </c>
      <c r="B266" s="1" t="s">
        <v>451</v>
      </c>
      <c r="C266" t="str">
        <f>VLOOKUP(B266,CoreProteinGroups!$B:$C,2,FALSE)</f>
        <v>RPO132</v>
      </c>
      <c r="D266" t="s">
        <v>506</v>
      </c>
      <c r="E266" s="6" t="str">
        <f t="shared" si="4"/>
        <v>PROT:AAX09231.1</v>
      </c>
      <c r="F266" t="s">
        <v>507</v>
      </c>
      <c r="G266" t="s">
        <v>93</v>
      </c>
      <c r="H266" t="s">
        <v>2672</v>
      </c>
      <c r="I266" t="str">
        <f>INDEX(Genomes!$I:$I,(MATCH(AllProteins!H266,Genomes!$B:$B,0)))</f>
        <v>AY753185-monkeypox_virus_(clade_IIa)</v>
      </c>
      <c r="J266">
        <f>INDEX(Genomes!$A:$A,(MATCH(AllProteins!H266,Genomes!$B:$B,0)))</f>
        <v>28</v>
      </c>
      <c r="K266" t="str">
        <f>INDEX(Genomes!$J:$J,(MATCH(AllProteins!H266,Genomes!$B:$B,0)))</f>
        <v>Y</v>
      </c>
    </row>
    <row r="267" spans="1:11" x14ac:dyDescent="0.2">
      <c r="A267">
        <f>INDEX(CoreProteinGroups!A:A,MATCH(B267,CoreProteinGroups!B:B,0))</f>
        <v>4</v>
      </c>
      <c r="B267" s="1" t="s">
        <v>451</v>
      </c>
      <c r="C267" t="str">
        <f>VLOOKUP(B267,CoreProteinGroups!$B:$C,2,FALSE)</f>
        <v>RPO132</v>
      </c>
      <c r="D267" t="s">
        <v>508</v>
      </c>
      <c r="E267" s="6" t="str">
        <f t="shared" si="4"/>
        <v>PROT:AKJ93773.1</v>
      </c>
      <c r="F267" t="s">
        <v>509</v>
      </c>
      <c r="G267" t="s">
        <v>95</v>
      </c>
      <c r="H267" t="s">
        <v>2683</v>
      </c>
      <c r="I267" t="str">
        <f>INDEX(Genomes!$I:$I,(MATCH(AllProteins!H267,Genomes!$B:$B,0)))</f>
        <v>KP143769-raccoonpox_virus</v>
      </c>
      <c r="J267">
        <f>INDEX(Genomes!$A:$A,(MATCH(AllProteins!H267,Genomes!$B:$B,0)))</f>
        <v>41</v>
      </c>
      <c r="K267" t="str">
        <f>INDEX(Genomes!$J:$J,(MATCH(AllProteins!H267,Genomes!$B:$B,0)))</f>
        <v>Y</v>
      </c>
    </row>
    <row r="268" spans="1:11" x14ac:dyDescent="0.2">
      <c r="A268">
        <f>INDEX(CoreProteinGroups!A:A,MATCH(B268,CoreProteinGroups!B:B,0))</f>
        <v>4</v>
      </c>
      <c r="B268" s="1" t="s">
        <v>451</v>
      </c>
      <c r="C268" t="str">
        <f>VLOOKUP(B268,CoreProteinGroups!$B:$C,2,FALSE)</f>
        <v>RPO132</v>
      </c>
      <c r="D268" t="s">
        <v>510</v>
      </c>
      <c r="E268" s="6" t="str">
        <f t="shared" si="4"/>
        <v>PROT:AOP31622.1</v>
      </c>
      <c r="F268" t="s">
        <v>454</v>
      </c>
      <c r="G268" t="s">
        <v>97</v>
      </c>
      <c r="H268" t="s">
        <v>2686</v>
      </c>
      <c r="I268" t="str">
        <f>INDEX(Genomes!$I:$I,(MATCH(AllProteins!H268,Genomes!$B:$B,0)))</f>
        <v>KU749310-skunkpox_virus</v>
      </c>
      <c r="J268">
        <f>INDEX(Genomes!$A:$A,(MATCH(AllProteins!H268,Genomes!$B:$B,0)))</f>
        <v>45</v>
      </c>
      <c r="K268" t="str">
        <f>INDEX(Genomes!$J:$J,(MATCH(AllProteins!H268,Genomes!$B:$B,0)))</f>
        <v>Y</v>
      </c>
    </row>
    <row r="269" spans="1:11" x14ac:dyDescent="0.2">
      <c r="A269">
        <f>INDEX(CoreProteinGroups!A:A,MATCH(B269,CoreProteinGroups!B:B,0))</f>
        <v>4</v>
      </c>
      <c r="B269" s="1" t="s">
        <v>451</v>
      </c>
      <c r="C269" t="str">
        <f>VLOOKUP(B269,CoreProteinGroups!$B:$C,2,FALSE)</f>
        <v>RPO132</v>
      </c>
      <c r="D269" t="s">
        <v>511</v>
      </c>
      <c r="E269" s="6" t="str">
        <f t="shared" si="4"/>
        <v>PROT:ABD97712.1</v>
      </c>
      <c r="F269" t="s">
        <v>464</v>
      </c>
      <c r="G269" t="s">
        <v>99</v>
      </c>
      <c r="H269" t="s">
        <v>2691</v>
      </c>
      <c r="I269" t="str">
        <f>INDEX(Genomes!$I:$I,(MATCH(AllProteins!H269,Genomes!$B:$B,0)))</f>
        <v>DQ437594-taterapox_virus</v>
      </c>
      <c r="J269">
        <f>INDEX(Genomes!$A:$A,(MATCH(AllProteins!H269,Genomes!$B:$B,0)))</f>
        <v>50</v>
      </c>
      <c r="K269" t="str">
        <f>INDEX(Genomes!$J:$J,(MATCH(AllProteins!H269,Genomes!$B:$B,0)))</f>
        <v>Y</v>
      </c>
    </row>
    <row r="270" spans="1:11" x14ac:dyDescent="0.2">
      <c r="A270">
        <f>INDEX(CoreProteinGroups!A:A,MATCH(B270,CoreProteinGroups!B:B,0))</f>
        <v>4</v>
      </c>
      <c r="B270" s="1" t="s">
        <v>451</v>
      </c>
      <c r="C270" t="str">
        <f>VLOOKUP(B270,CoreProteinGroups!$B:$C,2,FALSE)</f>
        <v>RPO132</v>
      </c>
      <c r="D270" t="s">
        <v>512</v>
      </c>
      <c r="E270" s="6" t="str">
        <f t="shared" si="4"/>
        <v>PROT:AAO89423.1</v>
      </c>
      <c r="F270" t="s">
        <v>464</v>
      </c>
      <c r="G270" t="s">
        <v>101</v>
      </c>
      <c r="H270" t="s">
        <v>2693</v>
      </c>
      <c r="I270" t="str">
        <f>INDEX(Genomes!$I:$I,(MATCH(AllProteins!H270,Genomes!$B:$B,0)))</f>
        <v>AY243312-vaccinia_virus</v>
      </c>
      <c r="J270">
        <f>INDEX(Genomes!$A:$A,(MATCH(AllProteins!H270,Genomes!$B:$B,0)))</f>
        <v>52</v>
      </c>
      <c r="K270" t="str">
        <f>INDEX(Genomes!$J:$J,(MATCH(AllProteins!H270,Genomes!$B:$B,0)))</f>
        <v>Y</v>
      </c>
    </row>
    <row r="271" spans="1:11" x14ac:dyDescent="0.2">
      <c r="A271">
        <f>INDEX(CoreProteinGroups!A:A,MATCH(B271,CoreProteinGroups!B:B,0))</f>
        <v>4</v>
      </c>
      <c r="B271" s="1" t="s">
        <v>451</v>
      </c>
      <c r="C271" t="str">
        <f>VLOOKUP(B271,CoreProteinGroups!$B:$C,2,FALSE)</f>
        <v>RPO132</v>
      </c>
      <c r="D271" t="s">
        <v>513</v>
      </c>
      <c r="E271" s="6" t="str">
        <f t="shared" si="4"/>
        <v>PROT:CAA49069.1</v>
      </c>
      <c r="F271" t="s">
        <v>411</v>
      </c>
      <c r="G271" t="s">
        <v>2585</v>
      </c>
      <c r="H271" t="s">
        <v>2694</v>
      </c>
      <c r="I271" t="str">
        <f>INDEX(Genomes!$I:$I,(MATCH(AllProteins!H271,Genomes!$B:$B,0)))</f>
        <v>X69198-variola_major_virus</v>
      </c>
      <c r="J271">
        <f>INDEX(Genomes!$A:$A,(MATCH(AllProteins!H271,Genomes!$B:$B,0)))</f>
        <v>53</v>
      </c>
      <c r="K271" t="str">
        <f>INDEX(Genomes!$J:$J,(MATCH(AllProteins!H271,Genomes!$B:$B,0)))</f>
        <v>Y</v>
      </c>
    </row>
    <row r="272" spans="1:11" x14ac:dyDescent="0.2">
      <c r="A272">
        <f>INDEX(CoreProteinGroups!A:A,MATCH(B272,CoreProteinGroups!B:B,0))</f>
        <v>4</v>
      </c>
      <c r="B272" s="1" t="s">
        <v>451</v>
      </c>
      <c r="C272" t="str">
        <f>VLOOKUP(B272,CoreProteinGroups!$B:$C,2,FALSE)</f>
        <v>RPO132</v>
      </c>
      <c r="D272" t="s">
        <v>514</v>
      </c>
      <c r="E272" s="6" t="str">
        <f t="shared" si="4"/>
        <v>PROT:CAB54728.1</v>
      </c>
      <c r="F272" t="s">
        <v>515</v>
      </c>
      <c r="G272" t="s">
        <v>106</v>
      </c>
      <c r="H272" t="s">
        <v>2695</v>
      </c>
      <c r="I272" t="str">
        <f>INDEX(Genomes!$I:$I,(MATCH(AllProteins!H272,Genomes!$B:$B,0)))</f>
        <v>Y16780-variola_minor_virus</v>
      </c>
      <c r="J272">
        <f>INDEX(Genomes!$A:$A,(MATCH(AllProteins!H272,Genomes!$B:$B,0)))</f>
        <v>54</v>
      </c>
      <c r="K272" t="str">
        <f>INDEX(Genomes!$J:$J,(MATCH(AllProteins!H272,Genomes!$B:$B,0)))</f>
        <v>Y</v>
      </c>
    </row>
    <row r="273" spans="1:11" x14ac:dyDescent="0.2">
      <c r="A273">
        <f>INDEX(CoreProteinGroups!A:A,MATCH(B273,CoreProteinGroups!B:B,0))</f>
        <v>4</v>
      </c>
      <c r="B273" s="1" t="s">
        <v>451</v>
      </c>
      <c r="C273" t="str">
        <f>VLOOKUP(B273,CoreProteinGroups!$B:$C,2,FALSE)</f>
        <v>RPO132</v>
      </c>
      <c r="D273" t="s">
        <v>516</v>
      </c>
      <c r="E273" s="6" t="str">
        <f t="shared" si="4"/>
        <v>PROT:AOP31833.1</v>
      </c>
      <c r="F273" t="s">
        <v>454</v>
      </c>
      <c r="G273" t="s">
        <v>108</v>
      </c>
      <c r="H273" t="s">
        <v>2696</v>
      </c>
      <c r="I273" t="str">
        <f>INDEX(Genomes!$I:$I,(MATCH(AllProteins!H273,Genomes!$B:$B,0)))</f>
        <v>KU749311-volepox_virus</v>
      </c>
      <c r="J273">
        <f>INDEX(Genomes!$A:$A,(MATCH(AllProteins!H273,Genomes!$B:$B,0)))</f>
        <v>55</v>
      </c>
      <c r="K273" t="str">
        <f>INDEX(Genomes!$J:$J,(MATCH(AllProteins!H273,Genomes!$B:$B,0)))</f>
        <v>Y</v>
      </c>
    </row>
    <row r="274" spans="1:11" x14ac:dyDescent="0.2">
      <c r="A274">
        <f>INDEX(CoreProteinGroups!A:A,MATCH(B274,CoreProteinGroups!B:B,0))</f>
        <v>4</v>
      </c>
      <c r="B274" s="1" t="s">
        <v>451</v>
      </c>
      <c r="C274" t="str">
        <f>VLOOKUP(B274,CoreProteinGroups!$B:$C,2,FALSE)</f>
        <v>RPO132</v>
      </c>
      <c r="D274" t="s">
        <v>517</v>
      </c>
      <c r="E274" s="6" t="str">
        <f t="shared" si="4"/>
        <v>PROT:ASC55546.1</v>
      </c>
      <c r="F274" t="s">
        <v>518</v>
      </c>
      <c r="G274" t="s">
        <v>111</v>
      </c>
      <c r="H274" t="s">
        <v>2667</v>
      </c>
      <c r="I274" t="str">
        <f>INDEX(Genomes!$I:$I,(MATCH(AllProteins!H274,Genomes!$B:$B,0)))</f>
        <v>KY382358-seal_parapoxvirus</v>
      </c>
      <c r="J274">
        <f>INDEX(Genomes!$A:$A,(MATCH(AllProteins!H274,Genomes!$B:$B,0)))</f>
        <v>22</v>
      </c>
      <c r="K274" t="str">
        <f>INDEX(Genomes!$J:$J,(MATCH(AllProteins!H274,Genomes!$B:$B,0)))</f>
        <v>Y</v>
      </c>
    </row>
    <row r="275" spans="1:11" x14ac:dyDescent="0.2">
      <c r="A275">
        <f>INDEX(CoreProteinGroups!A:A,MATCH(B275,CoreProteinGroups!B:B,0))</f>
        <v>4</v>
      </c>
      <c r="B275" s="1" t="s">
        <v>451</v>
      </c>
      <c r="C275" t="str">
        <f>VLOOKUP(B275,CoreProteinGroups!$B:$C,2,FALSE)</f>
        <v>RPO132</v>
      </c>
      <c r="D275" t="s">
        <v>519</v>
      </c>
      <c r="E275" s="6" t="str">
        <f t="shared" si="4"/>
        <v>PROT:AAR98458.1</v>
      </c>
      <c r="F275" t="s">
        <v>520</v>
      </c>
      <c r="G275" t="s">
        <v>114</v>
      </c>
      <c r="H275" t="s">
        <v>2652</v>
      </c>
      <c r="I275" t="str">
        <f>INDEX(Genomes!$I:$I,(MATCH(AllProteins!H275,Genomes!$B:$B,0)))</f>
        <v>AY386265-bovine_papular_stomatitis_virus</v>
      </c>
      <c r="J275">
        <f>INDEX(Genomes!$A:$A,(MATCH(AllProteins!H275,Genomes!$B:$B,0)))</f>
        <v>6</v>
      </c>
      <c r="K275" t="str">
        <f>INDEX(Genomes!$J:$J,(MATCH(AllProteins!H275,Genomes!$B:$B,0)))</f>
        <v>Y</v>
      </c>
    </row>
    <row r="276" spans="1:11" x14ac:dyDescent="0.2">
      <c r="A276">
        <f>INDEX(CoreProteinGroups!A:A,MATCH(B276,CoreProteinGroups!B:B,0))</f>
        <v>4</v>
      </c>
      <c r="B276" s="1" t="s">
        <v>451</v>
      </c>
      <c r="C276" t="str">
        <f>VLOOKUP(B276,CoreProteinGroups!$B:$C,2,FALSE)</f>
        <v>RPO132</v>
      </c>
      <c r="D276" t="s">
        <v>521</v>
      </c>
      <c r="E276" s="6" t="str">
        <f t="shared" si="4"/>
        <v>PROT:AAR98326.1</v>
      </c>
      <c r="F276" t="s">
        <v>520</v>
      </c>
      <c r="G276" t="s">
        <v>2702</v>
      </c>
      <c r="H276" t="s">
        <v>2678</v>
      </c>
      <c r="I276" t="str">
        <f>INDEX(Genomes!$I:$I,(MATCH(AllProteins!H276,Genomes!$B:$B,0)))</f>
        <v>AY386264-orf_virus</v>
      </c>
      <c r="J276">
        <f>INDEX(Genomes!$A:$A,(MATCH(AllProteins!H276,Genomes!$B:$B,0)))</f>
        <v>35</v>
      </c>
      <c r="K276" t="str">
        <f>INDEX(Genomes!$J:$J,(MATCH(AllProteins!H276,Genomes!$B:$B,0)))</f>
        <v>Y</v>
      </c>
    </row>
    <row r="277" spans="1:11" x14ac:dyDescent="0.2">
      <c r="A277">
        <f>INDEX(CoreProteinGroups!A:A,MATCH(B277,CoreProteinGroups!B:B,0))</f>
        <v>4</v>
      </c>
      <c r="B277" s="1" t="s">
        <v>451</v>
      </c>
      <c r="C277" t="str">
        <f>VLOOKUP(B277,CoreProteinGroups!$B:$C,2,FALSE)</f>
        <v>RPO132</v>
      </c>
      <c r="D277" t="s">
        <v>522</v>
      </c>
      <c r="E277" s="6" t="str">
        <f t="shared" si="4"/>
        <v>PROT:ABA00618.1</v>
      </c>
      <c r="F277" t="s">
        <v>523</v>
      </c>
      <c r="G277" t="s">
        <v>2555</v>
      </c>
      <c r="H277" t="s">
        <v>2645</v>
      </c>
      <c r="I277" t="str">
        <f>INDEX(Genomes!$I:$I,(MATCH(AllProteins!H277,Genomes!$B:$B,0)))</f>
        <v>DQ184476-orf_virus_strain_NZ2</v>
      </c>
      <c r="J277">
        <f>INDEX(Genomes!$A:$A,(MATCH(AllProteins!H277,Genomes!$B:$B,0)))</f>
        <v>36</v>
      </c>
      <c r="K277" t="str">
        <f>INDEX(Genomes!$J:$J,(MATCH(AllProteins!H277,Genomes!$B:$B,0)))</f>
        <v>N</v>
      </c>
    </row>
    <row r="278" spans="1:11" x14ac:dyDescent="0.2">
      <c r="A278">
        <f>INDEX(CoreProteinGroups!A:A,MATCH(B278,CoreProteinGroups!B:B,0))</f>
        <v>4</v>
      </c>
      <c r="B278" s="1" t="s">
        <v>451</v>
      </c>
      <c r="C278" t="str">
        <f>VLOOKUP(B278,CoreProteinGroups!$B:$C,2,FALSE)</f>
        <v>RPO132</v>
      </c>
      <c r="D278" t="s">
        <v>524</v>
      </c>
      <c r="E278" s="6" t="str">
        <f t="shared" si="4"/>
        <v>PROT:AIZ77352.1</v>
      </c>
      <c r="F278" t="s">
        <v>525</v>
      </c>
      <c r="G278" t="s">
        <v>119</v>
      </c>
      <c r="H278" t="s">
        <v>2684</v>
      </c>
      <c r="I278" t="str">
        <f>INDEX(Genomes!$I:$I,(MATCH(AllProteins!H278,Genomes!$B:$B,0)))</f>
        <v>KM502564-parapoxvirus_red_deer</v>
      </c>
      <c r="J278">
        <f>INDEX(Genomes!$A:$A,(MATCH(AllProteins!H278,Genomes!$B:$B,0)))</f>
        <v>42</v>
      </c>
      <c r="K278" t="str">
        <f>INDEX(Genomes!$J:$J,(MATCH(AllProteins!H278,Genomes!$B:$B,0)))</f>
        <v>Y</v>
      </c>
    </row>
    <row r="279" spans="1:11" x14ac:dyDescent="0.2">
      <c r="A279">
        <f>INDEX(CoreProteinGroups!A:A,MATCH(B279,CoreProteinGroups!B:B,0))</f>
        <v>4</v>
      </c>
      <c r="B279" s="1" t="s">
        <v>451</v>
      </c>
      <c r="C279" t="str">
        <f>VLOOKUP(B279,CoreProteinGroups!$B:$C,2,FALSE)</f>
        <v>RPO132</v>
      </c>
      <c r="D279" t="s">
        <v>526</v>
      </c>
      <c r="E279" s="6" t="str">
        <f t="shared" si="4"/>
        <v>PROT:ADC54003.1</v>
      </c>
      <c r="F279" t="s">
        <v>527</v>
      </c>
      <c r="G279" t="s">
        <v>121</v>
      </c>
      <c r="H279" t="s">
        <v>2679</v>
      </c>
      <c r="I279" t="str">
        <f>INDEX(Genomes!$I:$I,(MATCH(AllProteins!H279,Genomes!$B:$B,0)))</f>
        <v>GQ329670-pseudocowpox_virus</v>
      </c>
      <c r="J279">
        <f>INDEX(Genomes!$A:$A,(MATCH(AllProteins!H279,Genomes!$B:$B,0)))</f>
        <v>37</v>
      </c>
      <c r="K279" t="str">
        <f>INDEX(Genomes!$J:$J,(MATCH(AllProteins!H279,Genomes!$B:$B,0)))</f>
        <v>Y</v>
      </c>
    </row>
    <row r="280" spans="1:11" x14ac:dyDescent="0.2">
      <c r="A280">
        <f>INDEX(CoreProteinGroups!A:A,MATCH(B280,CoreProteinGroups!B:B,0))</f>
        <v>4</v>
      </c>
      <c r="B280" s="1" t="s">
        <v>451</v>
      </c>
      <c r="C280" t="str">
        <f>VLOOKUP(B280,CoreProteinGroups!$B:$C,2,FALSE)</f>
        <v>RPO132</v>
      </c>
      <c r="D280" t="s">
        <v>528</v>
      </c>
      <c r="E280" s="6" t="str">
        <f t="shared" si="4"/>
        <v>PROT:AAL69852.1</v>
      </c>
      <c r="F280" t="s">
        <v>529</v>
      </c>
      <c r="G280" t="s">
        <v>124</v>
      </c>
      <c r="H280" t="s">
        <v>2690</v>
      </c>
      <c r="I280" t="str">
        <f>INDEX(Genomes!$I:$I,(MATCH(AllProteins!H280,Genomes!$B:$B,0)))</f>
        <v>AF410153-swinepox_virus</v>
      </c>
      <c r="J280">
        <f>INDEX(Genomes!$A:$A,(MATCH(AllProteins!H280,Genomes!$B:$B,0)))</f>
        <v>49</v>
      </c>
      <c r="K280" t="str">
        <f>INDEX(Genomes!$J:$J,(MATCH(AllProteins!H280,Genomes!$B:$B,0)))</f>
        <v>Y</v>
      </c>
    </row>
    <row r="281" spans="1:11" x14ac:dyDescent="0.2">
      <c r="A281">
        <f>INDEX(CoreProteinGroups!A:A,MATCH(B281,CoreProteinGroups!B:B,0))</f>
        <v>4</v>
      </c>
      <c r="B281" s="1" t="s">
        <v>451</v>
      </c>
      <c r="C281" t="str">
        <f>VLOOKUP(B281,CoreProteinGroups!$B:$C,2,FALSE)</f>
        <v>RPO132</v>
      </c>
      <c r="D281" t="s">
        <v>530</v>
      </c>
      <c r="E281" s="6" t="str">
        <f t="shared" si="4"/>
        <v>PROT:CAC21354.1</v>
      </c>
      <c r="F281" t="s">
        <v>531</v>
      </c>
      <c r="G281" t="s">
        <v>127</v>
      </c>
      <c r="H281" t="s">
        <v>2699</v>
      </c>
      <c r="I281" t="str">
        <f>INDEX(Genomes!$I:$I,(MATCH(AllProteins!H281,Genomes!$B:$B,0)))</f>
        <v>AJ293568-tanapox_virus</v>
      </c>
      <c r="J281">
        <f>INDEX(Genomes!$A:$A,(MATCH(AllProteins!H281,Genomes!$B:$B,0)))</f>
        <v>58</v>
      </c>
      <c r="K281" t="str">
        <f>INDEX(Genomes!$J:$J,(MATCH(AllProteins!H281,Genomes!$B:$B,0)))</f>
        <v>Y</v>
      </c>
    </row>
    <row r="282" spans="1:11" x14ac:dyDescent="0.2">
      <c r="A282">
        <f>INDEX(CoreProteinGroups!A:A,MATCH(B282,CoreProteinGroups!B:B,0))</f>
        <v>4</v>
      </c>
      <c r="B282" s="1" t="s">
        <v>451</v>
      </c>
      <c r="C282" t="str">
        <f>VLOOKUP(B282,CoreProteinGroups!$B:$C,2,FALSE)</f>
        <v>RPO132</v>
      </c>
      <c r="D282" t="s">
        <v>532</v>
      </c>
      <c r="E282" s="6" t="str">
        <f t="shared" si="4"/>
        <v>PROT:AAR07472.1</v>
      </c>
      <c r="F282" t="s">
        <v>533</v>
      </c>
      <c r="G282" t="s">
        <v>130</v>
      </c>
      <c r="H282" t="s">
        <v>2700</v>
      </c>
      <c r="I282" t="str">
        <f>INDEX(Genomes!$I:$I,(MATCH(AllProteins!H282,Genomes!$B:$B,0)))</f>
        <v>AY386371-Yaba_monkey_tumor_virus</v>
      </c>
      <c r="J282">
        <f>INDEX(Genomes!$A:$A,(MATCH(AllProteins!H282,Genomes!$B:$B,0)))</f>
        <v>59</v>
      </c>
      <c r="K282" t="str">
        <f>INDEX(Genomes!$J:$J,(MATCH(AllProteins!H282,Genomes!$B:$B,0)))</f>
        <v>Y</v>
      </c>
    </row>
    <row r="283" spans="1:11" x14ac:dyDescent="0.2">
      <c r="A283">
        <f>INDEX(CoreProteinGroups!A:A,MATCH(B283,CoreProteinGroups!B:B,0))</f>
        <v>4</v>
      </c>
      <c r="B283" s="1" t="s">
        <v>451</v>
      </c>
      <c r="C283" t="str">
        <f>VLOOKUP(B283,CoreProteinGroups!$B:$C,2,FALSE)</f>
        <v>RPO132</v>
      </c>
      <c r="D283" t="s">
        <v>534</v>
      </c>
      <c r="E283" s="6" t="str">
        <f t="shared" si="4"/>
        <v>PROT:AAC97782.1</v>
      </c>
      <c r="F283" t="s">
        <v>535</v>
      </c>
      <c r="G283" t="s">
        <v>133</v>
      </c>
      <c r="H283" t="s">
        <v>2674</v>
      </c>
      <c r="I283" t="str">
        <f>INDEX(Genomes!$I:$I,(MATCH(AllProteins!H283,Genomes!$B:$B,0)))</f>
        <v>AF063866-Melanoplus_sanguinipes_entomopoxvirus</v>
      </c>
      <c r="J283">
        <f>INDEX(Genomes!$A:$A,(MATCH(AllProteins!H283,Genomes!$B:$B,0)))</f>
        <v>30</v>
      </c>
      <c r="K283" t="str">
        <f>INDEX(Genomes!$J:$J,(MATCH(AllProteins!H283,Genomes!$B:$B,0)))</f>
        <v>Y</v>
      </c>
    </row>
    <row r="284" spans="1:11" x14ac:dyDescent="0.2">
      <c r="A284">
        <f>INDEX(CoreProteinGroups!A:A,MATCH(B284,CoreProteinGroups!B:B,0))</f>
        <v>4</v>
      </c>
      <c r="B284" s="1" t="s">
        <v>451</v>
      </c>
      <c r="C284" t="str">
        <f>VLOOKUP(B284,CoreProteinGroups!$B:$C,2,FALSE)</f>
        <v>RPO132</v>
      </c>
      <c r="D284" t="s">
        <v>536</v>
      </c>
      <c r="E284" s="6" t="str">
        <f t="shared" si="4"/>
        <v>PROT:BAO49445.1</v>
      </c>
      <c r="F284" t="s">
        <v>537</v>
      </c>
      <c r="G284" t="s">
        <v>136</v>
      </c>
      <c r="H284" t="s">
        <v>2648</v>
      </c>
      <c r="I284" t="str">
        <f>INDEX(Genomes!$I:$I,(MATCH(AllProteins!H284,Genomes!$B:$B,0)))</f>
        <v>AP013055-Anomala_cuprea_entomopoxvirus</v>
      </c>
      <c r="J284">
        <f>INDEX(Genomes!$A:$A,(MATCH(AllProteins!H284,Genomes!$B:$B,0)))</f>
        <v>2</v>
      </c>
      <c r="K284" t="str">
        <f>INDEX(Genomes!$J:$J,(MATCH(AllProteins!H284,Genomes!$B:$B,0)))</f>
        <v>Y</v>
      </c>
    </row>
    <row r="285" spans="1:11" x14ac:dyDescent="0.2">
      <c r="A285">
        <f>INDEX(CoreProteinGroups!A:A,MATCH(B285,CoreProteinGroups!B:B,0))</f>
        <v>4</v>
      </c>
      <c r="B285" s="1" t="s">
        <v>451</v>
      </c>
      <c r="C285" t="str">
        <f>VLOOKUP(B285,CoreProteinGroups!$B:$C,2,FALSE)</f>
        <v>RPO132</v>
      </c>
      <c r="D285" t="s">
        <v>538</v>
      </c>
      <c r="E285" s="6" t="str">
        <f t="shared" si="4"/>
        <v>PROT:CCU55389.1</v>
      </c>
      <c r="F285" t="s">
        <v>523</v>
      </c>
      <c r="G285" t="s">
        <v>138</v>
      </c>
      <c r="H285" t="s">
        <v>2649</v>
      </c>
      <c r="I285" t="str">
        <f>INDEX(Genomes!$I:$I,(MATCH(AllProteins!H285,Genomes!$B:$B,0)))</f>
        <v>HF679131-Adoxophyes_honmai_entomopoxvirus</v>
      </c>
      <c r="J285">
        <f>INDEX(Genomes!$A:$A,(MATCH(AllProteins!H285,Genomes!$B:$B,0)))</f>
        <v>3</v>
      </c>
      <c r="K285" t="str">
        <f>INDEX(Genomes!$J:$J,(MATCH(AllProteins!H285,Genomes!$B:$B,0)))</f>
        <v>Y</v>
      </c>
    </row>
    <row r="286" spans="1:11" x14ac:dyDescent="0.2">
      <c r="A286">
        <f>INDEX(CoreProteinGroups!A:A,MATCH(B286,CoreProteinGroups!B:B,0))</f>
        <v>4</v>
      </c>
      <c r="B286" s="1" t="s">
        <v>451</v>
      </c>
      <c r="C286" t="str">
        <f>VLOOKUP(B286,CoreProteinGroups!$B:$C,2,FALSE)</f>
        <v>RPO132</v>
      </c>
      <c r="D286" t="s">
        <v>539</v>
      </c>
      <c r="E286" s="6" t="str">
        <f t="shared" si="4"/>
        <v>PROT:AAG02772.1</v>
      </c>
      <c r="F286" t="s">
        <v>540</v>
      </c>
      <c r="G286" t="s">
        <v>141</v>
      </c>
      <c r="H286" t="s">
        <v>2651</v>
      </c>
      <c r="I286" t="str">
        <f>INDEX(Genomes!$I:$I,(MATCH(AllProteins!H286,Genomes!$B:$B,0)))</f>
        <v>AF250284-Amsacta_moorei_entomopoxvirus</v>
      </c>
      <c r="J286">
        <f>INDEX(Genomes!$A:$A,(MATCH(AllProteins!H286,Genomes!$B:$B,0)))</f>
        <v>5</v>
      </c>
      <c r="K286" t="str">
        <f>INDEX(Genomes!$J:$J,(MATCH(AllProteins!H286,Genomes!$B:$B,0)))</f>
        <v>Y</v>
      </c>
    </row>
    <row r="287" spans="1:11" x14ac:dyDescent="0.2">
      <c r="A287">
        <f>INDEX(CoreProteinGroups!A:A,MATCH(B287,CoreProteinGroups!B:B,0))</f>
        <v>4</v>
      </c>
      <c r="B287" s="1" t="s">
        <v>451</v>
      </c>
      <c r="C287" t="str">
        <f>VLOOKUP(B287,CoreProteinGroups!$B:$C,2,FALSE)</f>
        <v>RPO132</v>
      </c>
      <c r="D287" t="s">
        <v>541</v>
      </c>
      <c r="E287" s="6" t="str">
        <f t="shared" si="4"/>
        <v>PROT:CCU55697.1</v>
      </c>
      <c r="F287" t="s">
        <v>523</v>
      </c>
      <c r="G287" t="s">
        <v>143</v>
      </c>
      <c r="H287" t="s">
        <v>2656</v>
      </c>
      <c r="I287" t="str">
        <f>INDEX(Genomes!$I:$I,(MATCH(AllProteins!H287,Genomes!$B:$B,0)))</f>
        <v>HF679132-Choristoneura_biennis_entomopoxvirus</v>
      </c>
      <c r="J287">
        <f>INDEX(Genomes!$A:$A,(MATCH(AllProteins!H287,Genomes!$B:$B,0)))</f>
        <v>10</v>
      </c>
      <c r="K287" t="str">
        <f>INDEX(Genomes!$J:$J,(MATCH(AllProteins!H287,Genomes!$B:$B,0)))</f>
        <v>Y</v>
      </c>
    </row>
    <row r="288" spans="1:11" x14ac:dyDescent="0.2">
      <c r="A288">
        <f>INDEX(CoreProteinGroups!A:A,MATCH(B288,CoreProteinGroups!B:B,0))</f>
        <v>4</v>
      </c>
      <c r="B288" s="1" t="s">
        <v>451</v>
      </c>
      <c r="C288" t="str">
        <f>VLOOKUP(B288,CoreProteinGroups!$B:$C,2,FALSE)</f>
        <v>RPO132</v>
      </c>
      <c r="D288" t="s">
        <v>542</v>
      </c>
      <c r="E288" s="6" t="str">
        <f t="shared" si="4"/>
        <v>PROT:CCU55999.1</v>
      </c>
      <c r="F288" t="s">
        <v>523</v>
      </c>
      <c r="G288" t="s">
        <v>145</v>
      </c>
      <c r="H288" t="s">
        <v>2660</v>
      </c>
      <c r="I288" t="str">
        <f>INDEX(Genomes!$I:$I,(MATCH(AllProteins!H288,Genomes!$B:$B,0)))</f>
        <v>HF679133-Choristoneura_rosaceana_entomopoxvirus</v>
      </c>
      <c r="J288">
        <f>INDEX(Genomes!$A:$A,(MATCH(AllProteins!H288,Genomes!$B:$B,0)))</f>
        <v>14</v>
      </c>
      <c r="K288" t="str">
        <f>INDEX(Genomes!$J:$J,(MATCH(AllProteins!H288,Genomes!$B:$B,0)))</f>
        <v>Y</v>
      </c>
    </row>
    <row r="289" spans="1:11" x14ac:dyDescent="0.2">
      <c r="A289">
        <f>INDEX(CoreProteinGroups!A:A,MATCH(B289,CoreProteinGroups!B:B,0))</f>
        <v>4</v>
      </c>
      <c r="B289" s="1" t="s">
        <v>451</v>
      </c>
      <c r="C289" t="str">
        <f>VLOOKUP(B289,CoreProteinGroups!$B:$C,2,FALSE)</f>
        <v>RPO132</v>
      </c>
      <c r="D289" t="s">
        <v>543</v>
      </c>
      <c r="E289" s="6" t="str">
        <f t="shared" si="4"/>
        <v>PROT:CCU56292.1</v>
      </c>
      <c r="F289" t="s">
        <v>523</v>
      </c>
      <c r="G289" t="s">
        <v>147</v>
      </c>
      <c r="H289" t="s">
        <v>2675</v>
      </c>
      <c r="I289" t="str">
        <f>INDEX(Genomes!$I:$I,(MATCH(AllProteins!H289,Genomes!$B:$B,0)))</f>
        <v>HF679134-Mythimna_separata_entomopoxvirus</v>
      </c>
      <c r="J289">
        <f>INDEX(Genomes!$A:$A,(MATCH(AllProteins!H289,Genomes!$B:$B,0)))</f>
        <v>31</v>
      </c>
      <c r="K289" t="str">
        <f>INDEX(Genomes!$J:$J,(MATCH(AllProteins!H289,Genomes!$B:$B,0)))</f>
        <v>Y</v>
      </c>
    </row>
    <row r="290" spans="1:11" x14ac:dyDescent="0.2">
      <c r="A290">
        <f>INDEX(CoreProteinGroups!A:A,MATCH(B290,CoreProteinGroups!B:B,0))</f>
        <v>4</v>
      </c>
      <c r="B290" s="1" t="s">
        <v>451</v>
      </c>
      <c r="C290" t="str">
        <f>VLOOKUP(B290,CoreProteinGroups!$B:$C,2,FALSE)</f>
        <v>RPO132</v>
      </c>
      <c r="D290" t="s">
        <v>544</v>
      </c>
      <c r="E290" s="6" t="str">
        <f t="shared" si="4"/>
        <v>PROT:NP_659688.1</v>
      </c>
      <c r="F290" t="s">
        <v>470</v>
      </c>
      <c r="G290" t="s">
        <v>150</v>
      </c>
      <c r="H290" t="s">
        <v>2620</v>
      </c>
      <c r="I290" t="str">
        <f>INDEX(Genomes!$I:$I,(MATCH(AllProteins!H290,Genomes!$B:$B,0)))</f>
        <v>NC_004002-sheeppox_virus</v>
      </c>
      <c r="J290">
        <f>INDEX(Genomes!$A:$A,(MATCH(AllProteins!H290,Genomes!$B:$B,0)))</f>
        <v>44</v>
      </c>
      <c r="K290" t="str">
        <f>INDEX(Genomes!$J:$J,(MATCH(AllProteins!H290,Genomes!$B:$B,0)))</f>
        <v>Y</v>
      </c>
    </row>
    <row r="291" spans="1:11" x14ac:dyDescent="0.2">
      <c r="A291">
        <f>INDEX(CoreProteinGroups!A:A,MATCH(B291,CoreProteinGroups!B:B,0))</f>
        <v>4</v>
      </c>
      <c r="B291" s="1" t="s">
        <v>451</v>
      </c>
      <c r="C291" t="str">
        <f>VLOOKUP(B291,CoreProteinGroups!$B:$C,2,FALSE)</f>
        <v>RPO132</v>
      </c>
      <c r="D291" t="s">
        <v>545</v>
      </c>
      <c r="E291" s="6" t="str">
        <f t="shared" si="4"/>
        <v>PROT:YP_001293307.1</v>
      </c>
      <c r="F291" t="s">
        <v>546</v>
      </c>
      <c r="G291" t="s">
        <v>153</v>
      </c>
      <c r="H291" t="s">
        <v>2644</v>
      </c>
      <c r="I291" t="str">
        <f>INDEX(Genomes!$I:$I,(MATCH(AllProteins!H291,Genomes!$B:$B,0)))</f>
        <v>NC_004003-goatpox_virus</v>
      </c>
      <c r="J291">
        <f>INDEX(Genomes!$A:$A,(MATCH(AllProteins!H291,Genomes!$B:$B,0)))</f>
        <v>23</v>
      </c>
      <c r="K291" t="str">
        <f>INDEX(Genomes!$J:$J,(MATCH(AllProteins!H291,Genomes!$B:$B,0)))</f>
        <v>Y</v>
      </c>
    </row>
    <row r="292" spans="1:11" x14ac:dyDescent="0.2">
      <c r="A292">
        <f>INDEX(CoreProteinGroups!A:A,MATCH(B292,CoreProteinGroups!B:B,0))</f>
        <v>5</v>
      </c>
      <c r="B292" s="1" t="s">
        <v>547</v>
      </c>
      <c r="C292" t="str">
        <f>VLOOKUP(B292,CoreProteinGroups!$B:$C,2,FALSE)</f>
        <v>IMV-MP</v>
      </c>
      <c r="D292" t="s">
        <v>549</v>
      </c>
      <c r="E292" s="6" t="str">
        <f t="shared" si="4"/>
        <v>PROT:ATI21231.1</v>
      </c>
      <c r="F292" t="s">
        <v>550</v>
      </c>
      <c r="G292" t="s">
        <v>11</v>
      </c>
      <c r="H292" t="s">
        <v>2663</v>
      </c>
      <c r="I292" t="str">
        <f>INDEX(Genomes!$I:$I,(MATCH(AllProteins!H292,Genomes!$B:$B,0)))</f>
        <v>MF467281-Eastern_grey_kangaroopox_virus</v>
      </c>
      <c r="J292">
        <f>INDEX(Genomes!$A:$A,(MATCH(AllProteins!H292,Genomes!$B:$B,0)))</f>
        <v>18</v>
      </c>
      <c r="K292" t="str">
        <f>INDEX(Genomes!$J:$J,(MATCH(AllProteins!H292,Genomes!$B:$B,0)))</f>
        <v>Y</v>
      </c>
    </row>
    <row r="293" spans="1:11" x14ac:dyDescent="0.2">
      <c r="A293">
        <f>INDEX(CoreProteinGroups!A:A,MATCH(B293,CoreProteinGroups!B:B,0))</f>
        <v>5</v>
      </c>
      <c r="B293" s="1" t="s">
        <v>547</v>
      </c>
      <c r="C293" t="str">
        <f>VLOOKUP(B293,CoreProteinGroups!$B:$C,2,FALSE)</f>
        <v>IMV-MP</v>
      </c>
      <c r="D293" t="s">
        <v>551</v>
      </c>
      <c r="E293" s="6" t="str">
        <f t="shared" si="4"/>
        <v>PROT:AWU47163.1</v>
      </c>
      <c r="F293" t="s">
        <v>550</v>
      </c>
      <c r="G293" t="s">
        <v>13</v>
      </c>
      <c r="H293" t="s">
        <v>2688</v>
      </c>
      <c r="I293" t="str">
        <f>INDEX(Genomes!$I:$I,(MATCH(AllProteins!H293,Genomes!$B:$B,0)))</f>
        <v>MH427217-sea_otter_poxvirus</v>
      </c>
      <c r="J293">
        <f>INDEX(Genomes!$A:$A,(MATCH(AllProteins!H293,Genomes!$B:$B,0)))</f>
        <v>47</v>
      </c>
      <c r="K293" t="str">
        <f>INDEX(Genomes!$J:$J,(MATCH(AllProteins!H293,Genomes!$B:$B,0)))</f>
        <v>Y</v>
      </c>
    </row>
    <row r="294" spans="1:11" x14ac:dyDescent="0.2">
      <c r="A294">
        <f>INDEX(CoreProteinGroups!A:A,MATCH(B294,CoreProteinGroups!B:B,0))</f>
        <v>5</v>
      </c>
      <c r="B294" s="1" t="s">
        <v>547</v>
      </c>
      <c r="C294" t="str">
        <f>VLOOKUP(B294,CoreProteinGroups!$B:$C,2,FALSE)</f>
        <v>IMV-MP</v>
      </c>
      <c r="D294" t="s">
        <v>552</v>
      </c>
      <c r="E294" s="6" t="str">
        <f t="shared" si="4"/>
        <v>PROT:APG58336.1</v>
      </c>
      <c r="F294" t="s">
        <v>553</v>
      </c>
      <c r="G294" t="s">
        <v>16</v>
      </c>
      <c r="H294" t="s">
        <v>2653</v>
      </c>
      <c r="I294" t="str">
        <f>INDEX(Genomes!$I:$I,(MATCH(AllProteins!H294,Genomes!$B:$B,0)))</f>
        <v>KY094066-BeAn_58058_virus</v>
      </c>
      <c r="J294">
        <f>INDEX(Genomes!$A:$A,(MATCH(AllProteins!H294,Genomes!$B:$B,0)))</f>
        <v>7</v>
      </c>
      <c r="K294" t="str">
        <f>INDEX(Genomes!$J:$J,(MATCH(AllProteins!H294,Genomes!$B:$B,0)))</f>
        <v>N</v>
      </c>
    </row>
    <row r="295" spans="1:11" x14ac:dyDescent="0.2">
      <c r="A295">
        <f>INDEX(CoreProteinGroups!A:A,MATCH(B295,CoreProteinGroups!B:B,0))</f>
        <v>5</v>
      </c>
      <c r="B295" s="1" t="s">
        <v>547</v>
      </c>
      <c r="C295" t="str">
        <f>VLOOKUP(B295,CoreProteinGroups!$B:$C,2,FALSE)</f>
        <v>IMV-MP</v>
      </c>
      <c r="D295" t="s">
        <v>554</v>
      </c>
      <c r="E295" s="6" t="str">
        <f t="shared" si="4"/>
        <v>PROT:ADT91145.1</v>
      </c>
      <c r="F295" t="s">
        <v>555</v>
      </c>
      <c r="G295" t="s">
        <v>19</v>
      </c>
      <c r="H295" t="s">
        <v>2658</v>
      </c>
      <c r="I295" t="str">
        <f>INDEX(Genomes!$I:$I,(MATCH(AllProteins!H295,Genomes!$B:$B,0)))</f>
        <v>HQ647181-Cotia_virus</v>
      </c>
      <c r="J295">
        <f>INDEX(Genomes!$A:$A,(MATCH(AllProteins!H295,Genomes!$B:$B,0)))</f>
        <v>12</v>
      </c>
      <c r="K295" t="str">
        <f>INDEX(Genomes!$J:$J,(MATCH(AllProteins!H295,Genomes!$B:$B,0)))</f>
        <v>Y</v>
      </c>
    </row>
    <row r="296" spans="1:11" x14ac:dyDescent="0.2">
      <c r="A296">
        <f>INDEX(CoreProteinGroups!A:A,MATCH(B296,CoreProteinGroups!B:B,0))</f>
        <v>5</v>
      </c>
      <c r="B296" s="1" t="s">
        <v>547</v>
      </c>
      <c r="C296" t="str">
        <f>VLOOKUP(B296,CoreProteinGroups!$B:$C,2,FALSE)</f>
        <v>IMV-MP</v>
      </c>
      <c r="D296" t="s">
        <v>556</v>
      </c>
      <c r="E296" s="6" t="str">
        <f t="shared" si="4"/>
        <v>PROT:ANS71207.1</v>
      </c>
      <c r="F296" t="s">
        <v>557</v>
      </c>
      <c r="G296" t="s">
        <v>21</v>
      </c>
      <c r="H296" t="s">
        <v>2682</v>
      </c>
      <c r="I296" t="str">
        <f>INDEX(Genomes!$I:$I,(MATCH(AllProteins!H296,Genomes!$B:$B,0)))</f>
        <v>KU980965-pteropox_virus</v>
      </c>
      <c r="J296">
        <f>INDEX(Genomes!$A:$A,(MATCH(AllProteins!H296,Genomes!$B:$B,0)))</f>
        <v>40</v>
      </c>
      <c r="K296" t="str">
        <f>INDEX(Genomes!$J:$J,(MATCH(AllProteins!H296,Genomes!$B:$B,0)))</f>
        <v>Y</v>
      </c>
    </row>
    <row r="297" spans="1:11" x14ac:dyDescent="0.2">
      <c r="A297">
        <f>INDEX(CoreProteinGroups!A:A,MATCH(B297,CoreProteinGroups!B:B,0))</f>
        <v>5</v>
      </c>
      <c r="B297" s="1" t="s">
        <v>547</v>
      </c>
      <c r="C297" t="str">
        <f>VLOOKUP(B297,CoreProteinGroups!$B:$C,2,FALSE)</f>
        <v>IMV-MP</v>
      </c>
      <c r="D297" t="s">
        <v>558</v>
      </c>
      <c r="E297" s="6" t="str">
        <f t="shared" si="4"/>
        <v>PROT:AKR04251.1</v>
      </c>
      <c r="F297" t="s">
        <v>559</v>
      </c>
      <c r="G297" t="s">
        <v>24</v>
      </c>
      <c r="H297" t="s">
        <v>2687</v>
      </c>
      <c r="I297" t="str">
        <f>INDEX(Genomes!$I:$I,(MATCH(AllProteins!H297,Genomes!$B:$B,0)))</f>
        <v>KT159937-salmon_gill_poxvirus</v>
      </c>
      <c r="J297">
        <f>INDEX(Genomes!$A:$A,(MATCH(AllProteins!H297,Genomes!$B:$B,0)))</f>
        <v>46</v>
      </c>
      <c r="K297" t="str">
        <f>INDEX(Genomes!$J:$J,(MATCH(AllProteins!H297,Genomes!$B:$B,0)))</f>
        <v>Y</v>
      </c>
    </row>
    <row r="298" spans="1:11" x14ac:dyDescent="0.2">
      <c r="A298">
        <f>INDEX(CoreProteinGroups!A:A,MATCH(B298,CoreProteinGroups!B:B,0))</f>
        <v>5</v>
      </c>
      <c r="B298" s="1" t="s">
        <v>547</v>
      </c>
      <c r="C298" t="str">
        <f>VLOOKUP(B298,CoreProteinGroups!$B:$C,2,FALSE)</f>
        <v>IMV-MP</v>
      </c>
      <c r="D298" t="s">
        <v>560</v>
      </c>
      <c r="E298" s="6" t="str">
        <f t="shared" si="4"/>
        <v>PROT:CCD83300.1</v>
      </c>
      <c r="F298" t="s">
        <v>561</v>
      </c>
      <c r="G298" t="s">
        <v>27</v>
      </c>
      <c r="H298" t="s">
        <v>2689</v>
      </c>
      <c r="I298" t="str">
        <f>INDEX(Genomes!$I:$I,(MATCH(AllProteins!H298,Genomes!$B:$B,0)))</f>
        <v>HE601899-squirrelpox_virus</v>
      </c>
      <c r="J298">
        <f>INDEX(Genomes!$A:$A,(MATCH(AllProteins!H298,Genomes!$B:$B,0)))</f>
        <v>48</v>
      </c>
      <c r="K298" t="str">
        <f>INDEX(Genomes!$J:$J,(MATCH(AllProteins!H298,Genomes!$B:$B,0)))</f>
        <v>Y</v>
      </c>
    </row>
    <row r="299" spans="1:11" x14ac:dyDescent="0.2">
      <c r="A299">
        <f>INDEX(CoreProteinGroups!A:A,MATCH(B299,CoreProteinGroups!B:B,0))</f>
        <v>5</v>
      </c>
      <c r="B299" s="1" t="s">
        <v>547</v>
      </c>
      <c r="C299" t="str">
        <f>VLOOKUP(B299,CoreProteinGroups!$B:$C,2,FALSE)</f>
        <v>IMV-MP</v>
      </c>
      <c r="D299" t="s">
        <v>562</v>
      </c>
      <c r="E299" s="6" t="str">
        <f t="shared" si="4"/>
        <v>PROT:ASK51326.1</v>
      </c>
      <c r="F299" t="s">
        <v>563</v>
      </c>
      <c r="G299" t="s">
        <v>30</v>
      </c>
      <c r="H299" t="s">
        <v>2664</v>
      </c>
      <c r="I299" t="str">
        <f>INDEX(Genomes!$I:$I,(MATCH(AllProteins!H299,Genomes!$B:$B,0)))</f>
        <v>KY747497-eptesipox_virus</v>
      </c>
      <c r="J299">
        <f>INDEX(Genomes!$A:$A,(MATCH(AllProteins!H299,Genomes!$B:$B,0)))</f>
        <v>19</v>
      </c>
      <c r="K299" t="str">
        <f>INDEX(Genomes!$J:$J,(MATCH(AllProteins!H299,Genomes!$B:$B,0)))</f>
        <v>Y</v>
      </c>
    </row>
    <row r="300" spans="1:11" x14ac:dyDescent="0.2">
      <c r="A300">
        <f>INDEX(CoreProteinGroups!A:A,MATCH(B300,CoreProteinGroups!B:B,0))</f>
        <v>5</v>
      </c>
      <c r="B300" s="1" t="s">
        <v>547</v>
      </c>
      <c r="C300" t="str">
        <f>VLOOKUP(B300,CoreProteinGroups!$B:$C,2,FALSE)</f>
        <v>IMV-MP</v>
      </c>
      <c r="D300" t="s">
        <v>564</v>
      </c>
      <c r="E300" s="6" t="str">
        <f t="shared" si="4"/>
        <v>PROT:AUD40300.1</v>
      </c>
      <c r="F300" t="s">
        <v>565</v>
      </c>
      <c r="G300" t="s">
        <v>32</v>
      </c>
      <c r="H300" t="s">
        <v>2665</v>
      </c>
      <c r="I300" t="str">
        <f>INDEX(Genomes!$I:$I,(MATCH(AllProteins!H300,Genomes!$B:$B,0)))</f>
        <v>MF678796-flamingopox_virus</v>
      </c>
      <c r="J300">
        <f>INDEX(Genomes!$A:$A,(MATCH(AllProteins!H300,Genomes!$B:$B,0)))</f>
        <v>20</v>
      </c>
      <c r="K300" t="str">
        <f>INDEX(Genomes!$J:$J,(MATCH(AllProteins!H300,Genomes!$B:$B,0)))</f>
        <v>Y</v>
      </c>
    </row>
    <row r="301" spans="1:11" x14ac:dyDescent="0.2">
      <c r="A301">
        <f>INDEX(CoreProteinGroups!A:A,MATCH(B301,CoreProteinGroups!B:B,0))</f>
        <v>5</v>
      </c>
      <c r="B301" s="1" t="s">
        <v>547</v>
      </c>
      <c r="C301" t="str">
        <f>VLOOKUP(B301,CoreProteinGroups!$B:$C,2,FALSE)</f>
        <v>IMV-MP</v>
      </c>
      <c r="D301" t="s">
        <v>566</v>
      </c>
      <c r="E301" s="6" t="str">
        <f t="shared" si="4"/>
        <v>PROT:AID46931.1</v>
      </c>
      <c r="F301" t="s">
        <v>567</v>
      </c>
      <c r="G301" t="s">
        <v>34</v>
      </c>
      <c r="H301" t="s">
        <v>2681</v>
      </c>
      <c r="I301" t="str">
        <f>INDEX(Genomes!$I:$I,(MATCH(AllProteins!H301,Genomes!$B:$B,0)))</f>
        <v>KJ859677-penguinpox_virus</v>
      </c>
      <c r="J301">
        <f>INDEX(Genomes!$A:$A,(MATCH(AllProteins!H301,Genomes!$B:$B,0)))</f>
        <v>39</v>
      </c>
      <c r="K301" t="str">
        <f>INDEX(Genomes!$J:$J,(MATCH(AllProteins!H301,Genomes!$B:$B,0)))</f>
        <v>Y</v>
      </c>
    </row>
    <row r="302" spans="1:11" x14ac:dyDescent="0.2">
      <c r="A302">
        <f>INDEX(CoreProteinGroups!A:A,MATCH(B302,CoreProteinGroups!B:B,0))</f>
        <v>5</v>
      </c>
      <c r="B302" s="1" t="s">
        <v>547</v>
      </c>
      <c r="C302" t="str">
        <f>VLOOKUP(B302,CoreProteinGroups!$B:$C,2,FALSE)</f>
        <v>IMV-MP</v>
      </c>
      <c r="D302" t="s">
        <v>568</v>
      </c>
      <c r="E302" s="6" t="str">
        <f t="shared" si="4"/>
        <v>PROT:AID46699.1</v>
      </c>
      <c r="F302" t="s">
        <v>569</v>
      </c>
      <c r="G302" t="s">
        <v>36</v>
      </c>
      <c r="H302" t="s">
        <v>2680</v>
      </c>
      <c r="I302" t="str">
        <f>INDEX(Genomes!$I:$I,(MATCH(AllProteins!H302,Genomes!$B:$B,0)))</f>
        <v>KJ801920-pigeonpox_virus</v>
      </c>
      <c r="J302">
        <f>INDEX(Genomes!$A:$A,(MATCH(AllProteins!H302,Genomes!$B:$B,0)))</f>
        <v>38</v>
      </c>
      <c r="K302" t="str">
        <f>INDEX(Genomes!$J:$J,(MATCH(AllProteins!H302,Genomes!$B:$B,0)))</f>
        <v>Y</v>
      </c>
    </row>
    <row r="303" spans="1:11" x14ac:dyDescent="0.2">
      <c r="A303">
        <f>INDEX(CoreProteinGroups!A:A,MATCH(B303,CoreProteinGroups!B:B,0))</f>
        <v>5</v>
      </c>
      <c r="B303" s="1" t="s">
        <v>547</v>
      </c>
      <c r="C303" t="str">
        <f>VLOOKUP(B303,CoreProteinGroups!$B:$C,2,FALSE)</f>
        <v>IMV-MP</v>
      </c>
      <c r="D303" t="s">
        <v>570</v>
      </c>
      <c r="E303" s="6" t="str">
        <f t="shared" si="4"/>
        <v>PROT:ALA62516.1</v>
      </c>
      <c r="F303" t="s">
        <v>271</v>
      </c>
      <c r="G303" t="s">
        <v>39</v>
      </c>
      <c r="H303" t="s">
        <v>2692</v>
      </c>
      <c r="I303" t="str">
        <f>INDEX(Genomes!$I:$I,(MATCH(AllProteins!H303,Genomes!$B:$B,0)))</f>
        <v>KP728110-turkeypox_virus</v>
      </c>
      <c r="J303">
        <f>INDEX(Genomes!$A:$A,(MATCH(AllProteins!H303,Genomes!$B:$B,0)))</f>
        <v>51</v>
      </c>
      <c r="K303" t="str">
        <f>INDEX(Genomes!$J:$J,(MATCH(AllProteins!H303,Genomes!$B:$B,0)))</f>
        <v>Y</v>
      </c>
    </row>
    <row r="304" spans="1:11" x14ac:dyDescent="0.2">
      <c r="A304">
        <f>INDEX(CoreProteinGroups!A:A,MATCH(B304,CoreProteinGroups!B:B,0))</f>
        <v>5</v>
      </c>
      <c r="B304" s="1" t="s">
        <v>547</v>
      </c>
      <c r="C304" t="str">
        <f>VLOOKUP(B304,CoreProteinGroups!$B:$C,2,FALSE)</f>
        <v>IMV-MP</v>
      </c>
      <c r="D304" t="s">
        <v>571</v>
      </c>
      <c r="E304" s="6" t="str">
        <f t="shared" si="4"/>
        <v>PROT:AAR83612.1</v>
      </c>
      <c r="F304" t="s">
        <v>572</v>
      </c>
      <c r="G304" t="s">
        <v>42</v>
      </c>
      <c r="H304" t="s">
        <v>2657</v>
      </c>
      <c r="I304" t="str">
        <f>INDEX(Genomes!$I:$I,(MATCH(AllProteins!H304,Genomes!$B:$B,0)))</f>
        <v>AY318871-canarypox_virus</v>
      </c>
      <c r="J304">
        <f>INDEX(Genomes!$A:$A,(MATCH(AllProteins!H304,Genomes!$B:$B,0)))</f>
        <v>11</v>
      </c>
      <c r="K304" t="str">
        <f>INDEX(Genomes!$J:$J,(MATCH(AllProteins!H304,Genomes!$B:$B,0)))</f>
        <v>Y</v>
      </c>
    </row>
    <row r="305" spans="1:11" x14ac:dyDescent="0.2">
      <c r="A305">
        <f>INDEX(CoreProteinGroups!A:A,MATCH(B305,CoreProteinGroups!B:B,0))</f>
        <v>5</v>
      </c>
      <c r="B305" s="1" t="s">
        <v>547</v>
      </c>
      <c r="C305" t="str">
        <f>VLOOKUP(B305,CoreProteinGroups!$B:$C,2,FALSE)</f>
        <v>IMV-MP</v>
      </c>
      <c r="D305" t="s">
        <v>573</v>
      </c>
      <c r="E305" s="6" t="str">
        <f t="shared" si="4"/>
        <v>PROT:AAF44536.1</v>
      </c>
      <c r="F305" t="s">
        <v>574</v>
      </c>
      <c r="G305" t="s">
        <v>45</v>
      </c>
      <c r="H305" t="s">
        <v>2666</v>
      </c>
      <c r="I305" t="str">
        <f>INDEX(Genomes!$I:$I,(MATCH(AllProteins!H305,Genomes!$B:$B,0)))</f>
        <v>AF198100-fowlpox_virus</v>
      </c>
      <c r="J305">
        <f>INDEX(Genomes!$A:$A,(MATCH(AllProteins!H305,Genomes!$B:$B,0)))</f>
        <v>21</v>
      </c>
      <c r="K305" t="str">
        <f>INDEX(Genomes!$J:$J,(MATCH(AllProteins!H305,Genomes!$B:$B,0)))</f>
        <v>Y</v>
      </c>
    </row>
    <row r="306" spans="1:11" x14ac:dyDescent="0.2">
      <c r="A306">
        <f>INDEX(CoreProteinGroups!A:A,MATCH(B306,CoreProteinGroups!B:B,0))</f>
        <v>5</v>
      </c>
      <c r="B306" s="1" t="s">
        <v>547</v>
      </c>
      <c r="C306" t="str">
        <f>VLOOKUP(B306,CoreProteinGroups!$B:$C,2,FALSE)</f>
        <v>IMV-MP</v>
      </c>
      <c r="D306" t="s">
        <v>575</v>
      </c>
      <c r="E306" s="6" t="str">
        <f t="shared" si="4"/>
        <v>PROT:AAK85079.1</v>
      </c>
      <c r="F306" t="s">
        <v>576</v>
      </c>
      <c r="G306" t="s">
        <v>48</v>
      </c>
      <c r="H306" t="s">
        <v>2669</v>
      </c>
      <c r="I306" t="str">
        <f>INDEX(Genomes!$I:$I,(MATCH(AllProteins!H306,Genomes!$B:$B,0)))</f>
        <v>AF325528-lumpy_skin_disease_virus</v>
      </c>
      <c r="J306">
        <f>INDEX(Genomes!$A:$A,(MATCH(AllProteins!H306,Genomes!$B:$B,0)))</f>
        <v>25</v>
      </c>
      <c r="K306" t="str">
        <f>INDEX(Genomes!$J:$J,(MATCH(AllProteins!H306,Genomes!$B:$B,0)))</f>
        <v>Y</v>
      </c>
    </row>
    <row r="307" spans="1:11" x14ac:dyDescent="0.2">
      <c r="A307">
        <f>INDEX(CoreProteinGroups!A:A,MATCH(B307,CoreProteinGroups!B:B,0))</f>
        <v>5</v>
      </c>
      <c r="B307" s="1" t="s">
        <v>547</v>
      </c>
      <c r="C307" t="str">
        <f>VLOOKUP(B307,CoreProteinGroups!$B:$C,2,FALSE)</f>
        <v>IMV-MP</v>
      </c>
      <c r="D307" t="s">
        <v>577</v>
      </c>
      <c r="E307" s="6" t="str">
        <f t="shared" si="4"/>
        <v>PROT:AST09339.1</v>
      </c>
      <c r="F307" t="s">
        <v>578</v>
      </c>
      <c r="G307" t="s">
        <v>50</v>
      </c>
      <c r="H307" t="s">
        <v>2671</v>
      </c>
      <c r="I307" t="str">
        <f>INDEX(Genomes!$I:$I,(MATCH(AllProteins!H307,Genomes!$B:$B,0)))</f>
        <v>MF001304-Murmansk_poxvirus</v>
      </c>
      <c r="J307">
        <f>INDEX(Genomes!$A:$A,(MATCH(AllProteins!H307,Genomes!$B:$B,0)))</f>
        <v>27</v>
      </c>
      <c r="K307" t="str">
        <f>INDEX(Genomes!$J:$J,(MATCH(AllProteins!H307,Genomes!$B:$B,0)))</f>
        <v>Y</v>
      </c>
    </row>
    <row r="308" spans="1:11" x14ac:dyDescent="0.2">
      <c r="A308">
        <f>INDEX(CoreProteinGroups!A:A,MATCH(B308,CoreProteinGroups!B:B,0))</f>
        <v>5</v>
      </c>
      <c r="B308" s="1" t="s">
        <v>547</v>
      </c>
      <c r="C308" t="str">
        <f>VLOOKUP(B308,CoreProteinGroups!$B:$C,2,FALSE)</f>
        <v>IMV-MP</v>
      </c>
      <c r="D308" t="s">
        <v>579</v>
      </c>
      <c r="E308" s="6" t="str">
        <f t="shared" si="4"/>
        <v>PROT:AEN03721.1</v>
      </c>
      <c r="F308" t="s">
        <v>578</v>
      </c>
      <c r="G308" t="s">
        <v>52</v>
      </c>
      <c r="H308" t="s">
        <v>2698</v>
      </c>
      <c r="I308" t="str">
        <f>INDEX(Genomes!$I:$I,(MATCH(AllProteins!H308,Genomes!$B:$B,0)))</f>
        <v>HQ849551-yokapox_virus</v>
      </c>
      <c r="J308">
        <f>INDEX(Genomes!$A:$A,(MATCH(AllProteins!H308,Genomes!$B:$B,0)))</f>
        <v>57</v>
      </c>
      <c r="K308" t="str">
        <f>INDEX(Genomes!$J:$J,(MATCH(AllProteins!H308,Genomes!$B:$B,0)))</f>
        <v>Y</v>
      </c>
    </row>
    <row r="309" spans="1:11" x14ac:dyDescent="0.2">
      <c r="A309">
        <f>INDEX(CoreProteinGroups!A:A,MATCH(B309,CoreProteinGroups!B:B,0))</f>
        <v>5</v>
      </c>
      <c r="B309" s="1" t="s">
        <v>547</v>
      </c>
      <c r="C309" t="str">
        <f>VLOOKUP(B309,CoreProteinGroups!$B:$C,2,FALSE)</f>
        <v>IMV-MP</v>
      </c>
      <c r="D309" t="s">
        <v>580</v>
      </c>
      <c r="E309" s="6" t="str">
        <f t="shared" si="4"/>
        <v>PROT:ABI99282.1</v>
      </c>
      <c r="F309" t="s">
        <v>581</v>
      </c>
      <c r="G309" t="s">
        <v>54</v>
      </c>
      <c r="H309" t="s">
        <v>2661</v>
      </c>
      <c r="I309" t="str">
        <f>INDEX(Genomes!$I:$I,(MATCH(AllProteins!H309,Genomes!$B:$B,0)))</f>
        <v>AY689436-mule_deerpox_virus</v>
      </c>
      <c r="J309">
        <f>INDEX(Genomes!$A:$A,(MATCH(AllProteins!H309,Genomes!$B:$B,0)))</f>
        <v>15</v>
      </c>
      <c r="K309" t="str">
        <f>INDEX(Genomes!$J:$J,(MATCH(AllProteins!H309,Genomes!$B:$B,0)))</f>
        <v>Y</v>
      </c>
    </row>
    <row r="310" spans="1:11" x14ac:dyDescent="0.2">
      <c r="A310">
        <f>INDEX(CoreProteinGroups!A:A,MATCH(B310,CoreProteinGroups!B:B,0))</f>
        <v>5</v>
      </c>
      <c r="B310" s="1" t="s">
        <v>547</v>
      </c>
      <c r="C310" t="str">
        <f>VLOOKUP(B310,CoreProteinGroups!$B:$C,2,FALSE)</f>
        <v>IMV-MP</v>
      </c>
      <c r="D310" t="s">
        <v>582</v>
      </c>
      <c r="E310" s="6" t="str">
        <f t="shared" si="4"/>
        <v>PROT:ABJ09040.1</v>
      </c>
      <c r="F310" t="s">
        <v>583</v>
      </c>
      <c r="G310" t="s">
        <v>56</v>
      </c>
      <c r="H310" t="s">
        <v>2677</v>
      </c>
      <c r="I310" t="str">
        <f>INDEX(Genomes!$I:$I,(MATCH(AllProteins!H310,Genomes!$B:$B,0)))</f>
        <v>DQ356948-Nile_crocodilepox_virus</v>
      </c>
      <c r="J310">
        <f>INDEX(Genomes!$A:$A,(MATCH(AllProteins!H310,Genomes!$B:$B,0)))</f>
        <v>34</v>
      </c>
      <c r="K310" t="str">
        <f>INDEX(Genomes!$J:$J,(MATCH(AllProteins!H310,Genomes!$B:$B,0)))</f>
        <v>Y</v>
      </c>
    </row>
    <row r="311" spans="1:11" x14ac:dyDescent="0.2">
      <c r="A311">
        <f>INDEX(CoreProteinGroups!A:A,MATCH(B311,CoreProteinGroups!B:B,0))</f>
        <v>5</v>
      </c>
      <c r="B311" s="1" t="s">
        <v>547</v>
      </c>
      <c r="C311" t="str">
        <f>VLOOKUP(B311,CoreProteinGroups!$B:$C,2,FALSE)</f>
        <v>IMV-MP</v>
      </c>
      <c r="D311" t="s">
        <v>584</v>
      </c>
      <c r="E311" s="6" t="str">
        <f t="shared" si="4"/>
        <v>PROT:AAF15004.1</v>
      </c>
      <c r="F311" t="s">
        <v>585</v>
      </c>
      <c r="G311" t="s">
        <v>2584</v>
      </c>
      <c r="H311" t="s">
        <v>2676</v>
      </c>
      <c r="I311" t="str">
        <f>INDEX(Genomes!$I:$I,(MATCH(AllProteins!H311,Genomes!$B:$B,0)))</f>
        <v>AF170726-myxoma_virus</v>
      </c>
      <c r="J311">
        <f>INDEX(Genomes!$A:$A,(MATCH(AllProteins!H311,Genomes!$B:$B,0)))</f>
        <v>32</v>
      </c>
      <c r="K311" t="str">
        <f>INDEX(Genomes!$J:$J,(MATCH(AllProteins!H311,Genomes!$B:$B,0)))</f>
        <v>Y</v>
      </c>
    </row>
    <row r="312" spans="1:11" x14ac:dyDescent="0.2">
      <c r="A312">
        <f>INDEX(CoreProteinGroups!A:A,MATCH(B312,CoreProteinGroups!B:B,0))</f>
        <v>5</v>
      </c>
      <c r="B312" s="1" t="s">
        <v>547</v>
      </c>
      <c r="C312" t="str">
        <f>VLOOKUP(B312,CoreProteinGroups!$B:$C,2,FALSE)</f>
        <v>IMV-MP</v>
      </c>
      <c r="D312" t="s">
        <v>586</v>
      </c>
      <c r="E312" s="6" t="str">
        <f t="shared" si="4"/>
        <v>PROT:AFU77380.1</v>
      </c>
      <c r="F312" t="s">
        <v>585</v>
      </c>
      <c r="G312" t="s">
        <v>2553</v>
      </c>
      <c r="H312" t="s">
        <v>2646</v>
      </c>
      <c r="I312" t="str">
        <f>INDEX(Genomes!$I:$I,(MATCH(AllProteins!H312,Genomes!$B:$B,0)))</f>
        <v>JX565564-myxoma_virus_isolate_BRK_897</v>
      </c>
      <c r="J312">
        <f>INDEX(Genomes!$A:$A,(MATCH(AllProteins!H312,Genomes!$B:$B,0)))</f>
        <v>33</v>
      </c>
      <c r="K312" t="str">
        <f>INDEX(Genomes!$J:$J,(MATCH(AllProteins!H312,Genomes!$B:$B,0)))</f>
        <v>N</v>
      </c>
    </row>
    <row r="313" spans="1:11" x14ac:dyDescent="0.2">
      <c r="A313">
        <f>INDEX(CoreProteinGroups!A:A,MATCH(B313,CoreProteinGroups!B:B,0))</f>
        <v>5</v>
      </c>
      <c r="B313" s="1" t="s">
        <v>547</v>
      </c>
      <c r="C313" t="str">
        <f>VLOOKUP(B313,CoreProteinGroups!$B:$C,2,FALSE)</f>
        <v>IMV-MP</v>
      </c>
      <c r="D313" t="s">
        <v>587</v>
      </c>
      <c r="E313" s="6" t="str">
        <f t="shared" si="4"/>
        <v>PROT:AAF17999.1</v>
      </c>
      <c r="F313" t="s">
        <v>588</v>
      </c>
      <c r="G313" t="s">
        <v>62</v>
      </c>
      <c r="H313" t="s">
        <v>2685</v>
      </c>
      <c r="I313" t="str">
        <f>INDEX(Genomes!$I:$I,(MATCH(AllProteins!H313,Genomes!$B:$B,0)))</f>
        <v>AF170722-rabbit_fibroma_virus</v>
      </c>
      <c r="J313">
        <f>INDEX(Genomes!$A:$A,(MATCH(AllProteins!H313,Genomes!$B:$B,0)))</f>
        <v>43</v>
      </c>
      <c r="K313" t="str">
        <f>INDEX(Genomes!$J:$J,(MATCH(AllProteins!H313,Genomes!$B:$B,0)))</f>
        <v>Y</v>
      </c>
    </row>
    <row r="314" spans="1:11" x14ac:dyDescent="0.2">
      <c r="A314">
        <f>INDEX(CoreProteinGroups!A:A,MATCH(B314,CoreProteinGroups!B:B,0))</f>
        <v>5</v>
      </c>
      <c r="B314" s="1" t="s">
        <v>547</v>
      </c>
      <c r="C314" t="str">
        <f>VLOOKUP(B314,CoreProteinGroups!$B:$C,2,FALSE)</f>
        <v>IMV-MP</v>
      </c>
      <c r="D314" t="s">
        <v>589</v>
      </c>
      <c r="E314" s="6" t="str">
        <f t="shared" si="4"/>
        <v>PROT:AAC55262.1</v>
      </c>
      <c r="F314" t="s">
        <v>590</v>
      </c>
      <c r="G314" t="s">
        <v>65</v>
      </c>
      <c r="H314" t="s">
        <v>2670</v>
      </c>
      <c r="I314" t="str">
        <f>INDEX(Genomes!$I:$I,(MATCH(AllProteins!H314,Genomes!$B:$B,0)))</f>
        <v>U60315-molluscum_contagiosum_virus</v>
      </c>
      <c r="J314">
        <f>INDEX(Genomes!$A:$A,(MATCH(AllProteins!H314,Genomes!$B:$B,0)))</f>
        <v>26</v>
      </c>
      <c r="K314" t="str">
        <f>INDEX(Genomes!$J:$J,(MATCH(AllProteins!H314,Genomes!$B:$B,0)))</f>
        <v>Y</v>
      </c>
    </row>
    <row r="315" spans="1:11" x14ac:dyDescent="0.2">
      <c r="A315">
        <f>INDEX(CoreProteinGroups!A:A,MATCH(B315,CoreProteinGroups!B:B,0))</f>
        <v>5</v>
      </c>
      <c r="B315" s="1" t="s">
        <v>547</v>
      </c>
      <c r="C315" t="str">
        <f>VLOOKUP(B315,CoreProteinGroups!$B:$C,2,FALSE)</f>
        <v>IMV-MP</v>
      </c>
      <c r="D315" t="s">
        <v>591</v>
      </c>
      <c r="E315" s="6" t="str">
        <f t="shared" si="4"/>
        <v>PROT:AYN64714.1</v>
      </c>
      <c r="F315" t="s">
        <v>592</v>
      </c>
      <c r="G315" t="s">
        <v>68</v>
      </c>
      <c r="H315" t="s">
        <v>2647</v>
      </c>
      <c r="I315" t="str">
        <f>INDEX(Genomes!$I:$I,(MATCH(AllProteins!H315,Genomes!$B:$B,0)))</f>
        <v>MH816996-orthopoxvirus_abatino</v>
      </c>
      <c r="J315">
        <f>INDEX(Genomes!$A:$A,(MATCH(AllProteins!H315,Genomes!$B:$B,0)))</f>
        <v>1</v>
      </c>
      <c r="K315" t="str">
        <f>INDEX(Genomes!$J:$J,(MATCH(AllProteins!H315,Genomes!$B:$B,0)))</f>
        <v>Y</v>
      </c>
    </row>
    <row r="316" spans="1:11" x14ac:dyDescent="0.2">
      <c r="A316">
        <f>INDEX(CoreProteinGroups!A:A,MATCH(B316,CoreProteinGroups!B:B,0))</f>
        <v>5</v>
      </c>
      <c r="B316" s="1" t="s">
        <v>547</v>
      </c>
      <c r="C316" t="str">
        <f>VLOOKUP(B316,CoreProteinGroups!$B:$C,2,FALSE)</f>
        <v>IMV-MP</v>
      </c>
      <c r="D316" t="s">
        <v>593</v>
      </c>
      <c r="E316" s="6" t="str">
        <f t="shared" si="4"/>
        <v>PROT:AXN74944.1</v>
      </c>
      <c r="F316" t="s">
        <v>583</v>
      </c>
      <c r="G316" t="s">
        <v>70</v>
      </c>
      <c r="H316" t="s">
        <v>2650</v>
      </c>
      <c r="I316" t="str">
        <f>INDEX(Genomes!$I:$I,(MATCH(AllProteins!H316,Genomes!$B:$B,0)))</f>
        <v>MH607141-Akhmeta_virus</v>
      </c>
      <c r="J316">
        <f>INDEX(Genomes!$A:$A,(MATCH(AllProteins!H316,Genomes!$B:$B,0)))</f>
        <v>4</v>
      </c>
      <c r="K316" t="str">
        <f>INDEX(Genomes!$J:$J,(MATCH(AllProteins!H316,Genomes!$B:$B,0)))</f>
        <v>Y</v>
      </c>
    </row>
    <row r="317" spans="1:11" x14ac:dyDescent="0.2">
      <c r="A317">
        <f>INDEX(CoreProteinGroups!A:A,MATCH(B317,CoreProteinGroups!B:B,0))</f>
        <v>5</v>
      </c>
      <c r="B317" s="1" t="s">
        <v>547</v>
      </c>
      <c r="C317" t="str">
        <f>VLOOKUP(B317,CoreProteinGroups!$B:$C,2,FALSE)</f>
        <v>IMV-MP</v>
      </c>
      <c r="D317" t="s">
        <v>594</v>
      </c>
      <c r="E317" s="6" t="str">
        <f t="shared" si="4"/>
        <v>PROT:ABH08258.1</v>
      </c>
      <c r="F317" t="s">
        <v>595</v>
      </c>
      <c r="G317" t="s">
        <v>73</v>
      </c>
      <c r="H317" t="s">
        <v>2668</v>
      </c>
      <c r="I317" t="str">
        <f>INDEX(Genomes!$I:$I,(MATCH(AllProteins!H317,Genomes!$B:$B,0)))</f>
        <v>DQ792504-horsepox_virus</v>
      </c>
      <c r="J317">
        <f>INDEX(Genomes!$A:$A,(MATCH(AllProteins!H317,Genomes!$B:$B,0)))</f>
        <v>24</v>
      </c>
      <c r="K317" t="str">
        <f>INDEX(Genomes!$J:$J,(MATCH(AllProteins!H317,Genomes!$B:$B,0)))</f>
        <v>Y</v>
      </c>
    </row>
    <row r="318" spans="1:11" x14ac:dyDescent="0.2">
      <c r="A318">
        <f>INDEX(CoreProteinGroups!A:A,MATCH(B318,CoreProteinGroups!B:B,0))</f>
        <v>5</v>
      </c>
      <c r="B318" s="1" t="s">
        <v>547</v>
      </c>
      <c r="C318" t="str">
        <f>VLOOKUP(B318,CoreProteinGroups!$B:$C,2,FALSE)</f>
        <v>IMV-MP</v>
      </c>
      <c r="D318" t="s">
        <v>596</v>
      </c>
      <c r="E318" s="6" t="str">
        <f t="shared" si="4"/>
        <v>PROT:AAG37639.1</v>
      </c>
      <c r="F318" t="s">
        <v>597</v>
      </c>
      <c r="G318" t="s">
        <v>76</v>
      </c>
      <c r="H318" t="s">
        <v>2655</v>
      </c>
      <c r="I318" t="str">
        <f>INDEX(Genomes!$I:$I,(MATCH(AllProteins!H318,Genomes!$B:$B,0)))</f>
        <v>AY009089-camelpox_virus_CMS</v>
      </c>
      <c r="J318">
        <f>INDEX(Genomes!$A:$A,(MATCH(AllProteins!H318,Genomes!$B:$B,0)))</f>
        <v>9</v>
      </c>
      <c r="K318" t="str">
        <f>INDEX(Genomes!$J:$J,(MATCH(AllProteins!H318,Genomes!$B:$B,0)))</f>
        <v>N</v>
      </c>
    </row>
    <row r="319" spans="1:11" x14ac:dyDescent="0.2">
      <c r="A319">
        <f>INDEX(CoreProteinGroups!A:A,MATCH(B319,CoreProteinGroups!B:B,0))</f>
        <v>5</v>
      </c>
      <c r="B319" s="1" t="s">
        <v>547</v>
      </c>
      <c r="C319" t="str">
        <f>VLOOKUP(B319,CoreProteinGroups!$B:$C,2,FALSE)</f>
        <v>IMV-MP</v>
      </c>
      <c r="D319" t="s">
        <v>598</v>
      </c>
      <c r="E319" s="6" t="str">
        <f t="shared" si="4"/>
        <v>PROT:AAL73854.1</v>
      </c>
      <c r="F319" t="s">
        <v>271</v>
      </c>
      <c r="G319" t="s">
        <v>79</v>
      </c>
      <c r="H319" t="s">
        <v>2654</v>
      </c>
      <c r="I319" t="str">
        <f>INDEX(Genomes!$I:$I,(MATCH(AllProteins!H319,Genomes!$B:$B,0)))</f>
        <v>AF438165-camelpox_virus</v>
      </c>
      <c r="J319">
        <f>INDEX(Genomes!$A:$A,(MATCH(AllProteins!H319,Genomes!$B:$B,0)))</f>
        <v>8</v>
      </c>
      <c r="K319" t="str">
        <f>INDEX(Genomes!$J:$J,(MATCH(AllProteins!H319,Genomes!$B:$B,0)))</f>
        <v>Y</v>
      </c>
    </row>
    <row r="320" spans="1:11" x14ac:dyDescent="0.2">
      <c r="A320">
        <f>INDEX(CoreProteinGroups!A:A,MATCH(B320,CoreProteinGroups!B:B,0))</f>
        <v>5</v>
      </c>
      <c r="B320" s="1" t="s">
        <v>547</v>
      </c>
      <c r="C320" t="str">
        <f>VLOOKUP(B320,CoreProteinGroups!$B:$C,2,FALSE)</f>
        <v>IMV-MP</v>
      </c>
      <c r="D320" t="s">
        <v>599</v>
      </c>
      <c r="E320" s="6" t="str">
        <f t="shared" si="4"/>
        <v>PROT:AAM13605.1</v>
      </c>
      <c r="F320" t="s">
        <v>600</v>
      </c>
      <c r="G320" t="s">
        <v>82</v>
      </c>
      <c r="H320" t="s">
        <v>2659</v>
      </c>
      <c r="I320" t="str">
        <f>INDEX(Genomes!$I:$I,(MATCH(AllProteins!H320,Genomes!$B:$B,0)))</f>
        <v>AF482758-cowpox_virus</v>
      </c>
      <c r="J320">
        <f>INDEX(Genomes!$A:$A,(MATCH(AllProteins!H320,Genomes!$B:$B,0)))</f>
        <v>13</v>
      </c>
      <c r="K320" t="str">
        <f>INDEX(Genomes!$J:$J,(MATCH(AllProteins!H320,Genomes!$B:$B,0)))</f>
        <v>Y</v>
      </c>
    </row>
    <row r="321" spans="1:11" x14ac:dyDescent="0.2">
      <c r="A321">
        <f>INDEX(CoreProteinGroups!A:A,MATCH(B321,CoreProteinGroups!B:B,0))</f>
        <v>5</v>
      </c>
      <c r="B321" s="1" t="s">
        <v>547</v>
      </c>
      <c r="C321" t="str">
        <f>VLOOKUP(B321,CoreProteinGroups!$B:$C,2,FALSE)</f>
        <v>IMV-MP</v>
      </c>
      <c r="D321" t="s">
        <v>601</v>
      </c>
      <c r="E321" s="6" t="str">
        <f t="shared" si="4"/>
        <v>PROT:AAM92435.1</v>
      </c>
      <c r="F321" t="s">
        <v>602</v>
      </c>
      <c r="G321" t="s">
        <v>85</v>
      </c>
      <c r="H321" t="s">
        <v>2662</v>
      </c>
      <c r="I321" t="str">
        <f>INDEX(Genomes!$I:$I,(MATCH(AllProteins!H321,Genomes!$B:$B,0)))</f>
        <v>AF012825-ectromelia_virus</v>
      </c>
      <c r="J321">
        <f>INDEX(Genomes!$A:$A,(MATCH(AllProteins!H321,Genomes!$B:$B,0)))</f>
        <v>16</v>
      </c>
      <c r="K321" t="str">
        <f>INDEX(Genomes!$J:$J,(MATCH(AllProteins!H321,Genomes!$B:$B,0)))</f>
        <v>Y</v>
      </c>
    </row>
    <row r="322" spans="1:11" x14ac:dyDescent="0.2">
      <c r="A322">
        <f>INDEX(CoreProteinGroups!A:A,MATCH(B322,CoreProteinGroups!B:B,0))</f>
        <v>5</v>
      </c>
      <c r="B322" s="1" t="s">
        <v>547</v>
      </c>
      <c r="C322" t="str">
        <f>VLOOKUP(B322,CoreProteinGroups!$B:$C,2,FALSE)</f>
        <v>IMV-MP</v>
      </c>
      <c r="D322" t="s">
        <v>603</v>
      </c>
      <c r="E322" s="6" t="str">
        <f t="shared" ref="E322:E385" si="5">HYPERLINK(_xlfn.CONCAT("https://www.ncbi.nlm.nih.gov/protein/",D322),_xlfn.CONCAT("PROT:",D322))</f>
        <v>PROT:AFH54696.1</v>
      </c>
      <c r="F322" t="s">
        <v>604</v>
      </c>
      <c r="G322" t="s">
        <v>87</v>
      </c>
      <c r="H322" t="s">
        <v>2619</v>
      </c>
      <c r="I322" t="str">
        <f>INDEX(Genomes!$I:$I,(MATCH(AllProteins!H322,Genomes!$B:$B,0)))</f>
        <v>JQ410350-ectromelia_virus_strain_ERPV</v>
      </c>
      <c r="J322">
        <f>INDEX(Genomes!$A:$A,(MATCH(AllProteins!H322,Genomes!$B:$B,0)))</f>
        <v>17</v>
      </c>
      <c r="K322" t="str">
        <f>INDEX(Genomes!$J:$J,(MATCH(AllProteins!H322,Genomes!$B:$B,0)))</f>
        <v>N</v>
      </c>
    </row>
    <row r="323" spans="1:11" x14ac:dyDescent="0.2">
      <c r="A323">
        <f>INDEX(CoreProteinGroups!A:A,MATCH(B323,CoreProteinGroups!B:B,0))</f>
        <v>5</v>
      </c>
      <c r="B323" s="1" t="s">
        <v>547</v>
      </c>
      <c r="C323" t="str">
        <f>VLOOKUP(B323,CoreProteinGroups!$B:$C,2,FALSE)</f>
        <v>IMV-MP</v>
      </c>
      <c r="D323" t="s">
        <v>605</v>
      </c>
      <c r="E323" s="6" t="str">
        <f t="shared" si="5"/>
        <v>PROT:AAL40598.1</v>
      </c>
      <c r="F323" t="s">
        <v>606</v>
      </c>
      <c r="G323" t="s">
        <v>90</v>
      </c>
      <c r="H323" t="s">
        <v>2673</v>
      </c>
      <c r="I323" t="str">
        <f>INDEX(Genomes!$I:$I,(MATCH(AllProteins!H323,Genomes!$B:$B,0)))</f>
        <v>AF380138-monkeypox_virus_(clade_I)</v>
      </c>
      <c r="J323">
        <f>INDEX(Genomes!$A:$A,(MATCH(AllProteins!H323,Genomes!$B:$B,0)))</f>
        <v>29</v>
      </c>
      <c r="K323" t="str">
        <f>INDEX(Genomes!$J:$J,(MATCH(AllProteins!H323,Genomes!$B:$B,0)))</f>
        <v>Y</v>
      </c>
    </row>
    <row r="324" spans="1:11" x14ac:dyDescent="0.2">
      <c r="A324">
        <f>INDEX(CoreProteinGroups!A:A,MATCH(B324,CoreProteinGroups!B:B,0))</f>
        <v>5</v>
      </c>
      <c r="B324" s="1" t="s">
        <v>547</v>
      </c>
      <c r="C324" t="str">
        <f>VLOOKUP(B324,CoreProteinGroups!$B:$C,2,FALSE)</f>
        <v>IMV-MP</v>
      </c>
      <c r="D324" t="s">
        <v>607</v>
      </c>
      <c r="E324" s="6" t="str">
        <f t="shared" si="5"/>
        <v>PROT:AAX09234.1</v>
      </c>
      <c r="F324" t="s">
        <v>608</v>
      </c>
      <c r="G324" t="s">
        <v>93</v>
      </c>
      <c r="H324" t="s">
        <v>2672</v>
      </c>
      <c r="I324" t="str">
        <f>INDEX(Genomes!$I:$I,(MATCH(AllProteins!H324,Genomes!$B:$B,0)))</f>
        <v>AY753185-monkeypox_virus_(clade_IIa)</v>
      </c>
      <c r="J324">
        <f>INDEX(Genomes!$A:$A,(MATCH(AllProteins!H324,Genomes!$B:$B,0)))</f>
        <v>28</v>
      </c>
      <c r="K324" t="str">
        <f>INDEX(Genomes!$J:$J,(MATCH(AllProteins!H324,Genomes!$B:$B,0)))</f>
        <v>Y</v>
      </c>
    </row>
    <row r="325" spans="1:11" x14ac:dyDescent="0.2">
      <c r="A325">
        <f>INDEX(CoreProteinGroups!A:A,MATCH(B325,CoreProteinGroups!B:B,0))</f>
        <v>5</v>
      </c>
      <c r="B325" s="1" t="s">
        <v>547</v>
      </c>
      <c r="C325" t="str">
        <f>VLOOKUP(B325,CoreProteinGroups!$B:$C,2,FALSE)</f>
        <v>IMV-MP</v>
      </c>
      <c r="D325" t="s">
        <v>609</v>
      </c>
      <c r="E325" s="6" t="str">
        <f t="shared" si="5"/>
        <v>PROT:AKJ93777.1</v>
      </c>
      <c r="F325" t="s">
        <v>610</v>
      </c>
      <c r="G325" t="s">
        <v>95</v>
      </c>
      <c r="H325" t="s">
        <v>2683</v>
      </c>
      <c r="I325" t="str">
        <f>INDEX(Genomes!$I:$I,(MATCH(AllProteins!H325,Genomes!$B:$B,0)))</f>
        <v>KP143769-raccoonpox_virus</v>
      </c>
      <c r="J325">
        <f>INDEX(Genomes!$A:$A,(MATCH(AllProteins!H325,Genomes!$B:$B,0)))</f>
        <v>41</v>
      </c>
      <c r="K325" t="str">
        <f>INDEX(Genomes!$J:$J,(MATCH(AllProteins!H325,Genomes!$B:$B,0)))</f>
        <v>Y</v>
      </c>
    </row>
    <row r="326" spans="1:11" x14ac:dyDescent="0.2">
      <c r="A326">
        <f>INDEX(CoreProteinGroups!A:A,MATCH(B326,CoreProteinGroups!B:B,0))</f>
        <v>5</v>
      </c>
      <c r="B326" s="1" t="s">
        <v>547</v>
      </c>
      <c r="C326" t="str">
        <f>VLOOKUP(B326,CoreProteinGroups!$B:$C,2,FALSE)</f>
        <v>IMV-MP</v>
      </c>
      <c r="D326" t="s">
        <v>611</v>
      </c>
      <c r="E326" s="6" t="str">
        <f t="shared" si="5"/>
        <v>PROT:AOP31626.1</v>
      </c>
      <c r="F326" t="s">
        <v>612</v>
      </c>
      <c r="G326" t="s">
        <v>97</v>
      </c>
      <c r="H326" t="s">
        <v>2686</v>
      </c>
      <c r="I326" t="str">
        <f>INDEX(Genomes!$I:$I,(MATCH(AllProteins!H326,Genomes!$B:$B,0)))</f>
        <v>KU749310-skunkpox_virus</v>
      </c>
      <c r="J326">
        <f>INDEX(Genomes!$A:$A,(MATCH(AllProteins!H326,Genomes!$B:$B,0)))</f>
        <v>45</v>
      </c>
      <c r="K326" t="str">
        <f>INDEX(Genomes!$J:$J,(MATCH(AllProteins!H326,Genomes!$B:$B,0)))</f>
        <v>Y</v>
      </c>
    </row>
    <row r="327" spans="1:11" x14ac:dyDescent="0.2">
      <c r="A327">
        <f>INDEX(CoreProteinGroups!A:A,MATCH(B327,CoreProteinGroups!B:B,0))</f>
        <v>5</v>
      </c>
      <c r="B327" s="1" t="s">
        <v>547</v>
      </c>
      <c r="C327" t="str">
        <f>VLOOKUP(B327,CoreProteinGroups!$B:$C,2,FALSE)</f>
        <v>IMV-MP</v>
      </c>
      <c r="D327" t="s">
        <v>613</v>
      </c>
      <c r="E327" s="6" t="str">
        <f t="shared" si="5"/>
        <v>PROT:ABD97718.1</v>
      </c>
      <c r="F327" t="s">
        <v>583</v>
      </c>
      <c r="G327" t="s">
        <v>99</v>
      </c>
      <c r="H327" t="s">
        <v>2691</v>
      </c>
      <c r="I327" t="str">
        <f>INDEX(Genomes!$I:$I,(MATCH(AllProteins!H327,Genomes!$B:$B,0)))</f>
        <v>DQ437594-taterapox_virus</v>
      </c>
      <c r="J327">
        <f>INDEX(Genomes!$A:$A,(MATCH(AllProteins!H327,Genomes!$B:$B,0)))</f>
        <v>50</v>
      </c>
      <c r="K327" t="str">
        <f>INDEX(Genomes!$J:$J,(MATCH(AllProteins!H327,Genomes!$B:$B,0)))</f>
        <v>Y</v>
      </c>
    </row>
    <row r="328" spans="1:11" x14ac:dyDescent="0.2">
      <c r="A328">
        <f>INDEX(CoreProteinGroups!A:A,MATCH(B328,CoreProteinGroups!B:B,0))</f>
        <v>5</v>
      </c>
      <c r="B328" s="1" t="s">
        <v>547</v>
      </c>
      <c r="C328" t="str">
        <f>VLOOKUP(B328,CoreProteinGroups!$B:$C,2,FALSE)</f>
        <v>IMV-MP</v>
      </c>
      <c r="D328" t="s">
        <v>614</v>
      </c>
      <c r="E328" s="6" t="str">
        <f t="shared" si="5"/>
        <v>PROT:AAO89430.1</v>
      </c>
      <c r="F328" t="s">
        <v>615</v>
      </c>
      <c r="G328" t="s">
        <v>101</v>
      </c>
      <c r="H328" t="s">
        <v>2693</v>
      </c>
      <c r="I328" t="str">
        <f>INDEX(Genomes!$I:$I,(MATCH(AllProteins!H328,Genomes!$B:$B,0)))</f>
        <v>AY243312-vaccinia_virus</v>
      </c>
      <c r="J328">
        <f>INDEX(Genomes!$A:$A,(MATCH(AllProteins!H328,Genomes!$B:$B,0)))</f>
        <v>52</v>
      </c>
      <c r="K328" t="str">
        <f>INDEX(Genomes!$J:$J,(MATCH(AllProteins!H328,Genomes!$B:$B,0)))</f>
        <v>Y</v>
      </c>
    </row>
    <row r="329" spans="1:11" x14ac:dyDescent="0.2">
      <c r="A329">
        <f>INDEX(CoreProteinGroups!A:A,MATCH(B329,CoreProteinGroups!B:B,0))</f>
        <v>5</v>
      </c>
      <c r="B329" s="1" t="s">
        <v>547</v>
      </c>
      <c r="C329" t="str">
        <f>VLOOKUP(B329,CoreProteinGroups!$B:$C,2,FALSE)</f>
        <v>IMV-MP</v>
      </c>
      <c r="D329" t="s">
        <v>616</v>
      </c>
      <c r="E329" s="6" t="str">
        <f t="shared" si="5"/>
        <v>PROT:CAA49076.1</v>
      </c>
      <c r="F329" t="s">
        <v>617</v>
      </c>
      <c r="G329" t="s">
        <v>2585</v>
      </c>
      <c r="H329" t="s">
        <v>2694</v>
      </c>
      <c r="I329" t="str">
        <f>INDEX(Genomes!$I:$I,(MATCH(AllProteins!H329,Genomes!$B:$B,0)))</f>
        <v>X69198-variola_major_virus</v>
      </c>
      <c r="J329">
        <f>INDEX(Genomes!$A:$A,(MATCH(AllProteins!H329,Genomes!$B:$B,0)))</f>
        <v>53</v>
      </c>
      <c r="K329" t="str">
        <f>INDEX(Genomes!$J:$J,(MATCH(AllProteins!H329,Genomes!$B:$B,0)))</f>
        <v>Y</v>
      </c>
    </row>
    <row r="330" spans="1:11" x14ac:dyDescent="0.2">
      <c r="A330">
        <f>INDEX(CoreProteinGroups!A:A,MATCH(B330,CoreProteinGroups!B:B,0))</f>
        <v>5</v>
      </c>
      <c r="B330" s="1" t="s">
        <v>547</v>
      </c>
      <c r="C330" t="str">
        <f>VLOOKUP(B330,CoreProteinGroups!$B:$C,2,FALSE)</f>
        <v>IMV-MP</v>
      </c>
      <c r="D330" t="s">
        <v>618</v>
      </c>
      <c r="E330" s="6" t="str">
        <f t="shared" si="5"/>
        <v>PROT:CAB54735.1</v>
      </c>
      <c r="F330" t="s">
        <v>619</v>
      </c>
      <c r="G330" t="s">
        <v>106</v>
      </c>
      <c r="H330" t="s">
        <v>2695</v>
      </c>
      <c r="I330" t="str">
        <f>INDEX(Genomes!$I:$I,(MATCH(AllProteins!H330,Genomes!$B:$B,0)))</f>
        <v>Y16780-variola_minor_virus</v>
      </c>
      <c r="J330">
        <f>INDEX(Genomes!$A:$A,(MATCH(AllProteins!H330,Genomes!$B:$B,0)))</f>
        <v>54</v>
      </c>
      <c r="K330" t="str">
        <f>INDEX(Genomes!$J:$J,(MATCH(AllProteins!H330,Genomes!$B:$B,0)))</f>
        <v>Y</v>
      </c>
    </row>
    <row r="331" spans="1:11" x14ac:dyDescent="0.2">
      <c r="A331">
        <f>INDEX(CoreProteinGroups!A:A,MATCH(B331,CoreProteinGroups!B:B,0))</f>
        <v>5</v>
      </c>
      <c r="B331" s="1" t="s">
        <v>547</v>
      </c>
      <c r="C331" t="str">
        <f>VLOOKUP(B331,CoreProteinGroups!$B:$C,2,FALSE)</f>
        <v>IMV-MP</v>
      </c>
      <c r="D331" t="s">
        <v>620</v>
      </c>
      <c r="E331" s="6" t="str">
        <f t="shared" si="5"/>
        <v>PROT:AOP31837.1</v>
      </c>
      <c r="F331" t="s">
        <v>612</v>
      </c>
      <c r="G331" t="s">
        <v>108</v>
      </c>
      <c r="H331" t="s">
        <v>2696</v>
      </c>
      <c r="I331" t="str">
        <f>INDEX(Genomes!$I:$I,(MATCH(AllProteins!H331,Genomes!$B:$B,0)))</f>
        <v>KU749311-volepox_virus</v>
      </c>
      <c r="J331">
        <f>INDEX(Genomes!$A:$A,(MATCH(AllProteins!H331,Genomes!$B:$B,0)))</f>
        <v>55</v>
      </c>
      <c r="K331" t="str">
        <f>INDEX(Genomes!$J:$J,(MATCH(AllProteins!H331,Genomes!$B:$B,0)))</f>
        <v>Y</v>
      </c>
    </row>
    <row r="332" spans="1:11" x14ac:dyDescent="0.2">
      <c r="A332">
        <f>INDEX(CoreProteinGroups!A:A,MATCH(B332,CoreProteinGroups!B:B,0))</f>
        <v>5</v>
      </c>
      <c r="B332" s="1" t="s">
        <v>547</v>
      </c>
      <c r="C332" t="str">
        <f>VLOOKUP(B332,CoreProteinGroups!$B:$C,2,FALSE)</f>
        <v>IMV-MP</v>
      </c>
      <c r="D332" t="s">
        <v>621</v>
      </c>
      <c r="E332" s="6" t="str">
        <f t="shared" si="5"/>
        <v>PROT:ASC55543.1</v>
      </c>
      <c r="F332" t="s">
        <v>622</v>
      </c>
      <c r="G332" t="s">
        <v>111</v>
      </c>
      <c r="H332" t="s">
        <v>2667</v>
      </c>
      <c r="I332" t="str">
        <f>INDEX(Genomes!$I:$I,(MATCH(AllProteins!H332,Genomes!$B:$B,0)))</f>
        <v>KY382358-seal_parapoxvirus</v>
      </c>
      <c r="J332">
        <f>INDEX(Genomes!$A:$A,(MATCH(AllProteins!H332,Genomes!$B:$B,0)))</f>
        <v>22</v>
      </c>
      <c r="K332" t="str">
        <f>INDEX(Genomes!$J:$J,(MATCH(AllProteins!H332,Genomes!$B:$B,0)))</f>
        <v>Y</v>
      </c>
    </row>
    <row r="333" spans="1:11" x14ac:dyDescent="0.2">
      <c r="A333">
        <f>INDEX(CoreProteinGroups!A:A,MATCH(B333,CoreProteinGroups!B:B,0))</f>
        <v>5</v>
      </c>
      <c r="B333" s="1" t="s">
        <v>547</v>
      </c>
      <c r="C333" t="str">
        <f>VLOOKUP(B333,CoreProteinGroups!$B:$C,2,FALSE)</f>
        <v>IMV-MP</v>
      </c>
      <c r="D333" t="s">
        <v>623</v>
      </c>
      <c r="E333" s="6" t="str">
        <f t="shared" si="5"/>
        <v>PROT:AAR98462.1</v>
      </c>
      <c r="F333" t="s">
        <v>624</v>
      </c>
      <c r="G333" t="s">
        <v>114</v>
      </c>
      <c r="H333" t="s">
        <v>2652</v>
      </c>
      <c r="I333" t="str">
        <f>INDEX(Genomes!$I:$I,(MATCH(AllProteins!H333,Genomes!$B:$B,0)))</f>
        <v>AY386265-bovine_papular_stomatitis_virus</v>
      </c>
      <c r="J333">
        <f>INDEX(Genomes!$A:$A,(MATCH(AllProteins!H333,Genomes!$B:$B,0)))</f>
        <v>6</v>
      </c>
      <c r="K333" t="str">
        <f>INDEX(Genomes!$J:$J,(MATCH(AllProteins!H333,Genomes!$B:$B,0)))</f>
        <v>Y</v>
      </c>
    </row>
    <row r="334" spans="1:11" x14ac:dyDescent="0.2">
      <c r="A334">
        <f>INDEX(CoreProteinGroups!A:A,MATCH(B334,CoreProteinGroups!B:B,0))</f>
        <v>5</v>
      </c>
      <c r="B334" s="1" t="s">
        <v>547</v>
      </c>
      <c r="C334" t="str">
        <f>VLOOKUP(B334,CoreProteinGroups!$B:$C,2,FALSE)</f>
        <v>IMV-MP</v>
      </c>
      <c r="D334" t="s">
        <v>625</v>
      </c>
      <c r="E334" s="6" t="str">
        <f t="shared" si="5"/>
        <v>PROT:AAR98330.1</v>
      </c>
      <c r="F334" t="s">
        <v>624</v>
      </c>
      <c r="G334" t="s">
        <v>2702</v>
      </c>
      <c r="H334" t="s">
        <v>2678</v>
      </c>
      <c r="I334" t="str">
        <f>INDEX(Genomes!$I:$I,(MATCH(AllProteins!H334,Genomes!$B:$B,0)))</f>
        <v>AY386264-orf_virus</v>
      </c>
      <c r="J334">
        <f>INDEX(Genomes!$A:$A,(MATCH(AllProteins!H334,Genomes!$B:$B,0)))</f>
        <v>35</v>
      </c>
      <c r="K334" t="str">
        <f>INDEX(Genomes!$J:$J,(MATCH(AllProteins!H334,Genomes!$B:$B,0)))</f>
        <v>Y</v>
      </c>
    </row>
    <row r="335" spans="1:11" x14ac:dyDescent="0.2">
      <c r="A335">
        <f>INDEX(CoreProteinGroups!A:A,MATCH(B335,CoreProteinGroups!B:B,0))</f>
        <v>5</v>
      </c>
      <c r="B335" s="1" t="s">
        <v>547</v>
      </c>
      <c r="C335" t="str">
        <f>VLOOKUP(B335,CoreProteinGroups!$B:$C,2,FALSE)</f>
        <v>IMV-MP</v>
      </c>
      <c r="D335" t="s">
        <v>626</v>
      </c>
      <c r="E335" s="6" t="str">
        <f t="shared" si="5"/>
        <v>PROT:ABA00622.1</v>
      </c>
      <c r="F335" t="s">
        <v>561</v>
      </c>
      <c r="G335" t="s">
        <v>2555</v>
      </c>
      <c r="H335" t="s">
        <v>2645</v>
      </c>
      <c r="I335" t="str">
        <f>INDEX(Genomes!$I:$I,(MATCH(AllProteins!H335,Genomes!$B:$B,0)))</f>
        <v>DQ184476-orf_virus_strain_NZ2</v>
      </c>
      <c r="J335">
        <f>INDEX(Genomes!$A:$A,(MATCH(AllProteins!H335,Genomes!$B:$B,0)))</f>
        <v>36</v>
      </c>
      <c r="K335" t="str">
        <f>INDEX(Genomes!$J:$J,(MATCH(AllProteins!H335,Genomes!$B:$B,0)))</f>
        <v>N</v>
      </c>
    </row>
    <row r="336" spans="1:11" x14ac:dyDescent="0.2">
      <c r="A336">
        <f>INDEX(CoreProteinGroups!A:A,MATCH(B336,CoreProteinGroups!B:B,0))</f>
        <v>5</v>
      </c>
      <c r="B336" s="1" t="s">
        <v>547</v>
      </c>
      <c r="C336" t="str">
        <f>VLOOKUP(B336,CoreProteinGroups!$B:$C,2,FALSE)</f>
        <v>IMV-MP</v>
      </c>
      <c r="D336" t="s">
        <v>627</v>
      </c>
      <c r="E336" s="6" t="str">
        <f t="shared" si="5"/>
        <v>PROT:AIZ77356.1</v>
      </c>
      <c r="F336" t="s">
        <v>628</v>
      </c>
      <c r="G336" t="s">
        <v>119</v>
      </c>
      <c r="H336" t="s">
        <v>2684</v>
      </c>
      <c r="I336" t="str">
        <f>INDEX(Genomes!$I:$I,(MATCH(AllProteins!H336,Genomes!$B:$B,0)))</f>
        <v>KM502564-parapoxvirus_red_deer</v>
      </c>
      <c r="J336">
        <f>INDEX(Genomes!$A:$A,(MATCH(AllProteins!H336,Genomes!$B:$B,0)))</f>
        <v>42</v>
      </c>
      <c r="K336" t="str">
        <f>INDEX(Genomes!$J:$J,(MATCH(AllProteins!H336,Genomes!$B:$B,0)))</f>
        <v>Y</v>
      </c>
    </row>
    <row r="337" spans="1:11" x14ac:dyDescent="0.2">
      <c r="A337">
        <f>INDEX(CoreProteinGroups!A:A,MATCH(B337,CoreProteinGroups!B:B,0))</f>
        <v>5</v>
      </c>
      <c r="B337" s="1" t="s">
        <v>547</v>
      </c>
      <c r="C337" t="str">
        <f>VLOOKUP(B337,CoreProteinGroups!$B:$C,2,FALSE)</f>
        <v>IMV-MP</v>
      </c>
      <c r="D337" t="s">
        <v>629</v>
      </c>
      <c r="E337" s="6" t="str">
        <f t="shared" si="5"/>
        <v>PROT:ADC54007.1</v>
      </c>
      <c r="F337" t="s">
        <v>561</v>
      </c>
      <c r="G337" t="s">
        <v>121</v>
      </c>
      <c r="H337" t="s">
        <v>2679</v>
      </c>
      <c r="I337" t="str">
        <f>INDEX(Genomes!$I:$I,(MATCH(AllProteins!H337,Genomes!$B:$B,0)))</f>
        <v>GQ329670-pseudocowpox_virus</v>
      </c>
      <c r="J337">
        <f>INDEX(Genomes!$A:$A,(MATCH(AllProteins!H337,Genomes!$B:$B,0)))</f>
        <v>37</v>
      </c>
      <c r="K337" t="str">
        <f>INDEX(Genomes!$J:$J,(MATCH(AllProteins!H337,Genomes!$B:$B,0)))</f>
        <v>Y</v>
      </c>
    </row>
    <row r="338" spans="1:11" x14ac:dyDescent="0.2">
      <c r="A338">
        <f>INDEX(CoreProteinGroups!A:A,MATCH(B338,CoreProteinGroups!B:B,0))</f>
        <v>5</v>
      </c>
      <c r="B338" s="1" t="s">
        <v>547</v>
      </c>
      <c r="C338" t="str">
        <f>VLOOKUP(B338,CoreProteinGroups!$B:$C,2,FALSE)</f>
        <v>IMV-MP</v>
      </c>
      <c r="D338" t="s">
        <v>630</v>
      </c>
      <c r="E338" s="6" t="str">
        <f t="shared" si="5"/>
        <v>PROT:AAL69854.1</v>
      </c>
      <c r="F338" t="s">
        <v>631</v>
      </c>
      <c r="G338" t="s">
        <v>124</v>
      </c>
      <c r="H338" t="s">
        <v>2690</v>
      </c>
      <c r="I338" t="str">
        <f>INDEX(Genomes!$I:$I,(MATCH(AllProteins!H338,Genomes!$B:$B,0)))</f>
        <v>AF410153-swinepox_virus</v>
      </c>
      <c r="J338">
        <f>INDEX(Genomes!$A:$A,(MATCH(AllProteins!H338,Genomes!$B:$B,0)))</f>
        <v>49</v>
      </c>
      <c r="K338" t="str">
        <f>INDEX(Genomes!$J:$J,(MATCH(AllProteins!H338,Genomes!$B:$B,0)))</f>
        <v>Y</v>
      </c>
    </row>
    <row r="339" spans="1:11" x14ac:dyDescent="0.2">
      <c r="A339">
        <f>INDEX(CoreProteinGroups!A:A,MATCH(B339,CoreProteinGroups!B:B,0))</f>
        <v>5</v>
      </c>
      <c r="B339" s="1" t="s">
        <v>547</v>
      </c>
      <c r="C339" t="str">
        <f>VLOOKUP(B339,CoreProteinGroups!$B:$C,2,FALSE)</f>
        <v>IMV-MP</v>
      </c>
      <c r="D339" t="s">
        <v>632</v>
      </c>
      <c r="E339" s="6" t="str">
        <f t="shared" si="5"/>
        <v>PROT:CAC21356.1</v>
      </c>
      <c r="F339" t="s">
        <v>633</v>
      </c>
      <c r="G339" t="s">
        <v>127</v>
      </c>
      <c r="H339" t="s">
        <v>2699</v>
      </c>
      <c r="I339" t="str">
        <f>INDEX(Genomes!$I:$I,(MATCH(AllProteins!H339,Genomes!$B:$B,0)))</f>
        <v>AJ293568-tanapox_virus</v>
      </c>
      <c r="J339">
        <f>INDEX(Genomes!$A:$A,(MATCH(AllProteins!H339,Genomes!$B:$B,0)))</f>
        <v>58</v>
      </c>
      <c r="K339" t="str">
        <f>INDEX(Genomes!$J:$J,(MATCH(AllProteins!H339,Genomes!$B:$B,0)))</f>
        <v>Y</v>
      </c>
    </row>
    <row r="340" spans="1:11" x14ac:dyDescent="0.2">
      <c r="A340">
        <f>INDEX(CoreProteinGroups!A:A,MATCH(B340,CoreProteinGroups!B:B,0))</f>
        <v>5</v>
      </c>
      <c r="B340" s="1" t="s">
        <v>547</v>
      </c>
      <c r="C340" t="str">
        <f>VLOOKUP(B340,CoreProteinGroups!$B:$C,2,FALSE)</f>
        <v>IMV-MP</v>
      </c>
      <c r="D340" t="s">
        <v>634</v>
      </c>
      <c r="E340" s="6" t="str">
        <f t="shared" si="5"/>
        <v>PROT:AAR07474.1</v>
      </c>
      <c r="F340" t="s">
        <v>635</v>
      </c>
      <c r="G340" t="s">
        <v>130</v>
      </c>
      <c r="H340" t="s">
        <v>2700</v>
      </c>
      <c r="I340" t="str">
        <f>INDEX(Genomes!$I:$I,(MATCH(AllProteins!H340,Genomes!$B:$B,0)))</f>
        <v>AY386371-Yaba_monkey_tumor_virus</v>
      </c>
      <c r="J340">
        <f>INDEX(Genomes!$A:$A,(MATCH(AllProteins!H340,Genomes!$B:$B,0)))</f>
        <v>59</v>
      </c>
      <c r="K340" t="str">
        <f>INDEX(Genomes!$J:$J,(MATCH(AllProteins!H340,Genomes!$B:$B,0)))</f>
        <v>Y</v>
      </c>
    </row>
    <row r="341" spans="1:11" x14ac:dyDescent="0.2">
      <c r="A341">
        <f>INDEX(CoreProteinGroups!A:A,MATCH(B341,CoreProteinGroups!B:B,0))</f>
        <v>5</v>
      </c>
      <c r="B341" s="1" t="s">
        <v>547</v>
      </c>
      <c r="C341" t="str">
        <f>VLOOKUP(B341,CoreProteinGroups!$B:$C,2,FALSE)</f>
        <v>IMV-MP</v>
      </c>
      <c r="D341" t="s">
        <v>636</v>
      </c>
      <c r="E341" s="6" t="str">
        <f t="shared" si="5"/>
        <v>PROT:AAC97666.1</v>
      </c>
      <c r="F341" t="s">
        <v>637</v>
      </c>
      <c r="G341" t="s">
        <v>133</v>
      </c>
      <c r="H341" t="s">
        <v>2674</v>
      </c>
      <c r="I341" t="str">
        <f>INDEX(Genomes!$I:$I,(MATCH(AllProteins!H341,Genomes!$B:$B,0)))</f>
        <v>AF063866-Melanoplus_sanguinipes_entomopoxvirus</v>
      </c>
      <c r="J341">
        <f>INDEX(Genomes!$A:$A,(MATCH(AllProteins!H341,Genomes!$B:$B,0)))</f>
        <v>30</v>
      </c>
      <c r="K341" t="str">
        <f>INDEX(Genomes!$J:$J,(MATCH(AllProteins!H341,Genomes!$B:$B,0)))</f>
        <v>Y</v>
      </c>
    </row>
    <row r="342" spans="1:11" x14ac:dyDescent="0.2">
      <c r="A342">
        <f>INDEX(CoreProteinGroups!A:A,MATCH(B342,CoreProteinGroups!B:B,0))</f>
        <v>5</v>
      </c>
      <c r="B342" s="1" t="s">
        <v>547</v>
      </c>
      <c r="C342" t="str">
        <f>VLOOKUP(B342,CoreProteinGroups!$B:$C,2,FALSE)</f>
        <v>IMV-MP</v>
      </c>
      <c r="D342" t="s">
        <v>638</v>
      </c>
      <c r="E342" s="6" t="str">
        <f t="shared" si="5"/>
        <v>PROT:BAO49431.1</v>
      </c>
      <c r="F342" t="s">
        <v>639</v>
      </c>
      <c r="G342" t="s">
        <v>136</v>
      </c>
      <c r="H342" t="s">
        <v>2648</v>
      </c>
      <c r="I342" t="str">
        <f>INDEX(Genomes!$I:$I,(MATCH(AllProteins!H342,Genomes!$B:$B,0)))</f>
        <v>AP013055-Anomala_cuprea_entomopoxvirus</v>
      </c>
      <c r="J342">
        <f>INDEX(Genomes!$A:$A,(MATCH(AllProteins!H342,Genomes!$B:$B,0)))</f>
        <v>2</v>
      </c>
      <c r="K342" t="str">
        <f>INDEX(Genomes!$J:$J,(MATCH(AllProteins!H342,Genomes!$B:$B,0)))</f>
        <v>Y</v>
      </c>
    </row>
    <row r="343" spans="1:11" x14ac:dyDescent="0.2">
      <c r="A343">
        <f>INDEX(CoreProteinGroups!A:A,MATCH(B343,CoreProteinGroups!B:B,0))</f>
        <v>5</v>
      </c>
      <c r="B343" s="1" t="s">
        <v>547</v>
      </c>
      <c r="C343" t="str">
        <f>VLOOKUP(B343,CoreProteinGroups!$B:$C,2,FALSE)</f>
        <v>IMV-MP</v>
      </c>
      <c r="D343" t="s">
        <v>640</v>
      </c>
      <c r="E343" s="6" t="str">
        <f t="shared" si="5"/>
        <v>PROT:CCU55473.1</v>
      </c>
      <c r="F343" t="s">
        <v>641</v>
      </c>
      <c r="G343" t="s">
        <v>138</v>
      </c>
      <c r="H343" t="s">
        <v>2649</v>
      </c>
      <c r="I343" t="str">
        <f>INDEX(Genomes!$I:$I,(MATCH(AllProteins!H343,Genomes!$B:$B,0)))</f>
        <v>HF679131-Adoxophyes_honmai_entomopoxvirus</v>
      </c>
      <c r="J343">
        <f>INDEX(Genomes!$A:$A,(MATCH(AllProteins!H343,Genomes!$B:$B,0)))</f>
        <v>3</v>
      </c>
      <c r="K343" t="str">
        <f>INDEX(Genomes!$J:$J,(MATCH(AllProteins!H343,Genomes!$B:$B,0)))</f>
        <v>Y</v>
      </c>
    </row>
    <row r="344" spans="1:11" x14ac:dyDescent="0.2">
      <c r="A344">
        <f>INDEX(CoreProteinGroups!A:A,MATCH(B344,CoreProteinGroups!B:B,0))</f>
        <v>5</v>
      </c>
      <c r="B344" s="1" t="s">
        <v>547</v>
      </c>
      <c r="C344" t="str">
        <f>VLOOKUP(B344,CoreProteinGroups!$B:$C,2,FALSE)</f>
        <v>IMV-MP</v>
      </c>
      <c r="D344" t="s">
        <v>642</v>
      </c>
      <c r="E344" s="6" t="str">
        <f t="shared" si="5"/>
        <v>PROT:AAG02892.1</v>
      </c>
      <c r="F344" t="s">
        <v>643</v>
      </c>
      <c r="G344" t="s">
        <v>141</v>
      </c>
      <c r="H344" t="s">
        <v>2651</v>
      </c>
      <c r="I344" t="str">
        <f>INDEX(Genomes!$I:$I,(MATCH(AllProteins!H344,Genomes!$B:$B,0)))</f>
        <v>AF250284-Amsacta_moorei_entomopoxvirus</v>
      </c>
      <c r="J344">
        <f>INDEX(Genomes!$A:$A,(MATCH(AllProteins!H344,Genomes!$B:$B,0)))</f>
        <v>5</v>
      </c>
      <c r="K344" t="str">
        <f>INDEX(Genomes!$J:$J,(MATCH(AllProteins!H344,Genomes!$B:$B,0)))</f>
        <v>Y</v>
      </c>
    </row>
    <row r="345" spans="1:11" x14ac:dyDescent="0.2">
      <c r="A345">
        <f>INDEX(CoreProteinGroups!A:A,MATCH(B345,CoreProteinGroups!B:B,0))</f>
        <v>5</v>
      </c>
      <c r="B345" s="1" t="s">
        <v>547</v>
      </c>
      <c r="C345" t="str">
        <f>VLOOKUP(B345,CoreProteinGroups!$B:$C,2,FALSE)</f>
        <v>IMV-MP</v>
      </c>
      <c r="D345" t="s">
        <v>644</v>
      </c>
      <c r="E345" s="6" t="str">
        <f t="shared" si="5"/>
        <v>PROT:CCU55794.1</v>
      </c>
      <c r="F345" t="s">
        <v>641</v>
      </c>
      <c r="G345" t="s">
        <v>143</v>
      </c>
      <c r="H345" t="s">
        <v>2656</v>
      </c>
      <c r="I345" t="str">
        <f>INDEX(Genomes!$I:$I,(MATCH(AllProteins!H345,Genomes!$B:$B,0)))</f>
        <v>HF679132-Choristoneura_biennis_entomopoxvirus</v>
      </c>
      <c r="J345">
        <f>INDEX(Genomes!$A:$A,(MATCH(AllProteins!H345,Genomes!$B:$B,0)))</f>
        <v>10</v>
      </c>
      <c r="K345" t="str">
        <f>INDEX(Genomes!$J:$J,(MATCH(AllProteins!H345,Genomes!$B:$B,0)))</f>
        <v>Y</v>
      </c>
    </row>
    <row r="346" spans="1:11" x14ac:dyDescent="0.2">
      <c r="A346">
        <f>INDEX(CoreProteinGroups!A:A,MATCH(B346,CoreProteinGroups!B:B,0))</f>
        <v>5</v>
      </c>
      <c r="B346" s="1" t="s">
        <v>547</v>
      </c>
      <c r="C346" t="str">
        <f>VLOOKUP(B346,CoreProteinGroups!$B:$C,2,FALSE)</f>
        <v>IMV-MP</v>
      </c>
      <c r="D346" t="s">
        <v>645</v>
      </c>
      <c r="E346" s="6" t="str">
        <f t="shared" si="5"/>
        <v>PROT:CCU56096.1</v>
      </c>
      <c r="F346" t="s">
        <v>641</v>
      </c>
      <c r="G346" t="s">
        <v>145</v>
      </c>
      <c r="H346" t="s">
        <v>2660</v>
      </c>
      <c r="I346" t="str">
        <f>INDEX(Genomes!$I:$I,(MATCH(AllProteins!H346,Genomes!$B:$B,0)))</f>
        <v>HF679133-Choristoneura_rosaceana_entomopoxvirus</v>
      </c>
      <c r="J346">
        <f>INDEX(Genomes!$A:$A,(MATCH(AllProteins!H346,Genomes!$B:$B,0)))</f>
        <v>14</v>
      </c>
      <c r="K346" t="str">
        <f>INDEX(Genomes!$J:$J,(MATCH(AllProteins!H346,Genomes!$B:$B,0)))</f>
        <v>Y</v>
      </c>
    </row>
    <row r="347" spans="1:11" x14ac:dyDescent="0.2">
      <c r="A347">
        <f>INDEX(CoreProteinGroups!A:A,MATCH(B347,CoreProteinGroups!B:B,0))</f>
        <v>5</v>
      </c>
      <c r="B347" s="1" t="s">
        <v>547</v>
      </c>
      <c r="C347" t="str">
        <f>VLOOKUP(B347,CoreProteinGroups!$B:$C,2,FALSE)</f>
        <v>IMV-MP</v>
      </c>
      <c r="D347" t="s">
        <v>646</v>
      </c>
      <c r="E347" s="6" t="str">
        <f t="shared" si="5"/>
        <v>PROT:CCU56418.1</v>
      </c>
      <c r="F347" t="s">
        <v>641</v>
      </c>
      <c r="G347" t="s">
        <v>147</v>
      </c>
      <c r="H347" t="s">
        <v>2675</v>
      </c>
      <c r="I347" t="str">
        <f>INDEX(Genomes!$I:$I,(MATCH(AllProteins!H347,Genomes!$B:$B,0)))</f>
        <v>HF679134-Mythimna_separata_entomopoxvirus</v>
      </c>
      <c r="J347">
        <f>INDEX(Genomes!$A:$A,(MATCH(AllProteins!H347,Genomes!$B:$B,0)))</f>
        <v>31</v>
      </c>
      <c r="K347" t="str">
        <f>INDEX(Genomes!$J:$J,(MATCH(AllProteins!H347,Genomes!$B:$B,0)))</f>
        <v>Y</v>
      </c>
    </row>
    <row r="348" spans="1:11" x14ac:dyDescent="0.2">
      <c r="A348">
        <f>INDEX(CoreProteinGroups!A:A,MATCH(B348,CoreProteinGroups!B:B,0))</f>
        <v>5</v>
      </c>
      <c r="B348" s="1" t="s">
        <v>547</v>
      </c>
      <c r="C348" t="str">
        <f>VLOOKUP(B348,CoreProteinGroups!$B:$C,2,FALSE)</f>
        <v>IMV-MP</v>
      </c>
      <c r="D348" t="s">
        <v>647</v>
      </c>
      <c r="E348" s="6" t="str">
        <f t="shared" si="5"/>
        <v>PROT:NP_659690.1</v>
      </c>
      <c r="F348" t="s">
        <v>648</v>
      </c>
      <c r="G348" t="s">
        <v>150</v>
      </c>
      <c r="H348" t="s">
        <v>2620</v>
      </c>
      <c r="I348" t="str">
        <f>INDEX(Genomes!$I:$I,(MATCH(AllProteins!H348,Genomes!$B:$B,0)))</f>
        <v>NC_004002-sheeppox_virus</v>
      </c>
      <c r="J348">
        <f>INDEX(Genomes!$A:$A,(MATCH(AllProteins!H348,Genomes!$B:$B,0)))</f>
        <v>44</v>
      </c>
      <c r="K348" t="str">
        <f>INDEX(Genomes!$J:$J,(MATCH(AllProteins!H348,Genomes!$B:$B,0)))</f>
        <v>Y</v>
      </c>
    </row>
    <row r="349" spans="1:11" x14ac:dyDescent="0.2">
      <c r="A349">
        <f>INDEX(CoreProteinGroups!A:A,MATCH(B349,CoreProteinGroups!B:B,0))</f>
        <v>5</v>
      </c>
      <c r="B349" s="1" t="s">
        <v>547</v>
      </c>
      <c r="C349" t="str">
        <f>VLOOKUP(B349,CoreProteinGroups!$B:$C,2,FALSE)</f>
        <v>IMV-MP</v>
      </c>
      <c r="D349" t="s">
        <v>649</v>
      </c>
      <c r="E349" s="6" t="str">
        <f t="shared" si="5"/>
        <v>PROT:YP_001293309.1</v>
      </c>
      <c r="F349" t="s">
        <v>650</v>
      </c>
      <c r="G349" t="s">
        <v>153</v>
      </c>
      <c r="H349" t="s">
        <v>2644</v>
      </c>
      <c r="I349" t="str">
        <f>INDEX(Genomes!$I:$I,(MATCH(AllProteins!H349,Genomes!$B:$B,0)))</f>
        <v>NC_004003-goatpox_virus</v>
      </c>
      <c r="J349">
        <f>INDEX(Genomes!$A:$A,(MATCH(AllProteins!H349,Genomes!$B:$B,0)))</f>
        <v>23</v>
      </c>
      <c r="K349" t="str">
        <f>INDEX(Genomes!$J:$J,(MATCH(AllProteins!H349,Genomes!$B:$B,0)))</f>
        <v>Y</v>
      </c>
    </row>
    <row r="350" spans="1:11" x14ac:dyDescent="0.2">
      <c r="A350">
        <f>INDEX(CoreProteinGroups!A:A,MATCH(B350,CoreProteinGroups!B:B,0))</f>
        <v>8</v>
      </c>
      <c r="B350" s="1" t="s">
        <v>651</v>
      </c>
      <c r="C350" t="str">
        <f>VLOOKUP(B350,CoreProteinGroups!$B:$C,2,FALSE)</f>
        <v>P4b</v>
      </c>
      <c r="D350" t="s">
        <v>653</v>
      </c>
      <c r="E350" s="6" t="str">
        <f t="shared" si="5"/>
        <v>PROT:ATI21203.1</v>
      </c>
      <c r="F350" t="s">
        <v>654</v>
      </c>
      <c r="G350" t="s">
        <v>11</v>
      </c>
      <c r="H350" t="s">
        <v>2663</v>
      </c>
      <c r="I350" t="str">
        <f>INDEX(Genomes!$I:$I,(MATCH(AllProteins!H350,Genomes!$B:$B,0)))</f>
        <v>MF467281-Eastern_grey_kangaroopox_virus</v>
      </c>
      <c r="J350">
        <f>INDEX(Genomes!$A:$A,(MATCH(AllProteins!H350,Genomes!$B:$B,0)))</f>
        <v>18</v>
      </c>
      <c r="K350" t="str">
        <f>INDEX(Genomes!$J:$J,(MATCH(AllProteins!H350,Genomes!$B:$B,0)))</f>
        <v>Y</v>
      </c>
    </row>
    <row r="351" spans="1:11" x14ac:dyDescent="0.2">
      <c r="A351">
        <f>INDEX(CoreProteinGroups!A:A,MATCH(B351,CoreProteinGroups!B:B,0))</f>
        <v>8</v>
      </c>
      <c r="B351" s="1" t="s">
        <v>651</v>
      </c>
      <c r="C351" t="str">
        <f>VLOOKUP(B351,CoreProteinGroups!$B:$C,2,FALSE)</f>
        <v>P4b</v>
      </c>
      <c r="D351" t="s">
        <v>655</v>
      </c>
      <c r="E351" s="6" t="str">
        <f t="shared" si="5"/>
        <v>PROT:AWU47137.1</v>
      </c>
      <c r="F351" t="s">
        <v>654</v>
      </c>
      <c r="G351" t="s">
        <v>13</v>
      </c>
      <c r="H351" t="s">
        <v>2688</v>
      </c>
      <c r="I351" t="str">
        <f>INDEX(Genomes!$I:$I,(MATCH(AllProteins!H351,Genomes!$B:$B,0)))</f>
        <v>MH427217-sea_otter_poxvirus</v>
      </c>
      <c r="J351">
        <f>INDEX(Genomes!$A:$A,(MATCH(AllProteins!H351,Genomes!$B:$B,0)))</f>
        <v>47</v>
      </c>
      <c r="K351" t="str">
        <f>INDEX(Genomes!$J:$J,(MATCH(AllProteins!H351,Genomes!$B:$B,0)))</f>
        <v>Y</v>
      </c>
    </row>
    <row r="352" spans="1:11" x14ac:dyDescent="0.2">
      <c r="A352">
        <f>INDEX(CoreProteinGroups!A:A,MATCH(B352,CoreProteinGroups!B:B,0))</f>
        <v>8</v>
      </c>
      <c r="B352" s="1" t="s">
        <v>651</v>
      </c>
      <c r="C352" t="str">
        <f>VLOOKUP(B352,CoreProteinGroups!$B:$C,2,FALSE)</f>
        <v>P4b</v>
      </c>
      <c r="D352" t="s">
        <v>656</v>
      </c>
      <c r="E352" s="6" t="str">
        <f t="shared" si="5"/>
        <v>PROT:APG58313.1</v>
      </c>
      <c r="F352" t="s">
        <v>657</v>
      </c>
      <c r="G352" t="s">
        <v>16</v>
      </c>
      <c r="H352" t="s">
        <v>2653</v>
      </c>
      <c r="I352" t="str">
        <f>INDEX(Genomes!$I:$I,(MATCH(AllProteins!H352,Genomes!$B:$B,0)))</f>
        <v>KY094066-BeAn_58058_virus</v>
      </c>
      <c r="J352">
        <f>INDEX(Genomes!$A:$A,(MATCH(AllProteins!H352,Genomes!$B:$B,0)))</f>
        <v>7</v>
      </c>
      <c r="K352" t="str">
        <f>INDEX(Genomes!$J:$J,(MATCH(AllProteins!H352,Genomes!$B:$B,0)))</f>
        <v>N</v>
      </c>
    </row>
    <row r="353" spans="1:11" x14ac:dyDescent="0.2">
      <c r="A353">
        <f>INDEX(CoreProteinGroups!A:A,MATCH(B353,CoreProteinGroups!B:B,0))</f>
        <v>8</v>
      </c>
      <c r="B353" s="1" t="s">
        <v>651</v>
      </c>
      <c r="C353" t="str">
        <f>VLOOKUP(B353,CoreProteinGroups!$B:$C,2,FALSE)</f>
        <v>P4b</v>
      </c>
      <c r="D353" t="s">
        <v>658</v>
      </c>
      <c r="E353" s="6" t="str">
        <f t="shared" si="5"/>
        <v>PROT:ADT91123.1</v>
      </c>
      <c r="F353" t="s">
        <v>659</v>
      </c>
      <c r="G353" t="s">
        <v>19</v>
      </c>
      <c r="H353" t="s">
        <v>2658</v>
      </c>
      <c r="I353" t="str">
        <f>INDEX(Genomes!$I:$I,(MATCH(AllProteins!H353,Genomes!$B:$B,0)))</f>
        <v>HQ647181-Cotia_virus</v>
      </c>
      <c r="J353">
        <f>INDEX(Genomes!$A:$A,(MATCH(AllProteins!H353,Genomes!$B:$B,0)))</f>
        <v>12</v>
      </c>
      <c r="K353" t="str">
        <f>INDEX(Genomes!$J:$J,(MATCH(AllProteins!H353,Genomes!$B:$B,0)))</f>
        <v>Y</v>
      </c>
    </row>
    <row r="354" spans="1:11" x14ac:dyDescent="0.2">
      <c r="A354">
        <f>INDEX(CoreProteinGroups!A:A,MATCH(B354,CoreProteinGroups!B:B,0))</f>
        <v>8</v>
      </c>
      <c r="B354" s="1" t="s">
        <v>651</v>
      </c>
      <c r="C354" t="str">
        <f>VLOOKUP(B354,CoreProteinGroups!$B:$C,2,FALSE)</f>
        <v>P4b</v>
      </c>
      <c r="D354" t="s">
        <v>660</v>
      </c>
      <c r="E354" s="6" t="str">
        <f t="shared" si="5"/>
        <v>PROT:ANS71181.1</v>
      </c>
      <c r="F354" t="s">
        <v>661</v>
      </c>
      <c r="G354" t="s">
        <v>21</v>
      </c>
      <c r="H354" t="s">
        <v>2682</v>
      </c>
      <c r="I354" t="str">
        <f>INDEX(Genomes!$I:$I,(MATCH(AllProteins!H354,Genomes!$B:$B,0)))</f>
        <v>KU980965-pteropox_virus</v>
      </c>
      <c r="J354">
        <f>INDEX(Genomes!$A:$A,(MATCH(AllProteins!H354,Genomes!$B:$B,0)))</f>
        <v>40</v>
      </c>
      <c r="K354" t="str">
        <f>INDEX(Genomes!$J:$J,(MATCH(AllProteins!H354,Genomes!$B:$B,0)))</f>
        <v>Y</v>
      </c>
    </row>
    <row r="355" spans="1:11" x14ac:dyDescent="0.2">
      <c r="A355">
        <f>INDEX(CoreProteinGroups!A:A,MATCH(B355,CoreProteinGroups!B:B,0))</f>
        <v>8</v>
      </c>
      <c r="B355" s="1" t="s">
        <v>651</v>
      </c>
      <c r="C355" t="str">
        <f>VLOOKUP(B355,CoreProteinGroups!$B:$C,2,FALSE)</f>
        <v>P4b</v>
      </c>
      <c r="D355" t="s">
        <v>662</v>
      </c>
      <c r="E355" s="6" t="str">
        <f t="shared" si="5"/>
        <v>PROT:AKR04225.1</v>
      </c>
      <c r="F355" t="s">
        <v>663</v>
      </c>
      <c r="G355" t="s">
        <v>24</v>
      </c>
      <c r="H355" t="s">
        <v>2687</v>
      </c>
      <c r="I355" t="str">
        <f>INDEX(Genomes!$I:$I,(MATCH(AllProteins!H355,Genomes!$B:$B,0)))</f>
        <v>KT159937-salmon_gill_poxvirus</v>
      </c>
      <c r="J355">
        <f>INDEX(Genomes!$A:$A,(MATCH(AllProteins!H355,Genomes!$B:$B,0)))</f>
        <v>46</v>
      </c>
      <c r="K355" t="str">
        <f>INDEX(Genomes!$J:$J,(MATCH(AllProteins!H355,Genomes!$B:$B,0)))</f>
        <v>Y</v>
      </c>
    </row>
    <row r="356" spans="1:11" x14ac:dyDescent="0.2">
      <c r="A356">
        <f>INDEX(CoreProteinGroups!A:A,MATCH(B356,CoreProteinGroups!B:B,0))</f>
        <v>8</v>
      </c>
      <c r="B356" s="1" t="s">
        <v>651</v>
      </c>
      <c r="C356" t="str">
        <f>VLOOKUP(B356,CoreProteinGroups!$B:$C,2,FALSE)</f>
        <v>P4b</v>
      </c>
      <c r="D356" t="s">
        <v>664</v>
      </c>
      <c r="E356" s="6" t="str">
        <f t="shared" si="5"/>
        <v>PROT:CCD83274.1</v>
      </c>
      <c r="F356" t="s">
        <v>665</v>
      </c>
      <c r="G356" t="s">
        <v>27</v>
      </c>
      <c r="H356" t="s">
        <v>2689</v>
      </c>
      <c r="I356" t="str">
        <f>INDEX(Genomes!$I:$I,(MATCH(AllProteins!H356,Genomes!$B:$B,0)))</f>
        <v>HE601899-squirrelpox_virus</v>
      </c>
      <c r="J356">
        <f>INDEX(Genomes!$A:$A,(MATCH(AllProteins!H356,Genomes!$B:$B,0)))</f>
        <v>48</v>
      </c>
      <c r="K356" t="str">
        <f>INDEX(Genomes!$J:$J,(MATCH(AllProteins!H356,Genomes!$B:$B,0)))</f>
        <v>Y</v>
      </c>
    </row>
    <row r="357" spans="1:11" x14ac:dyDescent="0.2">
      <c r="A357">
        <f>INDEX(CoreProteinGroups!A:A,MATCH(B357,CoreProteinGroups!B:B,0))</f>
        <v>8</v>
      </c>
      <c r="B357" s="1" t="s">
        <v>651</v>
      </c>
      <c r="C357" t="str">
        <f>VLOOKUP(B357,CoreProteinGroups!$B:$C,2,FALSE)</f>
        <v>P4b</v>
      </c>
      <c r="D357" t="s">
        <v>666</v>
      </c>
      <c r="E357" s="6" t="str">
        <f t="shared" si="5"/>
        <v>PROT:ASK51300.1</v>
      </c>
      <c r="F357" t="s">
        <v>654</v>
      </c>
      <c r="G357" t="s">
        <v>30</v>
      </c>
      <c r="H357" t="s">
        <v>2664</v>
      </c>
      <c r="I357" t="str">
        <f>INDEX(Genomes!$I:$I,(MATCH(AllProteins!H357,Genomes!$B:$B,0)))</f>
        <v>KY747497-eptesipox_virus</v>
      </c>
      <c r="J357">
        <f>INDEX(Genomes!$A:$A,(MATCH(AllProteins!H357,Genomes!$B:$B,0)))</f>
        <v>19</v>
      </c>
      <c r="K357" t="str">
        <f>INDEX(Genomes!$J:$J,(MATCH(AllProteins!H357,Genomes!$B:$B,0)))</f>
        <v>Y</v>
      </c>
    </row>
    <row r="358" spans="1:11" x14ac:dyDescent="0.2">
      <c r="A358">
        <f>INDEX(CoreProteinGroups!A:A,MATCH(B358,CoreProteinGroups!B:B,0))</f>
        <v>8</v>
      </c>
      <c r="B358" s="1" t="s">
        <v>651</v>
      </c>
      <c r="C358" t="str">
        <f>VLOOKUP(B358,CoreProteinGroups!$B:$C,2,FALSE)</f>
        <v>P4b</v>
      </c>
      <c r="D358" t="s">
        <v>667</v>
      </c>
      <c r="E358" s="6" t="str">
        <f t="shared" si="5"/>
        <v>PROT:AUD40274.1</v>
      </c>
      <c r="F358" t="s">
        <v>668</v>
      </c>
      <c r="G358" t="s">
        <v>32</v>
      </c>
      <c r="H358" t="s">
        <v>2665</v>
      </c>
      <c r="I358" t="str">
        <f>INDEX(Genomes!$I:$I,(MATCH(AllProteins!H358,Genomes!$B:$B,0)))</f>
        <v>MF678796-flamingopox_virus</v>
      </c>
      <c r="J358">
        <f>INDEX(Genomes!$A:$A,(MATCH(AllProteins!H358,Genomes!$B:$B,0)))</f>
        <v>20</v>
      </c>
      <c r="K358" t="str">
        <f>INDEX(Genomes!$J:$J,(MATCH(AllProteins!H358,Genomes!$B:$B,0)))</f>
        <v>Y</v>
      </c>
    </row>
    <row r="359" spans="1:11" x14ac:dyDescent="0.2">
      <c r="A359">
        <f>INDEX(CoreProteinGroups!A:A,MATCH(B359,CoreProteinGroups!B:B,0))</f>
        <v>8</v>
      </c>
      <c r="B359" s="1" t="s">
        <v>651</v>
      </c>
      <c r="C359" t="str">
        <f>VLOOKUP(B359,CoreProteinGroups!$B:$C,2,FALSE)</f>
        <v>P4b</v>
      </c>
      <c r="D359" t="s">
        <v>669</v>
      </c>
      <c r="E359" s="6" t="str">
        <f t="shared" si="5"/>
        <v>PROT:AID46905.1</v>
      </c>
      <c r="F359" t="s">
        <v>668</v>
      </c>
      <c r="G359" t="s">
        <v>34</v>
      </c>
      <c r="H359" t="s">
        <v>2681</v>
      </c>
      <c r="I359" t="str">
        <f>INDEX(Genomes!$I:$I,(MATCH(AllProteins!H359,Genomes!$B:$B,0)))</f>
        <v>KJ859677-penguinpox_virus</v>
      </c>
      <c r="J359">
        <f>INDEX(Genomes!$A:$A,(MATCH(AllProteins!H359,Genomes!$B:$B,0)))</f>
        <v>39</v>
      </c>
      <c r="K359" t="str">
        <f>INDEX(Genomes!$J:$J,(MATCH(AllProteins!H359,Genomes!$B:$B,0)))</f>
        <v>Y</v>
      </c>
    </row>
    <row r="360" spans="1:11" x14ac:dyDescent="0.2">
      <c r="A360">
        <f>INDEX(CoreProteinGroups!A:A,MATCH(B360,CoreProteinGroups!B:B,0))</f>
        <v>8</v>
      </c>
      <c r="B360" s="1" t="s">
        <v>651</v>
      </c>
      <c r="C360" t="str">
        <f>VLOOKUP(B360,CoreProteinGroups!$B:$C,2,FALSE)</f>
        <v>P4b</v>
      </c>
      <c r="D360" t="s">
        <v>670</v>
      </c>
      <c r="E360" s="6" t="str">
        <f t="shared" si="5"/>
        <v>PROT:AID46674.1</v>
      </c>
      <c r="F360" t="s">
        <v>668</v>
      </c>
      <c r="G360" t="s">
        <v>36</v>
      </c>
      <c r="H360" t="s">
        <v>2680</v>
      </c>
      <c r="I360" t="str">
        <f>INDEX(Genomes!$I:$I,(MATCH(AllProteins!H360,Genomes!$B:$B,0)))</f>
        <v>KJ801920-pigeonpox_virus</v>
      </c>
      <c r="J360">
        <f>INDEX(Genomes!$A:$A,(MATCH(AllProteins!H360,Genomes!$B:$B,0)))</f>
        <v>38</v>
      </c>
      <c r="K360" t="str">
        <f>INDEX(Genomes!$J:$J,(MATCH(AllProteins!H360,Genomes!$B:$B,0)))</f>
        <v>Y</v>
      </c>
    </row>
    <row r="361" spans="1:11" x14ac:dyDescent="0.2">
      <c r="A361">
        <f>INDEX(CoreProteinGroups!A:A,MATCH(B361,CoreProteinGroups!B:B,0))</f>
        <v>8</v>
      </c>
      <c r="B361" s="1" t="s">
        <v>651</v>
      </c>
      <c r="C361" t="str">
        <f>VLOOKUP(B361,CoreProteinGroups!$B:$C,2,FALSE)</f>
        <v>P4b</v>
      </c>
      <c r="D361" t="s">
        <v>671</v>
      </c>
      <c r="E361" s="6" t="str">
        <f t="shared" si="5"/>
        <v>PROT:ALA62496.1</v>
      </c>
      <c r="F361" t="s">
        <v>668</v>
      </c>
      <c r="G361" t="s">
        <v>39</v>
      </c>
      <c r="H361" t="s">
        <v>2692</v>
      </c>
      <c r="I361" t="str">
        <f>INDEX(Genomes!$I:$I,(MATCH(AllProteins!H361,Genomes!$B:$B,0)))</f>
        <v>KP728110-turkeypox_virus</v>
      </c>
      <c r="J361">
        <f>INDEX(Genomes!$A:$A,(MATCH(AllProteins!H361,Genomes!$B:$B,0)))</f>
        <v>51</v>
      </c>
      <c r="K361" t="str">
        <f>INDEX(Genomes!$J:$J,(MATCH(AllProteins!H361,Genomes!$B:$B,0)))</f>
        <v>Y</v>
      </c>
    </row>
    <row r="362" spans="1:11" x14ac:dyDescent="0.2">
      <c r="A362">
        <f>INDEX(CoreProteinGroups!A:A,MATCH(B362,CoreProteinGroups!B:B,0))</f>
        <v>8</v>
      </c>
      <c r="B362" s="1" t="s">
        <v>651</v>
      </c>
      <c r="C362" t="str">
        <f>VLOOKUP(B362,CoreProteinGroups!$B:$C,2,FALSE)</f>
        <v>P4b</v>
      </c>
      <c r="D362" t="s">
        <v>672</v>
      </c>
      <c r="E362" s="6" t="str">
        <f t="shared" si="5"/>
        <v>PROT:AAR83586.1</v>
      </c>
      <c r="F362" t="s">
        <v>673</v>
      </c>
      <c r="G362" t="s">
        <v>42</v>
      </c>
      <c r="H362" t="s">
        <v>2657</v>
      </c>
      <c r="I362" t="str">
        <f>INDEX(Genomes!$I:$I,(MATCH(AllProteins!H362,Genomes!$B:$B,0)))</f>
        <v>AY318871-canarypox_virus</v>
      </c>
      <c r="J362">
        <f>INDEX(Genomes!$A:$A,(MATCH(AllProteins!H362,Genomes!$B:$B,0)))</f>
        <v>11</v>
      </c>
      <c r="K362" t="str">
        <f>INDEX(Genomes!$J:$J,(MATCH(AllProteins!H362,Genomes!$B:$B,0)))</f>
        <v>Y</v>
      </c>
    </row>
    <row r="363" spans="1:11" x14ac:dyDescent="0.2">
      <c r="A363">
        <f>INDEX(CoreProteinGroups!A:A,MATCH(B363,CoreProteinGroups!B:B,0))</f>
        <v>8</v>
      </c>
      <c r="B363" s="1" t="s">
        <v>651</v>
      </c>
      <c r="C363" t="str">
        <f>VLOOKUP(B363,CoreProteinGroups!$B:$C,2,FALSE)</f>
        <v>P4b</v>
      </c>
      <c r="D363" t="s">
        <v>674</v>
      </c>
      <c r="E363" s="6" t="str">
        <f t="shared" si="5"/>
        <v>PROT:AAF44511.1</v>
      </c>
      <c r="F363" t="s">
        <v>675</v>
      </c>
      <c r="G363" t="s">
        <v>45</v>
      </c>
      <c r="H363" t="s">
        <v>2666</v>
      </c>
      <c r="I363" t="str">
        <f>INDEX(Genomes!$I:$I,(MATCH(AllProteins!H363,Genomes!$B:$B,0)))</f>
        <v>AF198100-fowlpox_virus</v>
      </c>
      <c r="J363">
        <f>INDEX(Genomes!$A:$A,(MATCH(AllProteins!H363,Genomes!$B:$B,0)))</f>
        <v>21</v>
      </c>
      <c r="K363" t="str">
        <f>INDEX(Genomes!$J:$J,(MATCH(AllProteins!H363,Genomes!$B:$B,0)))</f>
        <v>Y</v>
      </c>
    </row>
    <row r="364" spans="1:11" x14ac:dyDescent="0.2">
      <c r="A364">
        <f>INDEX(CoreProteinGroups!A:A,MATCH(B364,CoreProteinGroups!B:B,0))</f>
        <v>8</v>
      </c>
      <c r="B364" s="1" t="s">
        <v>651</v>
      </c>
      <c r="C364" t="str">
        <f>VLOOKUP(B364,CoreProteinGroups!$B:$C,2,FALSE)</f>
        <v>P4b</v>
      </c>
      <c r="D364" t="s">
        <v>676</v>
      </c>
      <c r="E364" s="6" t="str">
        <f t="shared" si="5"/>
        <v>PROT:AAK85055.1</v>
      </c>
      <c r="F364" t="s">
        <v>677</v>
      </c>
      <c r="G364" t="s">
        <v>48</v>
      </c>
      <c r="H364" t="s">
        <v>2669</v>
      </c>
      <c r="I364" t="str">
        <f>INDEX(Genomes!$I:$I,(MATCH(AllProteins!H364,Genomes!$B:$B,0)))</f>
        <v>AF325528-lumpy_skin_disease_virus</v>
      </c>
      <c r="J364">
        <f>INDEX(Genomes!$A:$A,(MATCH(AllProteins!H364,Genomes!$B:$B,0)))</f>
        <v>25</v>
      </c>
      <c r="K364" t="str">
        <f>INDEX(Genomes!$J:$J,(MATCH(AllProteins!H364,Genomes!$B:$B,0)))</f>
        <v>Y</v>
      </c>
    </row>
    <row r="365" spans="1:11" x14ac:dyDescent="0.2">
      <c r="A365">
        <f>INDEX(CoreProteinGroups!A:A,MATCH(B365,CoreProteinGroups!B:B,0))</f>
        <v>8</v>
      </c>
      <c r="B365" s="1" t="s">
        <v>651</v>
      </c>
      <c r="C365" t="str">
        <f>VLOOKUP(B365,CoreProteinGroups!$B:$C,2,FALSE)</f>
        <v>P4b</v>
      </c>
      <c r="D365" t="s">
        <v>678</v>
      </c>
      <c r="E365" s="6" t="str">
        <f t="shared" si="5"/>
        <v>PROT:AST09313.1</v>
      </c>
      <c r="F365" t="s">
        <v>679</v>
      </c>
      <c r="G365" t="s">
        <v>50</v>
      </c>
      <c r="H365" t="s">
        <v>2671</v>
      </c>
      <c r="I365" t="str">
        <f>INDEX(Genomes!$I:$I,(MATCH(AllProteins!H365,Genomes!$B:$B,0)))</f>
        <v>MF001304-Murmansk_poxvirus</v>
      </c>
      <c r="J365">
        <f>INDEX(Genomes!$A:$A,(MATCH(AllProteins!H365,Genomes!$B:$B,0)))</f>
        <v>27</v>
      </c>
      <c r="K365" t="str">
        <f>INDEX(Genomes!$J:$J,(MATCH(AllProteins!H365,Genomes!$B:$B,0)))</f>
        <v>Y</v>
      </c>
    </row>
    <row r="366" spans="1:11" x14ac:dyDescent="0.2">
      <c r="A366">
        <f>INDEX(CoreProteinGroups!A:A,MATCH(B366,CoreProteinGroups!B:B,0))</f>
        <v>8</v>
      </c>
      <c r="B366" s="1" t="s">
        <v>651</v>
      </c>
      <c r="C366" t="str">
        <f>VLOOKUP(B366,CoreProteinGroups!$B:$C,2,FALSE)</f>
        <v>P4b</v>
      </c>
      <c r="D366" t="s">
        <v>680</v>
      </c>
      <c r="E366" s="6" t="str">
        <f t="shared" si="5"/>
        <v>PROT:AEN03693.1</v>
      </c>
      <c r="F366" t="s">
        <v>679</v>
      </c>
      <c r="G366" t="s">
        <v>52</v>
      </c>
      <c r="H366" t="s">
        <v>2698</v>
      </c>
      <c r="I366" t="str">
        <f>INDEX(Genomes!$I:$I,(MATCH(AllProteins!H366,Genomes!$B:$B,0)))</f>
        <v>HQ849551-yokapox_virus</v>
      </c>
      <c r="J366">
        <f>INDEX(Genomes!$A:$A,(MATCH(AllProteins!H366,Genomes!$B:$B,0)))</f>
        <v>57</v>
      </c>
      <c r="K366" t="str">
        <f>INDEX(Genomes!$J:$J,(MATCH(AllProteins!H366,Genomes!$B:$B,0)))</f>
        <v>Y</v>
      </c>
    </row>
    <row r="367" spans="1:11" x14ac:dyDescent="0.2">
      <c r="A367">
        <f>INDEX(CoreProteinGroups!A:A,MATCH(B367,CoreProteinGroups!B:B,0))</f>
        <v>8</v>
      </c>
      <c r="B367" s="1" t="s">
        <v>651</v>
      </c>
      <c r="C367" t="str">
        <f>VLOOKUP(B367,CoreProteinGroups!$B:$C,2,FALSE)</f>
        <v>P4b</v>
      </c>
      <c r="D367" t="s">
        <v>681</v>
      </c>
      <c r="E367" s="6" t="str">
        <f t="shared" si="5"/>
        <v>PROT:ABI99258.1</v>
      </c>
      <c r="F367" t="s">
        <v>668</v>
      </c>
      <c r="G367" t="s">
        <v>54</v>
      </c>
      <c r="H367" t="s">
        <v>2661</v>
      </c>
      <c r="I367" t="str">
        <f>INDEX(Genomes!$I:$I,(MATCH(AllProteins!H367,Genomes!$B:$B,0)))</f>
        <v>AY689436-mule_deerpox_virus</v>
      </c>
      <c r="J367">
        <f>INDEX(Genomes!$A:$A,(MATCH(AllProteins!H367,Genomes!$B:$B,0)))</f>
        <v>15</v>
      </c>
      <c r="K367" t="str">
        <f>INDEX(Genomes!$J:$J,(MATCH(AllProteins!H367,Genomes!$B:$B,0)))</f>
        <v>Y</v>
      </c>
    </row>
    <row r="368" spans="1:11" x14ac:dyDescent="0.2">
      <c r="A368">
        <f>INDEX(CoreProteinGroups!A:A,MATCH(B368,CoreProteinGroups!B:B,0))</f>
        <v>8</v>
      </c>
      <c r="B368" s="1" t="s">
        <v>651</v>
      </c>
      <c r="C368" t="str">
        <f>VLOOKUP(B368,CoreProteinGroups!$B:$C,2,FALSE)</f>
        <v>P4b</v>
      </c>
      <c r="D368" t="s">
        <v>682</v>
      </c>
      <c r="E368" s="6" t="str">
        <f t="shared" si="5"/>
        <v>PROT:ABJ09015.1</v>
      </c>
      <c r="F368" t="s">
        <v>668</v>
      </c>
      <c r="G368" t="s">
        <v>56</v>
      </c>
      <c r="H368" t="s">
        <v>2677</v>
      </c>
      <c r="I368" t="str">
        <f>INDEX(Genomes!$I:$I,(MATCH(AllProteins!H368,Genomes!$B:$B,0)))</f>
        <v>DQ356948-Nile_crocodilepox_virus</v>
      </c>
      <c r="J368">
        <f>INDEX(Genomes!$A:$A,(MATCH(AllProteins!H368,Genomes!$B:$B,0)))</f>
        <v>34</v>
      </c>
      <c r="K368" t="str">
        <f>INDEX(Genomes!$J:$J,(MATCH(AllProteins!H368,Genomes!$B:$B,0)))</f>
        <v>Y</v>
      </c>
    </row>
    <row r="369" spans="1:11" x14ac:dyDescent="0.2">
      <c r="A369">
        <f>INDEX(CoreProteinGroups!A:A,MATCH(B369,CoreProteinGroups!B:B,0))</f>
        <v>8</v>
      </c>
      <c r="B369" s="1" t="s">
        <v>651</v>
      </c>
      <c r="C369" t="str">
        <f>VLOOKUP(B369,CoreProteinGroups!$B:$C,2,FALSE)</f>
        <v>P4b</v>
      </c>
      <c r="D369" t="s">
        <v>683</v>
      </c>
      <c r="E369" s="6" t="str">
        <f t="shared" si="5"/>
        <v>PROT:AAF14980.1</v>
      </c>
      <c r="F369" t="s">
        <v>684</v>
      </c>
      <c r="G369" t="s">
        <v>2584</v>
      </c>
      <c r="H369" t="s">
        <v>2676</v>
      </c>
      <c r="I369" t="str">
        <f>INDEX(Genomes!$I:$I,(MATCH(AllProteins!H369,Genomes!$B:$B,0)))</f>
        <v>AF170726-myxoma_virus</v>
      </c>
      <c r="J369">
        <f>INDEX(Genomes!$A:$A,(MATCH(AllProteins!H369,Genomes!$B:$B,0)))</f>
        <v>32</v>
      </c>
      <c r="K369" t="str">
        <f>INDEX(Genomes!$J:$J,(MATCH(AllProteins!H369,Genomes!$B:$B,0)))</f>
        <v>Y</v>
      </c>
    </row>
    <row r="370" spans="1:11" x14ac:dyDescent="0.2">
      <c r="A370">
        <f>INDEX(CoreProteinGroups!A:A,MATCH(B370,CoreProteinGroups!B:B,0))</f>
        <v>8</v>
      </c>
      <c r="B370" s="1" t="s">
        <v>651</v>
      </c>
      <c r="C370" t="str">
        <f>VLOOKUP(B370,CoreProteinGroups!$B:$C,2,FALSE)</f>
        <v>P4b</v>
      </c>
      <c r="D370" t="s">
        <v>685</v>
      </c>
      <c r="E370" s="6" t="str">
        <f t="shared" si="5"/>
        <v>PROT:AFU77356.1</v>
      </c>
      <c r="F370" t="s">
        <v>684</v>
      </c>
      <c r="G370" t="s">
        <v>2553</v>
      </c>
      <c r="H370" t="s">
        <v>2646</v>
      </c>
      <c r="I370" t="str">
        <f>INDEX(Genomes!$I:$I,(MATCH(AllProteins!H370,Genomes!$B:$B,0)))</f>
        <v>JX565564-myxoma_virus_isolate_BRK_897</v>
      </c>
      <c r="J370">
        <f>INDEX(Genomes!$A:$A,(MATCH(AllProteins!H370,Genomes!$B:$B,0)))</f>
        <v>33</v>
      </c>
      <c r="K370" t="str">
        <f>INDEX(Genomes!$J:$J,(MATCH(AllProteins!H370,Genomes!$B:$B,0)))</f>
        <v>N</v>
      </c>
    </row>
    <row r="371" spans="1:11" x14ac:dyDescent="0.2">
      <c r="A371">
        <f>INDEX(CoreProteinGroups!A:A,MATCH(B371,CoreProteinGroups!B:B,0))</f>
        <v>8</v>
      </c>
      <c r="B371" s="1" t="s">
        <v>651</v>
      </c>
      <c r="C371" t="str">
        <f>VLOOKUP(B371,CoreProteinGroups!$B:$C,2,FALSE)</f>
        <v>P4b</v>
      </c>
      <c r="D371" t="s">
        <v>686</v>
      </c>
      <c r="E371" s="6" t="str">
        <f t="shared" si="5"/>
        <v>PROT:AAF17976.1</v>
      </c>
      <c r="F371" t="s">
        <v>687</v>
      </c>
      <c r="G371" t="s">
        <v>62</v>
      </c>
      <c r="H371" t="s">
        <v>2685</v>
      </c>
      <c r="I371" t="str">
        <f>INDEX(Genomes!$I:$I,(MATCH(AllProteins!H371,Genomes!$B:$B,0)))</f>
        <v>AF170722-rabbit_fibroma_virus</v>
      </c>
      <c r="J371">
        <f>INDEX(Genomes!$A:$A,(MATCH(AllProteins!H371,Genomes!$B:$B,0)))</f>
        <v>43</v>
      </c>
      <c r="K371" t="str">
        <f>INDEX(Genomes!$J:$J,(MATCH(AllProteins!H371,Genomes!$B:$B,0)))</f>
        <v>Y</v>
      </c>
    </row>
    <row r="372" spans="1:11" x14ac:dyDescent="0.2">
      <c r="A372">
        <f>INDEX(CoreProteinGroups!A:A,MATCH(B372,CoreProteinGroups!B:B,0))</f>
        <v>8</v>
      </c>
      <c r="B372" s="1" t="s">
        <v>651</v>
      </c>
      <c r="C372" t="str">
        <f>VLOOKUP(B372,CoreProteinGroups!$B:$C,2,FALSE)</f>
        <v>P4b</v>
      </c>
      <c r="D372" t="s">
        <v>688</v>
      </c>
      <c r="E372" s="6" t="str">
        <f t="shared" si="5"/>
        <v>PROT:AAC55234.1</v>
      </c>
      <c r="F372" t="s">
        <v>689</v>
      </c>
      <c r="G372" t="s">
        <v>65</v>
      </c>
      <c r="H372" t="s">
        <v>2670</v>
      </c>
      <c r="I372" t="str">
        <f>INDEX(Genomes!$I:$I,(MATCH(AllProteins!H372,Genomes!$B:$B,0)))</f>
        <v>U60315-molluscum_contagiosum_virus</v>
      </c>
      <c r="J372">
        <f>INDEX(Genomes!$A:$A,(MATCH(AllProteins!H372,Genomes!$B:$B,0)))</f>
        <v>26</v>
      </c>
      <c r="K372" t="str">
        <f>INDEX(Genomes!$J:$J,(MATCH(AllProteins!H372,Genomes!$B:$B,0)))</f>
        <v>Y</v>
      </c>
    </row>
    <row r="373" spans="1:11" x14ac:dyDescent="0.2">
      <c r="A373">
        <f>INDEX(CoreProteinGroups!A:A,MATCH(B373,CoreProteinGroups!B:B,0))</f>
        <v>8</v>
      </c>
      <c r="B373" s="1" t="s">
        <v>651</v>
      </c>
      <c r="C373" t="str">
        <f>VLOOKUP(B373,CoreProteinGroups!$B:$C,2,FALSE)</f>
        <v>P4b</v>
      </c>
      <c r="D373" t="s">
        <v>690</v>
      </c>
      <c r="E373" s="6" t="str">
        <f t="shared" si="5"/>
        <v>PROT:AYN64688.1</v>
      </c>
      <c r="F373" t="s">
        <v>691</v>
      </c>
      <c r="G373" t="s">
        <v>68</v>
      </c>
      <c r="H373" t="s">
        <v>2647</v>
      </c>
      <c r="I373" t="str">
        <f>INDEX(Genomes!$I:$I,(MATCH(AllProteins!H373,Genomes!$B:$B,0)))</f>
        <v>MH816996-orthopoxvirus_abatino</v>
      </c>
      <c r="J373">
        <f>INDEX(Genomes!$A:$A,(MATCH(AllProteins!H373,Genomes!$B:$B,0)))</f>
        <v>1</v>
      </c>
      <c r="K373" t="str">
        <f>INDEX(Genomes!$J:$J,(MATCH(AllProteins!H373,Genomes!$B:$B,0)))</f>
        <v>Y</v>
      </c>
    </row>
    <row r="374" spans="1:11" x14ac:dyDescent="0.2">
      <c r="A374">
        <f>INDEX(CoreProteinGroups!A:A,MATCH(B374,CoreProteinGroups!B:B,0))</f>
        <v>8</v>
      </c>
      <c r="B374" s="1" t="s">
        <v>651</v>
      </c>
      <c r="C374" t="str">
        <f>VLOOKUP(B374,CoreProteinGroups!$B:$C,2,FALSE)</f>
        <v>P4b</v>
      </c>
      <c r="D374" t="s">
        <v>692</v>
      </c>
      <c r="E374" s="6" t="str">
        <f t="shared" si="5"/>
        <v>PROT:AXN74917.1</v>
      </c>
      <c r="F374" t="s">
        <v>654</v>
      </c>
      <c r="G374" t="s">
        <v>70</v>
      </c>
      <c r="H374" t="s">
        <v>2650</v>
      </c>
      <c r="I374" t="str">
        <f>INDEX(Genomes!$I:$I,(MATCH(AllProteins!H374,Genomes!$B:$B,0)))</f>
        <v>MH607141-Akhmeta_virus</v>
      </c>
      <c r="J374">
        <f>INDEX(Genomes!$A:$A,(MATCH(AllProteins!H374,Genomes!$B:$B,0)))</f>
        <v>4</v>
      </c>
      <c r="K374" t="str">
        <f>INDEX(Genomes!$J:$J,(MATCH(AllProteins!H374,Genomes!$B:$B,0)))</f>
        <v>Y</v>
      </c>
    </row>
    <row r="375" spans="1:11" x14ac:dyDescent="0.2">
      <c r="A375">
        <f>INDEX(CoreProteinGroups!A:A,MATCH(B375,CoreProteinGroups!B:B,0))</f>
        <v>8</v>
      </c>
      <c r="B375" s="1" t="s">
        <v>651</v>
      </c>
      <c r="C375" t="str">
        <f>VLOOKUP(B375,CoreProteinGroups!$B:$C,2,FALSE)</f>
        <v>P4b</v>
      </c>
      <c r="D375" t="s">
        <v>693</v>
      </c>
      <c r="E375" s="6" t="str">
        <f t="shared" si="5"/>
        <v>PROT:ABH08229.1</v>
      </c>
      <c r="F375" t="s">
        <v>694</v>
      </c>
      <c r="G375" t="s">
        <v>73</v>
      </c>
      <c r="H375" t="s">
        <v>2668</v>
      </c>
      <c r="I375" t="str">
        <f>INDEX(Genomes!$I:$I,(MATCH(AllProteins!H375,Genomes!$B:$B,0)))</f>
        <v>DQ792504-horsepox_virus</v>
      </c>
      <c r="J375">
        <f>INDEX(Genomes!$A:$A,(MATCH(AllProteins!H375,Genomes!$B:$B,0)))</f>
        <v>24</v>
      </c>
      <c r="K375" t="str">
        <f>INDEX(Genomes!$J:$J,(MATCH(AllProteins!H375,Genomes!$B:$B,0)))</f>
        <v>Y</v>
      </c>
    </row>
    <row r="376" spans="1:11" x14ac:dyDescent="0.2">
      <c r="A376">
        <f>INDEX(CoreProteinGroups!A:A,MATCH(B376,CoreProteinGroups!B:B,0))</f>
        <v>8</v>
      </c>
      <c r="B376" s="1" t="s">
        <v>651</v>
      </c>
      <c r="C376" t="str">
        <f>VLOOKUP(B376,CoreProteinGroups!$B:$C,2,FALSE)</f>
        <v>P4b</v>
      </c>
      <c r="D376" t="s">
        <v>695</v>
      </c>
      <c r="E376" s="6" t="str">
        <f t="shared" si="5"/>
        <v>PROT:AAG37602.1</v>
      </c>
      <c r="F376" t="s">
        <v>696</v>
      </c>
      <c r="G376" t="s">
        <v>76</v>
      </c>
      <c r="H376" t="s">
        <v>2655</v>
      </c>
      <c r="I376" t="str">
        <f>INDEX(Genomes!$I:$I,(MATCH(AllProteins!H376,Genomes!$B:$B,0)))</f>
        <v>AY009089-camelpox_virus_CMS</v>
      </c>
      <c r="J376">
        <f>INDEX(Genomes!$A:$A,(MATCH(AllProteins!H376,Genomes!$B:$B,0)))</f>
        <v>9</v>
      </c>
      <c r="K376" t="str">
        <f>INDEX(Genomes!$J:$J,(MATCH(AllProteins!H376,Genomes!$B:$B,0)))</f>
        <v>N</v>
      </c>
    </row>
    <row r="377" spans="1:11" x14ac:dyDescent="0.2">
      <c r="A377">
        <f>INDEX(CoreProteinGroups!A:A,MATCH(B377,CoreProteinGroups!B:B,0))</f>
        <v>8</v>
      </c>
      <c r="B377" s="1" t="s">
        <v>651</v>
      </c>
      <c r="C377" t="str">
        <f>VLOOKUP(B377,CoreProteinGroups!$B:$C,2,FALSE)</f>
        <v>P4b</v>
      </c>
      <c r="D377" t="s">
        <v>697</v>
      </c>
      <c r="E377" s="6" t="str">
        <f t="shared" si="5"/>
        <v>PROT:AAL73827.1</v>
      </c>
      <c r="F377" t="s">
        <v>698</v>
      </c>
      <c r="G377" t="s">
        <v>79</v>
      </c>
      <c r="H377" t="s">
        <v>2654</v>
      </c>
      <c r="I377" t="str">
        <f>INDEX(Genomes!$I:$I,(MATCH(AllProteins!H377,Genomes!$B:$B,0)))</f>
        <v>AF438165-camelpox_virus</v>
      </c>
      <c r="J377">
        <f>INDEX(Genomes!$A:$A,(MATCH(AllProteins!H377,Genomes!$B:$B,0)))</f>
        <v>8</v>
      </c>
      <c r="K377" t="str">
        <f>INDEX(Genomes!$J:$J,(MATCH(AllProteins!H377,Genomes!$B:$B,0)))</f>
        <v>Y</v>
      </c>
    </row>
    <row r="378" spans="1:11" x14ac:dyDescent="0.2">
      <c r="A378">
        <f>INDEX(CoreProteinGroups!A:A,MATCH(B378,CoreProteinGroups!B:B,0))</f>
        <v>8</v>
      </c>
      <c r="B378" s="1" t="s">
        <v>651</v>
      </c>
      <c r="C378" t="str">
        <f>VLOOKUP(B378,CoreProteinGroups!$B:$C,2,FALSE)</f>
        <v>P4b</v>
      </c>
      <c r="D378" t="s">
        <v>699</v>
      </c>
      <c r="E378" s="6" t="str">
        <f t="shared" si="5"/>
        <v>PROT:AAM13576.1</v>
      </c>
      <c r="F378" t="s">
        <v>700</v>
      </c>
      <c r="G378" t="s">
        <v>82</v>
      </c>
      <c r="H378" t="s">
        <v>2659</v>
      </c>
      <c r="I378" t="str">
        <f>INDEX(Genomes!$I:$I,(MATCH(AllProteins!H378,Genomes!$B:$B,0)))</f>
        <v>AF482758-cowpox_virus</v>
      </c>
      <c r="J378">
        <f>INDEX(Genomes!$A:$A,(MATCH(AllProteins!H378,Genomes!$B:$B,0)))</f>
        <v>13</v>
      </c>
      <c r="K378" t="str">
        <f>INDEX(Genomes!$J:$J,(MATCH(AllProteins!H378,Genomes!$B:$B,0)))</f>
        <v>Y</v>
      </c>
    </row>
    <row r="379" spans="1:11" x14ac:dyDescent="0.2">
      <c r="A379">
        <f>INDEX(CoreProteinGroups!A:A,MATCH(B379,CoreProteinGroups!B:B,0))</f>
        <v>8</v>
      </c>
      <c r="B379" s="1" t="s">
        <v>651</v>
      </c>
      <c r="C379" t="str">
        <f>VLOOKUP(B379,CoreProteinGroups!$B:$C,2,FALSE)</f>
        <v>P4b</v>
      </c>
      <c r="D379" t="s">
        <v>701</v>
      </c>
      <c r="E379" s="6" t="str">
        <f t="shared" si="5"/>
        <v>PROT:AAM92410.1</v>
      </c>
      <c r="F379" t="s">
        <v>702</v>
      </c>
      <c r="G379" t="s">
        <v>85</v>
      </c>
      <c r="H379" t="s">
        <v>2662</v>
      </c>
      <c r="I379" t="str">
        <f>INDEX(Genomes!$I:$I,(MATCH(AllProteins!H379,Genomes!$B:$B,0)))</f>
        <v>AF012825-ectromelia_virus</v>
      </c>
      <c r="J379">
        <f>INDEX(Genomes!$A:$A,(MATCH(AllProteins!H379,Genomes!$B:$B,0)))</f>
        <v>16</v>
      </c>
      <c r="K379" t="str">
        <f>INDEX(Genomes!$J:$J,(MATCH(AllProteins!H379,Genomes!$B:$B,0)))</f>
        <v>Y</v>
      </c>
    </row>
    <row r="380" spans="1:11" x14ac:dyDescent="0.2">
      <c r="A380">
        <f>INDEX(CoreProteinGroups!A:A,MATCH(B380,CoreProteinGroups!B:B,0))</f>
        <v>8</v>
      </c>
      <c r="B380" s="1" t="s">
        <v>651</v>
      </c>
      <c r="C380" t="str">
        <f>VLOOKUP(B380,CoreProteinGroups!$B:$C,2,FALSE)</f>
        <v>P4b</v>
      </c>
      <c r="D380" t="s">
        <v>703</v>
      </c>
      <c r="E380" s="6" t="str">
        <f t="shared" si="5"/>
        <v>PROT:AFH54669.1</v>
      </c>
      <c r="F380" t="s">
        <v>704</v>
      </c>
      <c r="G380" t="s">
        <v>87</v>
      </c>
      <c r="H380" t="s">
        <v>2619</v>
      </c>
      <c r="I380" t="str">
        <f>INDEX(Genomes!$I:$I,(MATCH(AllProteins!H380,Genomes!$B:$B,0)))</f>
        <v>JQ410350-ectromelia_virus_strain_ERPV</v>
      </c>
      <c r="J380">
        <f>INDEX(Genomes!$A:$A,(MATCH(AllProteins!H380,Genomes!$B:$B,0)))</f>
        <v>17</v>
      </c>
      <c r="K380" t="str">
        <f>INDEX(Genomes!$J:$J,(MATCH(AllProteins!H380,Genomes!$B:$B,0)))</f>
        <v>N</v>
      </c>
    </row>
    <row r="381" spans="1:11" x14ac:dyDescent="0.2">
      <c r="A381">
        <f>INDEX(CoreProteinGroups!A:A,MATCH(B381,CoreProteinGroups!B:B,0))</f>
        <v>8</v>
      </c>
      <c r="B381" s="1" t="s">
        <v>651</v>
      </c>
      <c r="C381" t="str">
        <f>VLOOKUP(B381,CoreProteinGroups!$B:$C,2,FALSE)</f>
        <v>P4b</v>
      </c>
      <c r="D381" t="s">
        <v>705</v>
      </c>
      <c r="E381" s="6" t="str">
        <f t="shared" si="5"/>
        <v>PROT:AAL40572.1</v>
      </c>
      <c r="F381" t="s">
        <v>706</v>
      </c>
      <c r="G381" t="s">
        <v>90</v>
      </c>
      <c r="H381" t="s">
        <v>2673</v>
      </c>
      <c r="I381" t="str">
        <f>INDEX(Genomes!$I:$I,(MATCH(AllProteins!H381,Genomes!$B:$B,0)))</f>
        <v>AF380138-monkeypox_virus_(clade_I)</v>
      </c>
      <c r="J381">
        <f>INDEX(Genomes!$A:$A,(MATCH(AllProteins!H381,Genomes!$B:$B,0)))</f>
        <v>29</v>
      </c>
      <c r="K381" t="str">
        <f>INDEX(Genomes!$J:$J,(MATCH(AllProteins!H381,Genomes!$B:$B,0)))</f>
        <v>Y</v>
      </c>
    </row>
    <row r="382" spans="1:11" x14ac:dyDescent="0.2">
      <c r="A382">
        <f>INDEX(CoreProteinGroups!A:A,MATCH(B382,CoreProteinGroups!B:B,0))</f>
        <v>8</v>
      </c>
      <c r="B382" s="1" t="s">
        <v>651</v>
      </c>
      <c r="C382" t="str">
        <f>VLOOKUP(B382,CoreProteinGroups!$B:$C,2,FALSE)</f>
        <v>P4b</v>
      </c>
      <c r="D382" t="s">
        <v>707</v>
      </c>
      <c r="E382" s="6" t="str">
        <f t="shared" si="5"/>
        <v>PROT:AAX09209.1</v>
      </c>
      <c r="F382" t="s">
        <v>708</v>
      </c>
      <c r="G382" t="s">
        <v>93</v>
      </c>
      <c r="H382" t="s">
        <v>2672</v>
      </c>
      <c r="I382" t="str">
        <f>INDEX(Genomes!$I:$I,(MATCH(AllProteins!H382,Genomes!$B:$B,0)))</f>
        <v>AY753185-monkeypox_virus_(clade_IIa)</v>
      </c>
      <c r="J382">
        <f>INDEX(Genomes!$A:$A,(MATCH(AllProteins!H382,Genomes!$B:$B,0)))</f>
        <v>28</v>
      </c>
      <c r="K382" t="str">
        <f>INDEX(Genomes!$J:$J,(MATCH(AllProteins!H382,Genomes!$B:$B,0)))</f>
        <v>Y</v>
      </c>
    </row>
    <row r="383" spans="1:11" x14ac:dyDescent="0.2">
      <c r="A383">
        <f>INDEX(CoreProteinGroups!A:A,MATCH(B383,CoreProteinGroups!B:B,0))</f>
        <v>8</v>
      </c>
      <c r="B383" s="1" t="s">
        <v>651</v>
      </c>
      <c r="C383" t="str">
        <f>VLOOKUP(B383,CoreProteinGroups!$B:$C,2,FALSE)</f>
        <v>P4b</v>
      </c>
      <c r="D383" t="s">
        <v>709</v>
      </c>
      <c r="E383" s="6" t="str">
        <f t="shared" si="5"/>
        <v>PROT:AKJ93751.1</v>
      </c>
      <c r="F383" t="s">
        <v>654</v>
      </c>
      <c r="G383" t="s">
        <v>95</v>
      </c>
      <c r="H383" t="s">
        <v>2683</v>
      </c>
      <c r="I383" t="str">
        <f>INDEX(Genomes!$I:$I,(MATCH(AllProteins!H383,Genomes!$B:$B,0)))</f>
        <v>KP143769-raccoonpox_virus</v>
      </c>
      <c r="J383">
        <f>INDEX(Genomes!$A:$A,(MATCH(AllProteins!H383,Genomes!$B:$B,0)))</f>
        <v>41</v>
      </c>
      <c r="K383" t="str">
        <f>INDEX(Genomes!$J:$J,(MATCH(AllProteins!H383,Genomes!$B:$B,0)))</f>
        <v>Y</v>
      </c>
    </row>
    <row r="384" spans="1:11" x14ac:dyDescent="0.2">
      <c r="A384">
        <f>INDEX(CoreProteinGroups!A:A,MATCH(B384,CoreProteinGroups!B:B,0))</f>
        <v>8</v>
      </c>
      <c r="B384" s="1" t="s">
        <v>651</v>
      </c>
      <c r="C384" t="str">
        <f>VLOOKUP(B384,CoreProteinGroups!$B:$C,2,FALSE)</f>
        <v>P4b</v>
      </c>
      <c r="D384" t="s">
        <v>710</v>
      </c>
      <c r="E384" s="6" t="str">
        <f t="shared" si="5"/>
        <v>PROT:AOP31600.1</v>
      </c>
      <c r="F384" t="s">
        <v>661</v>
      </c>
      <c r="G384" t="s">
        <v>97</v>
      </c>
      <c r="H384" t="s">
        <v>2686</v>
      </c>
      <c r="I384" t="str">
        <f>INDEX(Genomes!$I:$I,(MATCH(AllProteins!H384,Genomes!$B:$B,0)))</f>
        <v>KU749310-skunkpox_virus</v>
      </c>
      <c r="J384">
        <f>INDEX(Genomes!$A:$A,(MATCH(AllProteins!H384,Genomes!$B:$B,0)))</f>
        <v>45</v>
      </c>
      <c r="K384" t="str">
        <f>INDEX(Genomes!$J:$J,(MATCH(AllProteins!H384,Genomes!$B:$B,0)))</f>
        <v>Y</v>
      </c>
    </row>
    <row r="385" spans="1:11" x14ac:dyDescent="0.2">
      <c r="A385">
        <f>INDEX(CoreProteinGroups!A:A,MATCH(B385,CoreProteinGroups!B:B,0))</f>
        <v>8</v>
      </c>
      <c r="B385" s="1" t="s">
        <v>651</v>
      </c>
      <c r="C385" t="str">
        <f>VLOOKUP(B385,CoreProteinGroups!$B:$C,2,FALSE)</f>
        <v>P4b</v>
      </c>
      <c r="D385" t="s">
        <v>711</v>
      </c>
      <c r="E385" s="6" t="str">
        <f t="shared" si="5"/>
        <v>PROT:ABD97690.1</v>
      </c>
      <c r="F385" t="s">
        <v>712</v>
      </c>
      <c r="G385" t="s">
        <v>99</v>
      </c>
      <c r="H385" t="s">
        <v>2691</v>
      </c>
      <c r="I385" t="str">
        <f>INDEX(Genomes!$I:$I,(MATCH(AllProteins!H385,Genomes!$B:$B,0)))</f>
        <v>DQ437594-taterapox_virus</v>
      </c>
      <c r="J385">
        <f>INDEX(Genomes!$A:$A,(MATCH(AllProteins!H385,Genomes!$B:$B,0)))</f>
        <v>50</v>
      </c>
      <c r="K385" t="str">
        <f>INDEX(Genomes!$J:$J,(MATCH(AllProteins!H385,Genomes!$B:$B,0)))</f>
        <v>Y</v>
      </c>
    </row>
    <row r="386" spans="1:11" x14ac:dyDescent="0.2">
      <c r="A386">
        <f>INDEX(CoreProteinGroups!A:A,MATCH(B386,CoreProteinGroups!B:B,0))</f>
        <v>8</v>
      </c>
      <c r="B386" s="1" t="s">
        <v>651</v>
      </c>
      <c r="C386" t="str">
        <f>VLOOKUP(B386,CoreProteinGroups!$B:$C,2,FALSE)</f>
        <v>P4b</v>
      </c>
      <c r="D386" t="s">
        <v>713</v>
      </c>
      <c r="E386" s="6" t="str">
        <f t="shared" ref="E386:E449" si="6">HYPERLINK(_xlfn.CONCAT("https://www.ncbi.nlm.nih.gov/protein/",D386),_xlfn.CONCAT("PROT:",D386))</f>
        <v>PROT:AAO89401.1</v>
      </c>
      <c r="F386" t="s">
        <v>712</v>
      </c>
      <c r="G386" t="s">
        <v>101</v>
      </c>
      <c r="H386" t="s">
        <v>2693</v>
      </c>
      <c r="I386" t="str">
        <f>INDEX(Genomes!$I:$I,(MATCH(AllProteins!H386,Genomes!$B:$B,0)))</f>
        <v>AY243312-vaccinia_virus</v>
      </c>
      <c r="J386">
        <f>INDEX(Genomes!$A:$A,(MATCH(AllProteins!H386,Genomes!$B:$B,0)))</f>
        <v>52</v>
      </c>
      <c r="K386" t="str">
        <f>INDEX(Genomes!$J:$J,(MATCH(AllProteins!H386,Genomes!$B:$B,0)))</f>
        <v>Y</v>
      </c>
    </row>
    <row r="387" spans="1:11" x14ac:dyDescent="0.2">
      <c r="A387">
        <f>INDEX(CoreProteinGroups!A:A,MATCH(B387,CoreProteinGroups!B:B,0))</f>
        <v>8</v>
      </c>
      <c r="B387" s="1" t="s">
        <v>651</v>
      </c>
      <c r="C387" t="str">
        <f>VLOOKUP(B387,CoreProteinGroups!$B:$C,2,FALSE)</f>
        <v>P4b</v>
      </c>
      <c r="D387" t="s">
        <v>714</v>
      </c>
      <c r="E387" s="6" t="str">
        <f t="shared" si="6"/>
        <v>PROT:CAA49048.1</v>
      </c>
      <c r="F387" t="s">
        <v>715</v>
      </c>
      <c r="G387" t="s">
        <v>2585</v>
      </c>
      <c r="H387" t="s">
        <v>2694</v>
      </c>
      <c r="I387" t="str">
        <f>INDEX(Genomes!$I:$I,(MATCH(AllProteins!H387,Genomes!$B:$B,0)))</f>
        <v>X69198-variola_major_virus</v>
      </c>
      <c r="J387">
        <f>INDEX(Genomes!$A:$A,(MATCH(AllProteins!H387,Genomes!$B:$B,0)))</f>
        <v>53</v>
      </c>
      <c r="K387" t="str">
        <f>INDEX(Genomes!$J:$J,(MATCH(AllProteins!H387,Genomes!$B:$B,0)))</f>
        <v>Y</v>
      </c>
    </row>
    <row r="388" spans="1:11" x14ac:dyDescent="0.2">
      <c r="A388">
        <f>INDEX(CoreProteinGroups!A:A,MATCH(B388,CoreProteinGroups!B:B,0))</f>
        <v>8</v>
      </c>
      <c r="B388" s="1" t="s">
        <v>651</v>
      </c>
      <c r="C388" t="str">
        <f>VLOOKUP(B388,CoreProteinGroups!$B:$C,2,FALSE)</f>
        <v>P4b</v>
      </c>
      <c r="D388" t="s">
        <v>716</v>
      </c>
      <c r="E388" s="6" t="str">
        <f t="shared" si="6"/>
        <v>PROT:CAB54707.1</v>
      </c>
      <c r="F388" t="s">
        <v>717</v>
      </c>
      <c r="G388" t="s">
        <v>106</v>
      </c>
      <c r="H388" t="s">
        <v>2695</v>
      </c>
      <c r="I388" t="str">
        <f>INDEX(Genomes!$I:$I,(MATCH(AllProteins!H388,Genomes!$B:$B,0)))</f>
        <v>Y16780-variola_minor_virus</v>
      </c>
      <c r="J388">
        <f>INDEX(Genomes!$A:$A,(MATCH(AllProteins!H388,Genomes!$B:$B,0)))</f>
        <v>54</v>
      </c>
      <c r="K388" t="str">
        <f>INDEX(Genomes!$J:$J,(MATCH(AllProteins!H388,Genomes!$B:$B,0)))</f>
        <v>Y</v>
      </c>
    </row>
    <row r="389" spans="1:11" x14ac:dyDescent="0.2">
      <c r="A389">
        <f>INDEX(CoreProteinGroups!A:A,MATCH(B389,CoreProteinGroups!B:B,0))</f>
        <v>8</v>
      </c>
      <c r="B389" s="1" t="s">
        <v>651</v>
      </c>
      <c r="C389" t="str">
        <f>VLOOKUP(B389,CoreProteinGroups!$B:$C,2,FALSE)</f>
        <v>P4b</v>
      </c>
      <c r="D389" t="s">
        <v>718</v>
      </c>
      <c r="E389" s="6" t="str">
        <f t="shared" si="6"/>
        <v>PROT:AOP31811.1</v>
      </c>
      <c r="F389" t="s">
        <v>661</v>
      </c>
      <c r="G389" t="s">
        <v>108</v>
      </c>
      <c r="H389" t="s">
        <v>2696</v>
      </c>
      <c r="I389" t="str">
        <f>INDEX(Genomes!$I:$I,(MATCH(AllProteins!H389,Genomes!$B:$B,0)))</f>
        <v>KU749311-volepox_virus</v>
      </c>
      <c r="J389">
        <f>INDEX(Genomes!$A:$A,(MATCH(AllProteins!H389,Genomes!$B:$B,0)))</f>
        <v>55</v>
      </c>
      <c r="K389" t="str">
        <f>INDEX(Genomes!$J:$J,(MATCH(AllProteins!H389,Genomes!$B:$B,0)))</f>
        <v>Y</v>
      </c>
    </row>
    <row r="390" spans="1:11" x14ac:dyDescent="0.2">
      <c r="A390">
        <f>INDEX(CoreProteinGroups!A:A,MATCH(B390,CoreProteinGroups!B:B,0))</f>
        <v>8</v>
      </c>
      <c r="B390" s="1" t="s">
        <v>651</v>
      </c>
      <c r="C390" t="str">
        <f>VLOOKUP(B390,CoreProteinGroups!$B:$C,2,FALSE)</f>
        <v>P4b</v>
      </c>
      <c r="D390" t="s">
        <v>719</v>
      </c>
      <c r="E390" s="6" t="str">
        <f t="shared" si="6"/>
        <v>PROT:ASC55562.1</v>
      </c>
      <c r="F390" t="s">
        <v>720</v>
      </c>
      <c r="G390" t="s">
        <v>111</v>
      </c>
      <c r="H390" t="s">
        <v>2667</v>
      </c>
      <c r="I390" t="str">
        <f>INDEX(Genomes!$I:$I,(MATCH(AllProteins!H390,Genomes!$B:$B,0)))</f>
        <v>KY382358-seal_parapoxvirus</v>
      </c>
      <c r="J390">
        <f>INDEX(Genomes!$A:$A,(MATCH(AllProteins!H390,Genomes!$B:$B,0)))</f>
        <v>22</v>
      </c>
      <c r="K390" t="str">
        <f>INDEX(Genomes!$J:$J,(MATCH(AllProteins!H390,Genomes!$B:$B,0)))</f>
        <v>Y</v>
      </c>
    </row>
    <row r="391" spans="1:11" x14ac:dyDescent="0.2">
      <c r="A391">
        <f>INDEX(CoreProteinGroups!A:A,MATCH(B391,CoreProteinGroups!B:B,0))</f>
        <v>8</v>
      </c>
      <c r="B391" s="1" t="s">
        <v>651</v>
      </c>
      <c r="C391" t="str">
        <f>VLOOKUP(B391,CoreProteinGroups!$B:$C,2,FALSE)</f>
        <v>P4b</v>
      </c>
      <c r="D391" t="s">
        <v>721</v>
      </c>
      <c r="E391" s="6" t="str">
        <f t="shared" si="6"/>
        <v>PROT:AAR98436.1</v>
      </c>
      <c r="F391" t="s">
        <v>722</v>
      </c>
      <c r="G391" t="s">
        <v>114</v>
      </c>
      <c r="H391" t="s">
        <v>2652</v>
      </c>
      <c r="I391" t="str">
        <f>INDEX(Genomes!$I:$I,(MATCH(AllProteins!H391,Genomes!$B:$B,0)))</f>
        <v>AY386265-bovine_papular_stomatitis_virus</v>
      </c>
      <c r="J391">
        <f>INDEX(Genomes!$A:$A,(MATCH(AllProteins!H391,Genomes!$B:$B,0)))</f>
        <v>6</v>
      </c>
      <c r="K391" t="str">
        <f>INDEX(Genomes!$J:$J,(MATCH(AllProteins!H391,Genomes!$B:$B,0)))</f>
        <v>Y</v>
      </c>
    </row>
    <row r="392" spans="1:11" x14ac:dyDescent="0.2">
      <c r="A392">
        <f>INDEX(CoreProteinGroups!A:A,MATCH(B392,CoreProteinGroups!B:B,0))</f>
        <v>8</v>
      </c>
      <c r="B392" s="1" t="s">
        <v>651</v>
      </c>
      <c r="C392" t="str">
        <f>VLOOKUP(B392,CoreProteinGroups!$B:$C,2,FALSE)</f>
        <v>P4b</v>
      </c>
      <c r="D392" t="s">
        <v>723</v>
      </c>
      <c r="E392" s="6" t="str">
        <f t="shared" si="6"/>
        <v>PROT:AAR98304.1</v>
      </c>
      <c r="F392" t="s">
        <v>722</v>
      </c>
      <c r="G392" t="s">
        <v>2702</v>
      </c>
      <c r="H392" t="s">
        <v>2678</v>
      </c>
      <c r="I392" t="str">
        <f>INDEX(Genomes!$I:$I,(MATCH(AllProteins!H392,Genomes!$B:$B,0)))</f>
        <v>AY386264-orf_virus</v>
      </c>
      <c r="J392">
        <f>INDEX(Genomes!$A:$A,(MATCH(AllProteins!H392,Genomes!$B:$B,0)))</f>
        <v>35</v>
      </c>
      <c r="K392" t="str">
        <f>INDEX(Genomes!$J:$J,(MATCH(AllProteins!H392,Genomes!$B:$B,0)))</f>
        <v>Y</v>
      </c>
    </row>
    <row r="393" spans="1:11" x14ac:dyDescent="0.2">
      <c r="A393">
        <f>INDEX(CoreProteinGroups!A:A,MATCH(B393,CoreProteinGroups!B:B,0))</f>
        <v>8</v>
      </c>
      <c r="B393" s="1" t="s">
        <v>651</v>
      </c>
      <c r="C393" t="str">
        <f>VLOOKUP(B393,CoreProteinGroups!$B:$C,2,FALSE)</f>
        <v>P4b</v>
      </c>
      <c r="D393" t="s">
        <v>724</v>
      </c>
      <c r="E393" s="6" t="str">
        <f t="shared" si="6"/>
        <v>PROT:ABA00596.1</v>
      </c>
      <c r="F393" t="s">
        <v>725</v>
      </c>
      <c r="G393" t="s">
        <v>2555</v>
      </c>
      <c r="H393" t="s">
        <v>2645</v>
      </c>
      <c r="I393" t="str">
        <f>INDEX(Genomes!$I:$I,(MATCH(AllProteins!H393,Genomes!$B:$B,0)))</f>
        <v>DQ184476-orf_virus_strain_NZ2</v>
      </c>
      <c r="J393">
        <f>INDEX(Genomes!$A:$A,(MATCH(AllProteins!H393,Genomes!$B:$B,0)))</f>
        <v>36</v>
      </c>
      <c r="K393" t="str">
        <f>INDEX(Genomes!$J:$J,(MATCH(AllProteins!H393,Genomes!$B:$B,0)))</f>
        <v>N</v>
      </c>
    </row>
    <row r="394" spans="1:11" x14ac:dyDescent="0.2">
      <c r="A394">
        <f>INDEX(CoreProteinGroups!A:A,MATCH(B394,CoreProteinGroups!B:B,0))</f>
        <v>8</v>
      </c>
      <c r="B394" s="1" t="s">
        <v>651</v>
      </c>
      <c r="C394" t="str">
        <f>VLOOKUP(B394,CoreProteinGroups!$B:$C,2,FALSE)</f>
        <v>P4b</v>
      </c>
      <c r="D394" t="s">
        <v>726</v>
      </c>
      <c r="E394" s="6" t="str">
        <f t="shared" si="6"/>
        <v>PROT:AIZ77330.1</v>
      </c>
      <c r="F394" t="s">
        <v>727</v>
      </c>
      <c r="G394" t="s">
        <v>119</v>
      </c>
      <c r="H394" t="s">
        <v>2684</v>
      </c>
      <c r="I394" t="str">
        <f>INDEX(Genomes!$I:$I,(MATCH(AllProteins!H394,Genomes!$B:$B,0)))</f>
        <v>KM502564-parapoxvirus_red_deer</v>
      </c>
      <c r="J394">
        <f>INDEX(Genomes!$A:$A,(MATCH(AllProteins!H394,Genomes!$B:$B,0)))</f>
        <v>42</v>
      </c>
      <c r="K394" t="str">
        <f>INDEX(Genomes!$J:$J,(MATCH(AllProteins!H394,Genomes!$B:$B,0)))</f>
        <v>Y</v>
      </c>
    </row>
    <row r="395" spans="1:11" x14ac:dyDescent="0.2">
      <c r="A395">
        <f>INDEX(CoreProteinGroups!A:A,MATCH(B395,CoreProteinGroups!B:B,0))</f>
        <v>8</v>
      </c>
      <c r="B395" s="1" t="s">
        <v>651</v>
      </c>
      <c r="C395" t="str">
        <f>VLOOKUP(B395,CoreProteinGroups!$B:$C,2,FALSE)</f>
        <v>P4b</v>
      </c>
      <c r="D395" t="s">
        <v>728</v>
      </c>
      <c r="E395" s="6" t="str">
        <f t="shared" si="6"/>
        <v>PROT:ADC53981.1</v>
      </c>
      <c r="F395" t="s">
        <v>729</v>
      </c>
      <c r="G395" t="s">
        <v>121</v>
      </c>
      <c r="H395" t="s">
        <v>2679</v>
      </c>
      <c r="I395" t="str">
        <f>INDEX(Genomes!$I:$I,(MATCH(AllProteins!H395,Genomes!$B:$B,0)))</f>
        <v>GQ329670-pseudocowpox_virus</v>
      </c>
      <c r="J395">
        <f>INDEX(Genomes!$A:$A,(MATCH(AllProteins!H395,Genomes!$B:$B,0)))</f>
        <v>37</v>
      </c>
      <c r="K395" t="str">
        <f>INDEX(Genomes!$J:$J,(MATCH(AllProteins!H395,Genomes!$B:$B,0)))</f>
        <v>Y</v>
      </c>
    </row>
    <row r="396" spans="1:11" x14ac:dyDescent="0.2">
      <c r="A396">
        <f>INDEX(CoreProteinGroups!A:A,MATCH(B396,CoreProteinGroups!B:B,0))</f>
        <v>8</v>
      </c>
      <c r="B396" s="1" t="s">
        <v>651</v>
      </c>
      <c r="C396" t="str">
        <f>VLOOKUP(B396,CoreProteinGroups!$B:$C,2,FALSE)</f>
        <v>P4b</v>
      </c>
      <c r="D396" t="s">
        <v>730</v>
      </c>
      <c r="E396" s="6" t="str">
        <f t="shared" si="6"/>
        <v>PROT:AAL69830.1</v>
      </c>
      <c r="F396" t="s">
        <v>731</v>
      </c>
      <c r="G396" t="s">
        <v>124</v>
      </c>
      <c r="H396" t="s">
        <v>2690</v>
      </c>
      <c r="I396" t="str">
        <f>INDEX(Genomes!$I:$I,(MATCH(AllProteins!H396,Genomes!$B:$B,0)))</f>
        <v>AF410153-swinepox_virus</v>
      </c>
      <c r="J396">
        <f>INDEX(Genomes!$A:$A,(MATCH(AllProteins!H396,Genomes!$B:$B,0)))</f>
        <v>49</v>
      </c>
      <c r="K396" t="str">
        <f>INDEX(Genomes!$J:$J,(MATCH(AllProteins!H396,Genomes!$B:$B,0)))</f>
        <v>Y</v>
      </c>
    </row>
    <row r="397" spans="1:11" x14ac:dyDescent="0.2">
      <c r="A397">
        <f>INDEX(CoreProteinGroups!A:A,MATCH(B397,CoreProteinGroups!B:B,0))</f>
        <v>8</v>
      </c>
      <c r="B397" s="1" t="s">
        <v>651</v>
      </c>
      <c r="C397" t="str">
        <f>VLOOKUP(B397,CoreProteinGroups!$B:$C,2,FALSE)</f>
        <v>P4b</v>
      </c>
      <c r="D397" t="s">
        <v>732</v>
      </c>
      <c r="E397" s="6" t="str">
        <f t="shared" si="6"/>
        <v>PROT:CAC21332.1</v>
      </c>
      <c r="F397" t="s">
        <v>733</v>
      </c>
      <c r="G397" t="s">
        <v>127</v>
      </c>
      <c r="H397" t="s">
        <v>2699</v>
      </c>
      <c r="I397" t="str">
        <f>INDEX(Genomes!$I:$I,(MATCH(AllProteins!H397,Genomes!$B:$B,0)))</f>
        <v>AJ293568-tanapox_virus</v>
      </c>
      <c r="J397">
        <f>INDEX(Genomes!$A:$A,(MATCH(AllProteins!H397,Genomes!$B:$B,0)))</f>
        <v>58</v>
      </c>
      <c r="K397" t="str">
        <f>INDEX(Genomes!$J:$J,(MATCH(AllProteins!H397,Genomes!$B:$B,0)))</f>
        <v>Y</v>
      </c>
    </row>
    <row r="398" spans="1:11" x14ac:dyDescent="0.2">
      <c r="A398">
        <f>INDEX(CoreProteinGroups!A:A,MATCH(B398,CoreProteinGroups!B:B,0))</f>
        <v>8</v>
      </c>
      <c r="B398" s="1" t="s">
        <v>651</v>
      </c>
      <c r="C398" t="str">
        <f>VLOOKUP(B398,CoreProteinGroups!$B:$C,2,FALSE)</f>
        <v>P4b</v>
      </c>
      <c r="D398" t="s">
        <v>734</v>
      </c>
      <c r="E398" s="6" t="str">
        <f t="shared" si="6"/>
        <v>PROT:AAR07450.1</v>
      </c>
      <c r="F398" t="s">
        <v>735</v>
      </c>
      <c r="G398" t="s">
        <v>130</v>
      </c>
      <c r="H398" t="s">
        <v>2700</v>
      </c>
      <c r="I398" t="str">
        <f>INDEX(Genomes!$I:$I,(MATCH(AllProteins!H398,Genomes!$B:$B,0)))</f>
        <v>AY386371-Yaba_monkey_tumor_virus</v>
      </c>
      <c r="J398">
        <f>INDEX(Genomes!$A:$A,(MATCH(AllProteins!H398,Genomes!$B:$B,0)))</f>
        <v>59</v>
      </c>
      <c r="K398" t="str">
        <f>INDEX(Genomes!$J:$J,(MATCH(AllProteins!H398,Genomes!$B:$B,0)))</f>
        <v>Y</v>
      </c>
    </row>
    <row r="399" spans="1:11" x14ac:dyDescent="0.2">
      <c r="A399">
        <f>INDEX(CoreProteinGroups!A:A,MATCH(B399,CoreProteinGroups!B:B,0))</f>
        <v>8</v>
      </c>
      <c r="B399" s="1" t="s">
        <v>651</v>
      </c>
      <c r="C399" t="str">
        <f>VLOOKUP(B399,CoreProteinGroups!$B:$C,2,FALSE)</f>
        <v>P4b</v>
      </c>
      <c r="D399" t="s">
        <v>736</v>
      </c>
      <c r="E399" s="6" t="str">
        <f t="shared" si="6"/>
        <v>PROT:AAC97680.1</v>
      </c>
      <c r="F399" t="s">
        <v>737</v>
      </c>
      <c r="G399" t="s">
        <v>133</v>
      </c>
      <c r="H399" t="s">
        <v>2674</v>
      </c>
      <c r="I399" t="str">
        <f>INDEX(Genomes!$I:$I,(MATCH(AllProteins!H399,Genomes!$B:$B,0)))</f>
        <v>AF063866-Melanoplus_sanguinipes_entomopoxvirus</v>
      </c>
      <c r="J399">
        <f>INDEX(Genomes!$A:$A,(MATCH(AllProteins!H399,Genomes!$B:$B,0)))</f>
        <v>30</v>
      </c>
      <c r="K399" t="str">
        <f>INDEX(Genomes!$J:$J,(MATCH(AllProteins!H399,Genomes!$B:$B,0)))</f>
        <v>Y</v>
      </c>
    </row>
    <row r="400" spans="1:11" x14ac:dyDescent="0.2">
      <c r="A400">
        <f>INDEX(CoreProteinGroups!A:A,MATCH(B400,CoreProteinGroups!B:B,0))</f>
        <v>8</v>
      </c>
      <c r="B400" s="1" t="s">
        <v>651</v>
      </c>
      <c r="C400" t="str">
        <f>VLOOKUP(B400,CoreProteinGroups!$B:$C,2,FALSE)</f>
        <v>P4b</v>
      </c>
      <c r="D400" t="s">
        <v>738</v>
      </c>
      <c r="E400" s="6" t="str">
        <f t="shared" si="6"/>
        <v>PROT:BAO49491.1</v>
      </c>
      <c r="F400" t="s">
        <v>739</v>
      </c>
      <c r="G400" t="s">
        <v>136</v>
      </c>
      <c r="H400" t="s">
        <v>2648</v>
      </c>
      <c r="I400" t="str">
        <f>INDEX(Genomes!$I:$I,(MATCH(AllProteins!H400,Genomes!$B:$B,0)))</f>
        <v>AP013055-Anomala_cuprea_entomopoxvirus</v>
      </c>
      <c r="J400">
        <f>INDEX(Genomes!$A:$A,(MATCH(AllProteins!H400,Genomes!$B:$B,0)))</f>
        <v>2</v>
      </c>
      <c r="K400" t="str">
        <f>INDEX(Genomes!$J:$J,(MATCH(AllProteins!H400,Genomes!$B:$B,0)))</f>
        <v>Y</v>
      </c>
    </row>
    <row r="401" spans="1:11" x14ac:dyDescent="0.2">
      <c r="A401">
        <f>INDEX(CoreProteinGroups!A:A,MATCH(B401,CoreProteinGroups!B:B,0))</f>
        <v>8</v>
      </c>
      <c r="B401" s="1" t="s">
        <v>651</v>
      </c>
      <c r="C401" t="str">
        <f>VLOOKUP(B401,CoreProteinGroups!$B:$C,2,FALSE)</f>
        <v>P4b</v>
      </c>
      <c r="D401" t="s">
        <v>740</v>
      </c>
      <c r="E401" s="6" t="str">
        <f t="shared" si="6"/>
        <v>PROT:CCU55503.1</v>
      </c>
      <c r="F401" t="s">
        <v>654</v>
      </c>
      <c r="G401" t="s">
        <v>138</v>
      </c>
      <c r="H401" t="s">
        <v>2649</v>
      </c>
      <c r="I401" t="str">
        <f>INDEX(Genomes!$I:$I,(MATCH(AllProteins!H401,Genomes!$B:$B,0)))</f>
        <v>HF679131-Adoxophyes_honmai_entomopoxvirus</v>
      </c>
      <c r="J401">
        <f>INDEX(Genomes!$A:$A,(MATCH(AllProteins!H401,Genomes!$B:$B,0)))</f>
        <v>3</v>
      </c>
      <c r="K401" t="str">
        <f>INDEX(Genomes!$J:$J,(MATCH(AllProteins!H401,Genomes!$B:$B,0)))</f>
        <v>Y</v>
      </c>
    </row>
    <row r="402" spans="1:11" x14ac:dyDescent="0.2">
      <c r="A402">
        <f>INDEX(CoreProteinGroups!A:A,MATCH(B402,CoreProteinGroups!B:B,0))</f>
        <v>8</v>
      </c>
      <c r="B402" s="1" t="s">
        <v>651</v>
      </c>
      <c r="C402" t="str">
        <f>VLOOKUP(B402,CoreProteinGroups!$B:$C,2,FALSE)</f>
        <v>P4b</v>
      </c>
      <c r="D402" t="s">
        <v>741</v>
      </c>
      <c r="E402" s="6" t="str">
        <f t="shared" si="6"/>
        <v>PROT:AAG02853.1</v>
      </c>
      <c r="F402" t="s">
        <v>742</v>
      </c>
      <c r="G402" t="s">
        <v>141</v>
      </c>
      <c r="H402" t="s">
        <v>2651</v>
      </c>
      <c r="I402" t="str">
        <f>INDEX(Genomes!$I:$I,(MATCH(AllProteins!H402,Genomes!$B:$B,0)))</f>
        <v>AF250284-Amsacta_moorei_entomopoxvirus</v>
      </c>
      <c r="J402">
        <f>INDEX(Genomes!$A:$A,(MATCH(AllProteins!H402,Genomes!$B:$B,0)))</f>
        <v>5</v>
      </c>
      <c r="K402" t="str">
        <f>INDEX(Genomes!$J:$J,(MATCH(AllProteins!H402,Genomes!$B:$B,0)))</f>
        <v>Y</v>
      </c>
    </row>
    <row r="403" spans="1:11" x14ac:dyDescent="0.2">
      <c r="A403">
        <f>INDEX(CoreProteinGroups!A:A,MATCH(B403,CoreProteinGroups!B:B,0))</f>
        <v>8</v>
      </c>
      <c r="B403" s="1" t="s">
        <v>651</v>
      </c>
      <c r="C403" t="str">
        <f>VLOOKUP(B403,CoreProteinGroups!$B:$C,2,FALSE)</f>
        <v>P4b</v>
      </c>
      <c r="D403" t="s">
        <v>743</v>
      </c>
      <c r="E403" s="6" t="str">
        <f t="shared" si="6"/>
        <v>PROT:CCU55762.1</v>
      </c>
      <c r="F403" t="s">
        <v>654</v>
      </c>
      <c r="G403" t="s">
        <v>143</v>
      </c>
      <c r="H403" t="s">
        <v>2656</v>
      </c>
      <c r="I403" t="str">
        <f>INDEX(Genomes!$I:$I,(MATCH(AllProteins!H403,Genomes!$B:$B,0)))</f>
        <v>HF679132-Choristoneura_biennis_entomopoxvirus</v>
      </c>
      <c r="J403">
        <f>INDEX(Genomes!$A:$A,(MATCH(AllProteins!H403,Genomes!$B:$B,0)))</f>
        <v>10</v>
      </c>
      <c r="K403" t="str">
        <f>INDEX(Genomes!$J:$J,(MATCH(AllProteins!H403,Genomes!$B:$B,0)))</f>
        <v>Y</v>
      </c>
    </row>
    <row r="404" spans="1:11" x14ac:dyDescent="0.2">
      <c r="A404">
        <f>INDEX(CoreProteinGroups!A:A,MATCH(B404,CoreProteinGroups!B:B,0))</f>
        <v>8</v>
      </c>
      <c r="B404" s="1" t="s">
        <v>651</v>
      </c>
      <c r="C404" t="str">
        <f>VLOOKUP(B404,CoreProteinGroups!$B:$C,2,FALSE)</f>
        <v>P4b</v>
      </c>
      <c r="D404" t="s">
        <v>744</v>
      </c>
      <c r="E404" s="6" t="str">
        <f t="shared" si="6"/>
        <v>PROT:CCU56064.1</v>
      </c>
      <c r="F404" t="s">
        <v>654</v>
      </c>
      <c r="G404" t="s">
        <v>145</v>
      </c>
      <c r="H404" t="s">
        <v>2660</v>
      </c>
      <c r="I404" t="str">
        <f>INDEX(Genomes!$I:$I,(MATCH(AllProteins!H404,Genomes!$B:$B,0)))</f>
        <v>HF679133-Choristoneura_rosaceana_entomopoxvirus</v>
      </c>
      <c r="J404">
        <f>INDEX(Genomes!$A:$A,(MATCH(AllProteins!H404,Genomes!$B:$B,0)))</f>
        <v>14</v>
      </c>
      <c r="K404" t="str">
        <f>INDEX(Genomes!$J:$J,(MATCH(AllProteins!H404,Genomes!$B:$B,0)))</f>
        <v>Y</v>
      </c>
    </row>
    <row r="405" spans="1:11" x14ac:dyDescent="0.2">
      <c r="A405">
        <f>INDEX(CoreProteinGroups!A:A,MATCH(B405,CoreProteinGroups!B:B,0))</f>
        <v>8</v>
      </c>
      <c r="B405" s="1" t="s">
        <v>651</v>
      </c>
      <c r="C405" t="str">
        <f>VLOOKUP(B405,CoreProteinGroups!$B:$C,2,FALSE)</f>
        <v>P4b</v>
      </c>
      <c r="D405" t="s">
        <v>745</v>
      </c>
      <c r="E405" s="6" t="str">
        <f t="shared" si="6"/>
        <v>PROT:CCU56384.1</v>
      </c>
      <c r="F405" t="s">
        <v>654</v>
      </c>
      <c r="G405" t="s">
        <v>147</v>
      </c>
      <c r="H405" t="s">
        <v>2675</v>
      </c>
      <c r="I405" t="str">
        <f>INDEX(Genomes!$I:$I,(MATCH(AllProteins!H405,Genomes!$B:$B,0)))</f>
        <v>HF679134-Mythimna_separata_entomopoxvirus</v>
      </c>
      <c r="J405">
        <f>INDEX(Genomes!$A:$A,(MATCH(AllProteins!H405,Genomes!$B:$B,0)))</f>
        <v>31</v>
      </c>
      <c r="K405" t="str">
        <f>INDEX(Genomes!$J:$J,(MATCH(AllProteins!H405,Genomes!$B:$B,0)))</f>
        <v>Y</v>
      </c>
    </row>
    <row r="406" spans="1:11" x14ac:dyDescent="0.2">
      <c r="A406">
        <f>INDEX(CoreProteinGroups!A:A,MATCH(B406,CoreProteinGroups!B:B,0))</f>
        <v>8</v>
      </c>
      <c r="B406" s="1" t="s">
        <v>651</v>
      </c>
      <c r="C406" t="str">
        <f>VLOOKUP(B406,CoreProteinGroups!$B:$C,2,FALSE)</f>
        <v>P4b</v>
      </c>
      <c r="D406" t="s">
        <v>746</v>
      </c>
      <c r="E406" s="6" t="str">
        <f t="shared" si="6"/>
        <v>PROT:NP_659666.1</v>
      </c>
      <c r="F406" t="s">
        <v>747</v>
      </c>
      <c r="G406" t="s">
        <v>150</v>
      </c>
      <c r="H406" t="s">
        <v>2620</v>
      </c>
      <c r="I406" t="str">
        <f>INDEX(Genomes!$I:$I,(MATCH(AllProteins!H406,Genomes!$B:$B,0)))</f>
        <v>NC_004002-sheeppox_virus</v>
      </c>
      <c r="J406">
        <f>INDEX(Genomes!$A:$A,(MATCH(AllProteins!H406,Genomes!$B:$B,0)))</f>
        <v>44</v>
      </c>
      <c r="K406" t="str">
        <f>INDEX(Genomes!$J:$J,(MATCH(AllProteins!H406,Genomes!$B:$B,0)))</f>
        <v>Y</v>
      </c>
    </row>
    <row r="407" spans="1:11" x14ac:dyDescent="0.2">
      <c r="A407">
        <f>INDEX(CoreProteinGroups!A:A,MATCH(B407,CoreProteinGroups!B:B,0))</f>
        <v>8</v>
      </c>
      <c r="B407" s="1" t="s">
        <v>651</v>
      </c>
      <c r="C407" t="str">
        <f>VLOOKUP(B407,CoreProteinGroups!$B:$C,2,FALSE)</f>
        <v>P4b</v>
      </c>
      <c r="D407" t="s">
        <v>748</v>
      </c>
      <c r="E407" s="6" t="str">
        <f t="shared" si="6"/>
        <v>PROT:YP_001293285.1</v>
      </c>
      <c r="F407" t="s">
        <v>749</v>
      </c>
      <c r="G407" t="s">
        <v>153</v>
      </c>
      <c r="H407" t="s">
        <v>2644</v>
      </c>
      <c r="I407" t="str">
        <f>INDEX(Genomes!$I:$I,(MATCH(AllProteins!H407,Genomes!$B:$B,0)))</f>
        <v>NC_004003-goatpox_virus</v>
      </c>
      <c r="J407">
        <f>INDEX(Genomes!$A:$A,(MATCH(AllProteins!H407,Genomes!$B:$B,0)))</f>
        <v>23</v>
      </c>
      <c r="K407" t="str">
        <f>INDEX(Genomes!$J:$J,(MATCH(AllProteins!H407,Genomes!$B:$B,0)))</f>
        <v>Y</v>
      </c>
    </row>
    <row r="408" spans="1:11" x14ac:dyDescent="0.2">
      <c r="A408">
        <f>INDEX(CoreProteinGroups!A:A,MATCH(B408,CoreProteinGroups!B:B,0))</f>
        <v>7</v>
      </c>
      <c r="B408" s="1" t="s">
        <v>750</v>
      </c>
      <c r="C408" t="str">
        <f>VLOOKUP(B408,CoreProteinGroups!$B:$C,2,FALSE)</f>
        <v>ATPase DNA packaging protein</v>
      </c>
      <c r="D408" t="s">
        <v>752</v>
      </c>
      <c r="E408" s="6" t="str">
        <f t="shared" si="6"/>
        <v>PROT:ATI21237.1</v>
      </c>
      <c r="F408" t="s">
        <v>753</v>
      </c>
      <c r="G408" t="s">
        <v>11</v>
      </c>
      <c r="H408" t="s">
        <v>2663</v>
      </c>
      <c r="I408" t="str">
        <f>INDEX(Genomes!$I:$I,(MATCH(AllProteins!H408,Genomes!$B:$B,0)))</f>
        <v>MF467281-Eastern_grey_kangaroopox_virus</v>
      </c>
      <c r="J408">
        <f>INDEX(Genomes!$A:$A,(MATCH(AllProteins!H408,Genomes!$B:$B,0)))</f>
        <v>18</v>
      </c>
      <c r="K408" t="str">
        <f>INDEX(Genomes!$J:$J,(MATCH(AllProteins!H408,Genomes!$B:$B,0)))</f>
        <v>Y</v>
      </c>
    </row>
    <row r="409" spans="1:11" x14ac:dyDescent="0.2">
      <c r="A409">
        <f>INDEX(CoreProteinGroups!A:A,MATCH(B409,CoreProteinGroups!B:B,0))</f>
        <v>7</v>
      </c>
      <c r="B409" s="1" t="s">
        <v>750</v>
      </c>
      <c r="C409" t="str">
        <f>VLOOKUP(B409,CoreProteinGroups!$B:$C,2,FALSE)</f>
        <v>ATPase DNA packaging protein</v>
      </c>
      <c r="D409" t="s">
        <v>754</v>
      </c>
      <c r="E409" s="6" t="str">
        <f t="shared" si="6"/>
        <v>PROT:AWU47167.1</v>
      </c>
      <c r="F409" t="s">
        <v>753</v>
      </c>
      <c r="G409" t="s">
        <v>13</v>
      </c>
      <c r="H409" t="s">
        <v>2688</v>
      </c>
      <c r="I409" t="str">
        <f>INDEX(Genomes!$I:$I,(MATCH(AllProteins!H409,Genomes!$B:$B,0)))</f>
        <v>MH427217-sea_otter_poxvirus</v>
      </c>
      <c r="J409">
        <f>INDEX(Genomes!$A:$A,(MATCH(AllProteins!H409,Genomes!$B:$B,0)))</f>
        <v>47</v>
      </c>
      <c r="K409" t="str">
        <f>INDEX(Genomes!$J:$J,(MATCH(AllProteins!H409,Genomes!$B:$B,0)))</f>
        <v>Y</v>
      </c>
    </row>
    <row r="410" spans="1:11" x14ac:dyDescent="0.2">
      <c r="A410">
        <f>INDEX(CoreProteinGroups!A:A,MATCH(B410,CoreProteinGroups!B:B,0))</f>
        <v>7</v>
      </c>
      <c r="B410" s="1" t="s">
        <v>750</v>
      </c>
      <c r="C410" t="str">
        <f>VLOOKUP(B410,CoreProteinGroups!$B:$C,2,FALSE)</f>
        <v>ATPase DNA packaging protein</v>
      </c>
      <c r="D410" t="s">
        <v>755</v>
      </c>
      <c r="E410" s="6" t="str">
        <f t="shared" si="6"/>
        <v>PROT:APG58340.1</v>
      </c>
      <c r="F410" t="s">
        <v>756</v>
      </c>
      <c r="G410" t="s">
        <v>16</v>
      </c>
      <c r="H410" t="s">
        <v>2653</v>
      </c>
      <c r="I410" t="str">
        <f>INDEX(Genomes!$I:$I,(MATCH(AllProteins!H410,Genomes!$B:$B,0)))</f>
        <v>KY094066-BeAn_58058_virus</v>
      </c>
      <c r="J410">
        <f>INDEX(Genomes!$A:$A,(MATCH(AllProteins!H410,Genomes!$B:$B,0)))</f>
        <v>7</v>
      </c>
      <c r="K410" t="str">
        <f>INDEX(Genomes!$J:$J,(MATCH(AllProteins!H410,Genomes!$B:$B,0)))</f>
        <v>N</v>
      </c>
    </row>
    <row r="411" spans="1:11" x14ac:dyDescent="0.2">
      <c r="A411">
        <f>INDEX(CoreProteinGroups!A:A,MATCH(B411,CoreProteinGroups!B:B,0))</f>
        <v>7</v>
      </c>
      <c r="B411" s="1" t="s">
        <v>750</v>
      </c>
      <c r="C411" t="str">
        <f>VLOOKUP(B411,CoreProteinGroups!$B:$C,2,FALSE)</f>
        <v>ATPase DNA packaging protein</v>
      </c>
      <c r="D411" t="s">
        <v>757</v>
      </c>
      <c r="E411" s="6" t="str">
        <f t="shared" si="6"/>
        <v>PROT:ADT91147.1</v>
      </c>
      <c r="F411" t="s">
        <v>758</v>
      </c>
      <c r="G411" t="s">
        <v>19</v>
      </c>
      <c r="H411" t="s">
        <v>2658</v>
      </c>
      <c r="I411" t="str">
        <f>INDEX(Genomes!$I:$I,(MATCH(AllProteins!H411,Genomes!$B:$B,0)))</f>
        <v>HQ647181-Cotia_virus</v>
      </c>
      <c r="J411">
        <f>INDEX(Genomes!$A:$A,(MATCH(AllProteins!H411,Genomes!$B:$B,0)))</f>
        <v>12</v>
      </c>
      <c r="K411" t="str">
        <f>INDEX(Genomes!$J:$J,(MATCH(AllProteins!H411,Genomes!$B:$B,0)))</f>
        <v>Y</v>
      </c>
    </row>
    <row r="412" spans="1:11" x14ac:dyDescent="0.2">
      <c r="A412">
        <f>INDEX(CoreProteinGroups!A:A,MATCH(B412,CoreProteinGroups!B:B,0))</f>
        <v>7</v>
      </c>
      <c r="B412" s="1" t="s">
        <v>750</v>
      </c>
      <c r="C412" t="str">
        <f>VLOOKUP(B412,CoreProteinGroups!$B:$C,2,FALSE)</f>
        <v>ATPase DNA packaging protein</v>
      </c>
      <c r="D412" t="s">
        <v>759</v>
      </c>
      <c r="E412" s="6" t="str">
        <f t="shared" si="6"/>
        <v>PROT:ANS71211.1</v>
      </c>
      <c r="F412" t="s">
        <v>753</v>
      </c>
      <c r="G412" t="s">
        <v>21</v>
      </c>
      <c r="H412" t="s">
        <v>2682</v>
      </c>
      <c r="I412" t="str">
        <f>INDEX(Genomes!$I:$I,(MATCH(AllProteins!H412,Genomes!$B:$B,0)))</f>
        <v>KU980965-pteropox_virus</v>
      </c>
      <c r="J412">
        <f>INDEX(Genomes!$A:$A,(MATCH(AllProteins!H412,Genomes!$B:$B,0)))</f>
        <v>40</v>
      </c>
      <c r="K412" t="str">
        <f>INDEX(Genomes!$J:$J,(MATCH(AllProteins!H412,Genomes!$B:$B,0)))</f>
        <v>Y</v>
      </c>
    </row>
    <row r="413" spans="1:11" x14ac:dyDescent="0.2">
      <c r="A413">
        <f>INDEX(CoreProteinGroups!A:A,MATCH(B413,CoreProteinGroups!B:B,0))</f>
        <v>7</v>
      </c>
      <c r="B413" s="1" t="s">
        <v>750</v>
      </c>
      <c r="C413" t="str">
        <f>VLOOKUP(B413,CoreProteinGroups!$B:$C,2,FALSE)</f>
        <v>ATPase DNA packaging protein</v>
      </c>
      <c r="D413" t="s">
        <v>760</v>
      </c>
      <c r="E413" s="6" t="str">
        <f t="shared" si="6"/>
        <v>PROT:AKR04192.1</v>
      </c>
      <c r="F413" t="s">
        <v>761</v>
      </c>
      <c r="G413" t="s">
        <v>24</v>
      </c>
      <c r="H413" t="s">
        <v>2687</v>
      </c>
      <c r="I413" t="str">
        <f>INDEX(Genomes!$I:$I,(MATCH(AllProteins!H413,Genomes!$B:$B,0)))</f>
        <v>KT159937-salmon_gill_poxvirus</v>
      </c>
      <c r="J413">
        <f>INDEX(Genomes!$A:$A,(MATCH(AllProteins!H413,Genomes!$B:$B,0)))</f>
        <v>46</v>
      </c>
      <c r="K413" t="str">
        <f>INDEX(Genomes!$J:$J,(MATCH(AllProteins!H413,Genomes!$B:$B,0)))</f>
        <v>Y</v>
      </c>
    </row>
    <row r="414" spans="1:11" x14ac:dyDescent="0.2">
      <c r="A414">
        <f>INDEX(CoreProteinGroups!A:A,MATCH(B414,CoreProteinGroups!B:B,0))</f>
        <v>7</v>
      </c>
      <c r="B414" s="1" t="s">
        <v>750</v>
      </c>
      <c r="C414" t="str">
        <f>VLOOKUP(B414,CoreProteinGroups!$B:$C,2,FALSE)</f>
        <v>ATPase DNA packaging protein</v>
      </c>
      <c r="D414" t="s">
        <v>762</v>
      </c>
      <c r="E414" s="6" t="str">
        <f t="shared" si="6"/>
        <v>PROT:CCD83304.1</v>
      </c>
      <c r="F414" t="s">
        <v>763</v>
      </c>
      <c r="G414" t="s">
        <v>27</v>
      </c>
      <c r="H414" t="s">
        <v>2689</v>
      </c>
      <c r="I414" t="str">
        <f>INDEX(Genomes!$I:$I,(MATCH(AllProteins!H414,Genomes!$B:$B,0)))</f>
        <v>HE601899-squirrelpox_virus</v>
      </c>
      <c r="J414">
        <f>INDEX(Genomes!$A:$A,(MATCH(AllProteins!H414,Genomes!$B:$B,0)))</f>
        <v>48</v>
      </c>
      <c r="K414" t="str">
        <f>INDEX(Genomes!$J:$J,(MATCH(AllProteins!H414,Genomes!$B:$B,0)))</f>
        <v>Y</v>
      </c>
    </row>
    <row r="415" spans="1:11" x14ac:dyDescent="0.2">
      <c r="A415">
        <f>INDEX(CoreProteinGroups!A:A,MATCH(B415,CoreProteinGroups!B:B,0))</f>
        <v>7</v>
      </c>
      <c r="B415" s="1" t="s">
        <v>750</v>
      </c>
      <c r="C415" t="str">
        <f>VLOOKUP(B415,CoreProteinGroups!$B:$C,2,FALSE)</f>
        <v>ATPase DNA packaging protein</v>
      </c>
      <c r="D415" t="s">
        <v>764</v>
      </c>
      <c r="E415" s="6" t="str">
        <f t="shared" si="6"/>
        <v>PROT:ASK51330.1</v>
      </c>
      <c r="F415" t="s">
        <v>753</v>
      </c>
      <c r="G415" t="s">
        <v>30</v>
      </c>
      <c r="H415" t="s">
        <v>2664</v>
      </c>
      <c r="I415" t="str">
        <f>INDEX(Genomes!$I:$I,(MATCH(AllProteins!H415,Genomes!$B:$B,0)))</f>
        <v>KY747497-eptesipox_virus</v>
      </c>
      <c r="J415">
        <f>INDEX(Genomes!$A:$A,(MATCH(AllProteins!H415,Genomes!$B:$B,0)))</f>
        <v>19</v>
      </c>
      <c r="K415" t="str">
        <f>INDEX(Genomes!$J:$J,(MATCH(AllProteins!H415,Genomes!$B:$B,0)))</f>
        <v>Y</v>
      </c>
    </row>
    <row r="416" spans="1:11" x14ac:dyDescent="0.2">
      <c r="A416">
        <f>INDEX(CoreProteinGroups!A:A,MATCH(B416,CoreProteinGroups!B:B,0))</f>
        <v>7</v>
      </c>
      <c r="B416" s="1" t="s">
        <v>750</v>
      </c>
      <c r="C416" t="str">
        <f>VLOOKUP(B416,CoreProteinGroups!$B:$C,2,FALSE)</f>
        <v>ATPase DNA packaging protein</v>
      </c>
      <c r="D416" t="s">
        <v>765</v>
      </c>
      <c r="E416" s="6" t="str">
        <f t="shared" si="6"/>
        <v>PROT:AUD40306.1</v>
      </c>
      <c r="F416" t="s">
        <v>766</v>
      </c>
      <c r="G416" t="s">
        <v>32</v>
      </c>
      <c r="H416" t="s">
        <v>2665</v>
      </c>
      <c r="I416" t="str">
        <f>INDEX(Genomes!$I:$I,(MATCH(AllProteins!H416,Genomes!$B:$B,0)))</f>
        <v>MF678796-flamingopox_virus</v>
      </c>
      <c r="J416">
        <f>INDEX(Genomes!$A:$A,(MATCH(AllProteins!H416,Genomes!$B:$B,0)))</f>
        <v>20</v>
      </c>
      <c r="K416" t="str">
        <f>INDEX(Genomes!$J:$J,(MATCH(AllProteins!H416,Genomes!$B:$B,0)))</f>
        <v>Y</v>
      </c>
    </row>
    <row r="417" spans="1:11" x14ac:dyDescent="0.2">
      <c r="A417">
        <f>INDEX(CoreProteinGroups!A:A,MATCH(B417,CoreProteinGroups!B:B,0))</f>
        <v>7</v>
      </c>
      <c r="B417" s="1" t="s">
        <v>750</v>
      </c>
      <c r="C417" t="str">
        <f>VLOOKUP(B417,CoreProteinGroups!$B:$C,2,FALSE)</f>
        <v>ATPase DNA packaging protein</v>
      </c>
      <c r="D417" t="s">
        <v>767</v>
      </c>
      <c r="E417" s="6" t="str">
        <f t="shared" si="6"/>
        <v>PROT:AID46937.1</v>
      </c>
      <c r="F417" t="s">
        <v>766</v>
      </c>
      <c r="G417" t="s">
        <v>34</v>
      </c>
      <c r="H417" t="s">
        <v>2681</v>
      </c>
      <c r="I417" t="str">
        <f>INDEX(Genomes!$I:$I,(MATCH(AllProteins!H417,Genomes!$B:$B,0)))</f>
        <v>KJ859677-penguinpox_virus</v>
      </c>
      <c r="J417">
        <f>INDEX(Genomes!$A:$A,(MATCH(AllProteins!H417,Genomes!$B:$B,0)))</f>
        <v>39</v>
      </c>
      <c r="K417" t="str">
        <f>INDEX(Genomes!$J:$J,(MATCH(AllProteins!H417,Genomes!$B:$B,0)))</f>
        <v>Y</v>
      </c>
    </row>
    <row r="418" spans="1:11" x14ac:dyDescent="0.2">
      <c r="A418">
        <f>INDEX(CoreProteinGroups!A:A,MATCH(B418,CoreProteinGroups!B:B,0))</f>
        <v>7</v>
      </c>
      <c r="B418" s="1" t="s">
        <v>750</v>
      </c>
      <c r="C418" t="str">
        <f>VLOOKUP(B418,CoreProteinGroups!$B:$C,2,FALSE)</f>
        <v>ATPase DNA packaging protein</v>
      </c>
      <c r="D418" t="s">
        <v>768</v>
      </c>
      <c r="E418" s="6" t="str">
        <f t="shared" si="6"/>
        <v>PROT:AID46705.1</v>
      </c>
      <c r="F418" t="s">
        <v>766</v>
      </c>
      <c r="G418" t="s">
        <v>36</v>
      </c>
      <c r="H418" t="s">
        <v>2680</v>
      </c>
      <c r="I418" t="str">
        <f>INDEX(Genomes!$I:$I,(MATCH(AllProteins!H418,Genomes!$B:$B,0)))</f>
        <v>KJ801920-pigeonpox_virus</v>
      </c>
      <c r="J418">
        <f>INDEX(Genomes!$A:$A,(MATCH(AllProteins!H418,Genomes!$B:$B,0)))</f>
        <v>38</v>
      </c>
      <c r="K418" t="str">
        <f>INDEX(Genomes!$J:$J,(MATCH(AllProteins!H418,Genomes!$B:$B,0)))</f>
        <v>Y</v>
      </c>
    </row>
    <row r="419" spans="1:11" x14ac:dyDescent="0.2">
      <c r="A419">
        <f>INDEX(CoreProteinGroups!A:A,MATCH(B419,CoreProteinGroups!B:B,0))</f>
        <v>7</v>
      </c>
      <c r="B419" s="1" t="s">
        <v>750</v>
      </c>
      <c r="C419" t="str">
        <f>VLOOKUP(B419,CoreProteinGroups!$B:$C,2,FALSE)</f>
        <v>ATPase DNA packaging protein</v>
      </c>
      <c r="D419" t="s">
        <v>769</v>
      </c>
      <c r="E419" s="6" t="str">
        <f t="shared" si="6"/>
        <v>PROT:ALA62519.1</v>
      </c>
      <c r="F419" t="s">
        <v>766</v>
      </c>
      <c r="G419" t="s">
        <v>39</v>
      </c>
      <c r="H419" t="s">
        <v>2692</v>
      </c>
      <c r="I419" t="str">
        <f>INDEX(Genomes!$I:$I,(MATCH(AllProteins!H419,Genomes!$B:$B,0)))</f>
        <v>KP728110-turkeypox_virus</v>
      </c>
      <c r="J419">
        <f>INDEX(Genomes!$A:$A,(MATCH(AllProteins!H419,Genomes!$B:$B,0)))</f>
        <v>51</v>
      </c>
      <c r="K419" t="str">
        <f>INDEX(Genomes!$J:$J,(MATCH(AllProteins!H419,Genomes!$B:$B,0)))</f>
        <v>Y</v>
      </c>
    </row>
    <row r="420" spans="1:11" x14ac:dyDescent="0.2">
      <c r="A420">
        <f>INDEX(CoreProteinGroups!A:A,MATCH(B420,CoreProteinGroups!B:B,0))</f>
        <v>7</v>
      </c>
      <c r="B420" s="1" t="s">
        <v>750</v>
      </c>
      <c r="C420" t="str">
        <f>VLOOKUP(B420,CoreProteinGroups!$B:$C,2,FALSE)</f>
        <v>ATPase DNA packaging protein</v>
      </c>
      <c r="D420" t="s">
        <v>770</v>
      </c>
      <c r="E420" s="6" t="str">
        <f t="shared" si="6"/>
        <v>PROT:AAR83617.1</v>
      </c>
      <c r="F420" t="s">
        <v>771</v>
      </c>
      <c r="G420" t="s">
        <v>42</v>
      </c>
      <c r="H420" t="s">
        <v>2657</v>
      </c>
      <c r="I420" t="str">
        <f>INDEX(Genomes!$I:$I,(MATCH(AllProteins!H420,Genomes!$B:$B,0)))</f>
        <v>AY318871-canarypox_virus</v>
      </c>
      <c r="J420">
        <f>INDEX(Genomes!$A:$A,(MATCH(AllProteins!H420,Genomes!$B:$B,0)))</f>
        <v>11</v>
      </c>
      <c r="K420" t="str">
        <f>INDEX(Genomes!$J:$J,(MATCH(AllProteins!H420,Genomes!$B:$B,0)))</f>
        <v>Y</v>
      </c>
    </row>
    <row r="421" spans="1:11" x14ac:dyDescent="0.2">
      <c r="A421">
        <f>INDEX(CoreProteinGroups!A:A,MATCH(B421,CoreProteinGroups!B:B,0))</f>
        <v>7</v>
      </c>
      <c r="B421" s="1" t="s">
        <v>750</v>
      </c>
      <c r="C421" t="str">
        <f>VLOOKUP(B421,CoreProteinGroups!$B:$C,2,FALSE)</f>
        <v>ATPase DNA packaging protein</v>
      </c>
      <c r="D421" t="s">
        <v>772</v>
      </c>
      <c r="E421" s="6" t="str">
        <f t="shared" si="6"/>
        <v>PROT:AAF44541.1</v>
      </c>
      <c r="F421" t="s">
        <v>773</v>
      </c>
      <c r="G421" t="s">
        <v>45</v>
      </c>
      <c r="H421" t="s">
        <v>2666</v>
      </c>
      <c r="I421" t="str">
        <f>INDEX(Genomes!$I:$I,(MATCH(AllProteins!H421,Genomes!$B:$B,0)))</f>
        <v>AF198100-fowlpox_virus</v>
      </c>
      <c r="J421">
        <f>INDEX(Genomes!$A:$A,(MATCH(AllProteins!H421,Genomes!$B:$B,0)))</f>
        <v>21</v>
      </c>
      <c r="K421" t="str">
        <f>INDEX(Genomes!$J:$J,(MATCH(AllProteins!H421,Genomes!$B:$B,0)))</f>
        <v>Y</v>
      </c>
    </row>
    <row r="422" spans="1:11" x14ac:dyDescent="0.2">
      <c r="A422">
        <f>INDEX(CoreProteinGroups!A:A,MATCH(B422,CoreProteinGroups!B:B,0))</f>
        <v>7</v>
      </c>
      <c r="B422" s="1" t="s">
        <v>750</v>
      </c>
      <c r="C422" t="str">
        <f>VLOOKUP(B422,CoreProteinGroups!$B:$C,2,FALSE)</f>
        <v>ATPase DNA packaging protein</v>
      </c>
      <c r="D422" t="s">
        <v>774</v>
      </c>
      <c r="E422" s="6" t="str">
        <f t="shared" si="6"/>
        <v>PROT:AAK85082.1</v>
      </c>
      <c r="F422" t="s">
        <v>775</v>
      </c>
      <c r="G422" t="s">
        <v>48</v>
      </c>
      <c r="H422" t="s">
        <v>2669</v>
      </c>
      <c r="I422" t="str">
        <f>INDEX(Genomes!$I:$I,(MATCH(AllProteins!H422,Genomes!$B:$B,0)))</f>
        <v>AF325528-lumpy_skin_disease_virus</v>
      </c>
      <c r="J422">
        <f>INDEX(Genomes!$A:$A,(MATCH(AllProteins!H422,Genomes!$B:$B,0)))</f>
        <v>25</v>
      </c>
      <c r="K422" t="str">
        <f>INDEX(Genomes!$J:$J,(MATCH(AllProteins!H422,Genomes!$B:$B,0)))</f>
        <v>Y</v>
      </c>
    </row>
    <row r="423" spans="1:11" x14ac:dyDescent="0.2">
      <c r="A423">
        <f>INDEX(CoreProteinGroups!A:A,MATCH(B423,CoreProteinGroups!B:B,0))</f>
        <v>7</v>
      </c>
      <c r="B423" s="1" t="s">
        <v>750</v>
      </c>
      <c r="C423" t="str">
        <f>VLOOKUP(B423,CoreProteinGroups!$B:$C,2,FALSE)</f>
        <v>ATPase DNA packaging protein</v>
      </c>
      <c r="D423" t="s">
        <v>776</v>
      </c>
      <c r="E423" s="6" t="str">
        <f t="shared" si="6"/>
        <v>PROT:AST09344.1</v>
      </c>
      <c r="F423" t="s">
        <v>777</v>
      </c>
      <c r="G423" t="s">
        <v>50</v>
      </c>
      <c r="H423" t="s">
        <v>2671</v>
      </c>
      <c r="I423" t="str">
        <f>INDEX(Genomes!$I:$I,(MATCH(AllProteins!H423,Genomes!$B:$B,0)))</f>
        <v>MF001304-Murmansk_poxvirus</v>
      </c>
      <c r="J423">
        <f>INDEX(Genomes!$A:$A,(MATCH(AllProteins!H423,Genomes!$B:$B,0)))</f>
        <v>27</v>
      </c>
      <c r="K423" t="str">
        <f>INDEX(Genomes!$J:$J,(MATCH(AllProteins!H423,Genomes!$B:$B,0)))</f>
        <v>Y</v>
      </c>
    </row>
    <row r="424" spans="1:11" x14ac:dyDescent="0.2">
      <c r="A424">
        <f>INDEX(CoreProteinGroups!A:A,MATCH(B424,CoreProteinGroups!B:B,0))</f>
        <v>7</v>
      </c>
      <c r="B424" s="1" t="s">
        <v>750</v>
      </c>
      <c r="C424" t="str">
        <f>VLOOKUP(B424,CoreProteinGroups!$B:$C,2,FALSE)</f>
        <v>ATPase DNA packaging protein</v>
      </c>
      <c r="D424" t="s">
        <v>778</v>
      </c>
      <c r="E424" s="6" t="str">
        <f t="shared" si="6"/>
        <v>PROT:AEN03726.1</v>
      </c>
      <c r="F424" t="s">
        <v>777</v>
      </c>
      <c r="G424" t="s">
        <v>52</v>
      </c>
      <c r="H424" t="s">
        <v>2698</v>
      </c>
      <c r="I424" t="str">
        <f>INDEX(Genomes!$I:$I,(MATCH(AllProteins!H424,Genomes!$B:$B,0)))</f>
        <v>HQ849551-yokapox_virus</v>
      </c>
      <c r="J424">
        <f>INDEX(Genomes!$A:$A,(MATCH(AllProteins!H424,Genomes!$B:$B,0)))</f>
        <v>57</v>
      </c>
      <c r="K424" t="str">
        <f>INDEX(Genomes!$J:$J,(MATCH(AllProteins!H424,Genomes!$B:$B,0)))</f>
        <v>Y</v>
      </c>
    </row>
    <row r="425" spans="1:11" x14ac:dyDescent="0.2">
      <c r="A425">
        <f>INDEX(CoreProteinGroups!A:A,MATCH(B425,CoreProteinGroups!B:B,0))</f>
        <v>7</v>
      </c>
      <c r="B425" s="1" t="s">
        <v>750</v>
      </c>
      <c r="C425" t="str">
        <f>VLOOKUP(B425,CoreProteinGroups!$B:$C,2,FALSE)</f>
        <v>ATPase DNA packaging protein</v>
      </c>
      <c r="D425" t="s">
        <v>779</v>
      </c>
      <c r="E425" s="6" t="str">
        <f t="shared" si="6"/>
        <v>PROT:ABI99286.1</v>
      </c>
      <c r="F425" t="s">
        <v>758</v>
      </c>
      <c r="G425" t="s">
        <v>54</v>
      </c>
      <c r="H425" t="s">
        <v>2661</v>
      </c>
      <c r="I425" t="str">
        <f>INDEX(Genomes!$I:$I,(MATCH(AllProteins!H425,Genomes!$B:$B,0)))</f>
        <v>AY689436-mule_deerpox_virus</v>
      </c>
      <c r="J425">
        <f>INDEX(Genomes!$A:$A,(MATCH(AllProteins!H425,Genomes!$B:$B,0)))</f>
        <v>15</v>
      </c>
      <c r="K425" t="str">
        <f>INDEX(Genomes!$J:$J,(MATCH(AllProteins!H425,Genomes!$B:$B,0)))</f>
        <v>Y</v>
      </c>
    </row>
    <row r="426" spans="1:11" x14ac:dyDescent="0.2">
      <c r="A426">
        <f>INDEX(CoreProteinGroups!A:A,MATCH(B426,CoreProteinGroups!B:B,0))</f>
        <v>7</v>
      </c>
      <c r="B426" s="1" t="s">
        <v>750</v>
      </c>
      <c r="C426" t="str">
        <f>VLOOKUP(B426,CoreProteinGroups!$B:$C,2,FALSE)</f>
        <v>ATPase DNA packaging protein</v>
      </c>
      <c r="D426" t="s">
        <v>780</v>
      </c>
      <c r="E426" s="6" t="str">
        <f t="shared" si="6"/>
        <v>PROT:ABJ09045.1</v>
      </c>
      <c r="F426" t="s">
        <v>781</v>
      </c>
      <c r="G426" t="s">
        <v>56</v>
      </c>
      <c r="H426" t="s">
        <v>2677</v>
      </c>
      <c r="I426" t="str">
        <f>INDEX(Genomes!$I:$I,(MATCH(AllProteins!H426,Genomes!$B:$B,0)))</f>
        <v>DQ356948-Nile_crocodilepox_virus</v>
      </c>
      <c r="J426">
        <f>INDEX(Genomes!$A:$A,(MATCH(AllProteins!H426,Genomes!$B:$B,0)))</f>
        <v>34</v>
      </c>
      <c r="K426" t="str">
        <f>INDEX(Genomes!$J:$J,(MATCH(AllProteins!H426,Genomes!$B:$B,0)))</f>
        <v>Y</v>
      </c>
    </row>
    <row r="427" spans="1:11" x14ac:dyDescent="0.2">
      <c r="A427">
        <f>INDEX(CoreProteinGroups!A:A,MATCH(B427,CoreProteinGroups!B:B,0))</f>
        <v>7</v>
      </c>
      <c r="B427" s="1" t="s">
        <v>750</v>
      </c>
      <c r="C427" t="str">
        <f>VLOOKUP(B427,CoreProteinGroups!$B:$C,2,FALSE)</f>
        <v>ATPase DNA packaging protein</v>
      </c>
      <c r="D427" t="s">
        <v>782</v>
      </c>
      <c r="E427" s="6" t="str">
        <f t="shared" si="6"/>
        <v>PROT:AAF15008.1</v>
      </c>
      <c r="F427" t="s">
        <v>783</v>
      </c>
      <c r="G427" t="s">
        <v>2584</v>
      </c>
      <c r="H427" t="s">
        <v>2676</v>
      </c>
      <c r="I427" t="str">
        <f>INDEX(Genomes!$I:$I,(MATCH(AllProteins!H427,Genomes!$B:$B,0)))</f>
        <v>AF170726-myxoma_virus</v>
      </c>
      <c r="J427">
        <f>INDEX(Genomes!$A:$A,(MATCH(AllProteins!H427,Genomes!$B:$B,0)))</f>
        <v>32</v>
      </c>
      <c r="K427" t="str">
        <f>INDEX(Genomes!$J:$J,(MATCH(AllProteins!H427,Genomes!$B:$B,0)))</f>
        <v>Y</v>
      </c>
    </row>
    <row r="428" spans="1:11" x14ac:dyDescent="0.2">
      <c r="A428">
        <f>INDEX(CoreProteinGroups!A:A,MATCH(B428,CoreProteinGroups!B:B,0))</f>
        <v>7</v>
      </c>
      <c r="B428" s="1" t="s">
        <v>750</v>
      </c>
      <c r="C428" t="str">
        <f>VLOOKUP(B428,CoreProteinGroups!$B:$C,2,FALSE)</f>
        <v>ATPase DNA packaging protein</v>
      </c>
      <c r="D428" t="s">
        <v>784</v>
      </c>
      <c r="E428" s="6" t="str">
        <f t="shared" si="6"/>
        <v>PROT:AFU77384.1</v>
      </c>
      <c r="F428" t="s">
        <v>783</v>
      </c>
      <c r="G428" t="s">
        <v>2553</v>
      </c>
      <c r="H428" t="s">
        <v>2646</v>
      </c>
      <c r="I428" t="str">
        <f>INDEX(Genomes!$I:$I,(MATCH(AllProteins!H428,Genomes!$B:$B,0)))</f>
        <v>JX565564-myxoma_virus_isolate_BRK_897</v>
      </c>
      <c r="J428">
        <f>INDEX(Genomes!$A:$A,(MATCH(AllProteins!H428,Genomes!$B:$B,0)))</f>
        <v>33</v>
      </c>
      <c r="K428" t="str">
        <f>INDEX(Genomes!$J:$J,(MATCH(AllProteins!H428,Genomes!$B:$B,0)))</f>
        <v>N</v>
      </c>
    </row>
    <row r="429" spans="1:11" x14ac:dyDescent="0.2">
      <c r="A429">
        <f>INDEX(CoreProteinGroups!A:A,MATCH(B429,CoreProteinGroups!B:B,0))</f>
        <v>7</v>
      </c>
      <c r="B429" s="1" t="s">
        <v>750</v>
      </c>
      <c r="C429" t="str">
        <f>VLOOKUP(B429,CoreProteinGroups!$B:$C,2,FALSE)</f>
        <v>ATPase DNA packaging protein</v>
      </c>
      <c r="D429" t="s">
        <v>785</v>
      </c>
      <c r="E429" s="6" t="str">
        <f t="shared" si="6"/>
        <v>PROT:AAF18002.1</v>
      </c>
      <c r="F429" t="s">
        <v>786</v>
      </c>
      <c r="G429" t="s">
        <v>62</v>
      </c>
      <c r="H429" t="s">
        <v>2685</v>
      </c>
      <c r="I429" t="str">
        <f>INDEX(Genomes!$I:$I,(MATCH(AllProteins!H429,Genomes!$B:$B,0)))</f>
        <v>AF170722-rabbit_fibroma_virus</v>
      </c>
      <c r="J429">
        <f>INDEX(Genomes!$A:$A,(MATCH(AllProteins!H429,Genomes!$B:$B,0)))</f>
        <v>43</v>
      </c>
      <c r="K429" t="str">
        <f>INDEX(Genomes!$J:$J,(MATCH(AllProteins!H429,Genomes!$B:$B,0)))</f>
        <v>Y</v>
      </c>
    </row>
    <row r="430" spans="1:11" x14ac:dyDescent="0.2">
      <c r="A430">
        <f>INDEX(CoreProteinGroups!A:A,MATCH(B430,CoreProteinGroups!B:B,0))</f>
        <v>7</v>
      </c>
      <c r="B430" s="1" t="s">
        <v>750</v>
      </c>
      <c r="C430" t="str">
        <f>VLOOKUP(B430,CoreProteinGroups!$B:$C,2,FALSE)</f>
        <v>ATPase DNA packaging protein</v>
      </c>
      <c r="D430" t="s">
        <v>787</v>
      </c>
      <c r="E430" s="6" t="str">
        <f t="shared" si="6"/>
        <v>PROT:AAC55268.1</v>
      </c>
      <c r="F430" t="s">
        <v>788</v>
      </c>
      <c r="G430" t="s">
        <v>65</v>
      </c>
      <c r="H430" t="s">
        <v>2670</v>
      </c>
      <c r="I430" t="str">
        <f>INDEX(Genomes!$I:$I,(MATCH(AllProteins!H430,Genomes!$B:$B,0)))</f>
        <v>U60315-molluscum_contagiosum_virus</v>
      </c>
      <c r="J430">
        <f>INDEX(Genomes!$A:$A,(MATCH(AllProteins!H430,Genomes!$B:$B,0)))</f>
        <v>26</v>
      </c>
      <c r="K430" t="str">
        <f>INDEX(Genomes!$J:$J,(MATCH(AllProteins!H430,Genomes!$B:$B,0)))</f>
        <v>Y</v>
      </c>
    </row>
    <row r="431" spans="1:11" x14ac:dyDescent="0.2">
      <c r="A431">
        <f>INDEX(CoreProteinGroups!A:A,MATCH(B431,CoreProteinGroups!B:B,0))</f>
        <v>7</v>
      </c>
      <c r="B431" s="1" t="s">
        <v>750</v>
      </c>
      <c r="C431" t="str">
        <f>VLOOKUP(B431,CoreProteinGroups!$B:$C,2,FALSE)</f>
        <v>ATPase DNA packaging protein</v>
      </c>
      <c r="D431" t="s">
        <v>789</v>
      </c>
      <c r="E431" s="6" t="str">
        <f t="shared" si="6"/>
        <v>PROT:AYN64719.1</v>
      </c>
      <c r="F431" t="s">
        <v>790</v>
      </c>
      <c r="G431" t="s">
        <v>68</v>
      </c>
      <c r="H431" t="s">
        <v>2647</v>
      </c>
      <c r="I431" t="str">
        <f>INDEX(Genomes!$I:$I,(MATCH(AllProteins!H431,Genomes!$B:$B,0)))</f>
        <v>MH816996-orthopoxvirus_abatino</v>
      </c>
      <c r="J431">
        <f>INDEX(Genomes!$A:$A,(MATCH(AllProteins!H431,Genomes!$B:$B,0)))</f>
        <v>1</v>
      </c>
      <c r="K431" t="str">
        <f>INDEX(Genomes!$J:$J,(MATCH(AllProteins!H431,Genomes!$B:$B,0)))</f>
        <v>Y</v>
      </c>
    </row>
    <row r="432" spans="1:11" x14ac:dyDescent="0.2">
      <c r="A432">
        <f>INDEX(CoreProteinGroups!A:A,MATCH(B432,CoreProteinGroups!B:B,0))</f>
        <v>7</v>
      </c>
      <c r="B432" s="1" t="s">
        <v>750</v>
      </c>
      <c r="C432" t="str">
        <f>VLOOKUP(B432,CoreProteinGroups!$B:$C,2,FALSE)</f>
        <v>ATPase DNA packaging protein</v>
      </c>
      <c r="D432" t="s">
        <v>791</v>
      </c>
      <c r="E432" s="6" t="str">
        <f t="shared" si="6"/>
        <v>PROT:AXN74948.1</v>
      </c>
      <c r="F432" t="s">
        <v>781</v>
      </c>
      <c r="G432" t="s">
        <v>70</v>
      </c>
      <c r="H432" t="s">
        <v>2650</v>
      </c>
      <c r="I432" t="str">
        <f>INDEX(Genomes!$I:$I,(MATCH(AllProteins!H432,Genomes!$B:$B,0)))</f>
        <v>MH607141-Akhmeta_virus</v>
      </c>
      <c r="J432">
        <f>INDEX(Genomes!$A:$A,(MATCH(AllProteins!H432,Genomes!$B:$B,0)))</f>
        <v>4</v>
      </c>
      <c r="K432" t="str">
        <f>INDEX(Genomes!$J:$J,(MATCH(AllProteins!H432,Genomes!$B:$B,0)))</f>
        <v>Y</v>
      </c>
    </row>
    <row r="433" spans="1:11" x14ac:dyDescent="0.2">
      <c r="A433">
        <f>INDEX(CoreProteinGroups!A:A,MATCH(B433,CoreProteinGroups!B:B,0))</f>
        <v>7</v>
      </c>
      <c r="B433" s="1" t="s">
        <v>750</v>
      </c>
      <c r="C433" t="str">
        <f>VLOOKUP(B433,CoreProteinGroups!$B:$C,2,FALSE)</f>
        <v>ATPase DNA packaging protein</v>
      </c>
      <c r="D433" t="s">
        <v>792</v>
      </c>
      <c r="E433" s="6" t="str">
        <f t="shared" si="6"/>
        <v>PROT:ABH08262.1</v>
      </c>
      <c r="F433" t="s">
        <v>793</v>
      </c>
      <c r="G433" t="s">
        <v>73</v>
      </c>
      <c r="H433" t="s">
        <v>2668</v>
      </c>
      <c r="I433" t="str">
        <f>INDEX(Genomes!$I:$I,(MATCH(AllProteins!H433,Genomes!$B:$B,0)))</f>
        <v>DQ792504-horsepox_virus</v>
      </c>
      <c r="J433">
        <f>INDEX(Genomes!$A:$A,(MATCH(AllProteins!H433,Genomes!$B:$B,0)))</f>
        <v>24</v>
      </c>
      <c r="K433" t="str">
        <f>INDEX(Genomes!$J:$J,(MATCH(AllProteins!H433,Genomes!$B:$B,0)))</f>
        <v>Y</v>
      </c>
    </row>
    <row r="434" spans="1:11" x14ac:dyDescent="0.2">
      <c r="A434">
        <f>INDEX(CoreProteinGroups!A:A,MATCH(B434,CoreProteinGroups!B:B,0))</f>
        <v>7</v>
      </c>
      <c r="B434" s="1" t="s">
        <v>750</v>
      </c>
      <c r="C434" t="str">
        <f>VLOOKUP(B434,CoreProteinGroups!$B:$C,2,FALSE)</f>
        <v>ATPase DNA packaging protein</v>
      </c>
      <c r="D434" t="s">
        <v>794</v>
      </c>
      <c r="E434" s="6" t="str">
        <f t="shared" si="6"/>
        <v>PROT:AAG37644.1</v>
      </c>
      <c r="F434" t="s">
        <v>795</v>
      </c>
      <c r="G434" t="s">
        <v>76</v>
      </c>
      <c r="H434" t="s">
        <v>2655</v>
      </c>
      <c r="I434" t="str">
        <f>INDEX(Genomes!$I:$I,(MATCH(AllProteins!H434,Genomes!$B:$B,0)))</f>
        <v>AY009089-camelpox_virus_CMS</v>
      </c>
      <c r="J434">
        <f>INDEX(Genomes!$A:$A,(MATCH(AllProteins!H434,Genomes!$B:$B,0)))</f>
        <v>9</v>
      </c>
      <c r="K434" t="str">
        <f>INDEX(Genomes!$J:$J,(MATCH(AllProteins!H434,Genomes!$B:$B,0)))</f>
        <v>N</v>
      </c>
    </row>
    <row r="435" spans="1:11" x14ac:dyDescent="0.2">
      <c r="A435">
        <f>INDEX(CoreProteinGroups!A:A,MATCH(B435,CoreProteinGroups!B:B,0))</f>
        <v>7</v>
      </c>
      <c r="B435" s="1" t="s">
        <v>750</v>
      </c>
      <c r="C435" t="str">
        <f>VLOOKUP(B435,CoreProteinGroups!$B:$C,2,FALSE)</f>
        <v>ATPase DNA packaging protein</v>
      </c>
      <c r="D435" t="s">
        <v>796</v>
      </c>
      <c r="E435" s="6" t="str">
        <f t="shared" si="6"/>
        <v>PROT:AAL73858.1</v>
      </c>
      <c r="F435" t="s">
        <v>797</v>
      </c>
      <c r="G435" t="s">
        <v>79</v>
      </c>
      <c r="H435" t="s">
        <v>2654</v>
      </c>
      <c r="I435" t="str">
        <f>INDEX(Genomes!$I:$I,(MATCH(AllProteins!H435,Genomes!$B:$B,0)))</f>
        <v>AF438165-camelpox_virus</v>
      </c>
      <c r="J435">
        <f>INDEX(Genomes!$A:$A,(MATCH(AllProteins!H435,Genomes!$B:$B,0)))</f>
        <v>8</v>
      </c>
      <c r="K435" t="str">
        <f>INDEX(Genomes!$J:$J,(MATCH(AllProteins!H435,Genomes!$B:$B,0)))</f>
        <v>Y</v>
      </c>
    </row>
    <row r="436" spans="1:11" x14ac:dyDescent="0.2">
      <c r="A436">
        <f>INDEX(CoreProteinGroups!A:A,MATCH(B436,CoreProteinGroups!B:B,0))</f>
        <v>7</v>
      </c>
      <c r="B436" s="1" t="s">
        <v>750</v>
      </c>
      <c r="C436" t="str">
        <f>VLOOKUP(B436,CoreProteinGroups!$B:$C,2,FALSE)</f>
        <v>ATPase DNA packaging protein</v>
      </c>
      <c r="D436" t="s">
        <v>798</v>
      </c>
      <c r="E436" s="6" t="str">
        <f t="shared" si="6"/>
        <v>PROT:AAM13609.1</v>
      </c>
      <c r="F436" t="s">
        <v>799</v>
      </c>
      <c r="G436" t="s">
        <v>82</v>
      </c>
      <c r="H436" t="s">
        <v>2659</v>
      </c>
      <c r="I436" t="str">
        <f>INDEX(Genomes!$I:$I,(MATCH(AllProteins!H436,Genomes!$B:$B,0)))</f>
        <v>AF482758-cowpox_virus</v>
      </c>
      <c r="J436">
        <f>INDEX(Genomes!$A:$A,(MATCH(AllProteins!H436,Genomes!$B:$B,0)))</f>
        <v>13</v>
      </c>
      <c r="K436" t="str">
        <f>INDEX(Genomes!$J:$J,(MATCH(AllProteins!H436,Genomes!$B:$B,0)))</f>
        <v>Y</v>
      </c>
    </row>
    <row r="437" spans="1:11" x14ac:dyDescent="0.2">
      <c r="A437">
        <f>INDEX(CoreProteinGroups!A:A,MATCH(B437,CoreProteinGroups!B:B,0))</f>
        <v>7</v>
      </c>
      <c r="B437" s="1" t="s">
        <v>750</v>
      </c>
      <c r="C437" t="str">
        <f>VLOOKUP(B437,CoreProteinGroups!$B:$C,2,FALSE)</f>
        <v>ATPase DNA packaging protein</v>
      </c>
      <c r="D437" t="s">
        <v>800</v>
      </c>
      <c r="E437" s="6" t="str">
        <f t="shared" si="6"/>
        <v>PROT:AAM92439.1</v>
      </c>
      <c r="F437" t="s">
        <v>801</v>
      </c>
      <c r="G437" t="s">
        <v>85</v>
      </c>
      <c r="H437" t="s">
        <v>2662</v>
      </c>
      <c r="I437" t="str">
        <f>INDEX(Genomes!$I:$I,(MATCH(AllProteins!H437,Genomes!$B:$B,0)))</f>
        <v>AF012825-ectromelia_virus</v>
      </c>
      <c r="J437">
        <f>INDEX(Genomes!$A:$A,(MATCH(AllProteins!H437,Genomes!$B:$B,0)))</f>
        <v>16</v>
      </c>
      <c r="K437" t="str">
        <f>INDEX(Genomes!$J:$J,(MATCH(AllProteins!H437,Genomes!$B:$B,0)))</f>
        <v>Y</v>
      </c>
    </row>
    <row r="438" spans="1:11" x14ac:dyDescent="0.2">
      <c r="A438">
        <f>INDEX(CoreProteinGroups!A:A,MATCH(B438,CoreProteinGroups!B:B,0))</f>
        <v>7</v>
      </c>
      <c r="B438" s="1" t="s">
        <v>750</v>
      </c>
      <c r="C438" t="str">
        <f>VLOOKUP(B438,CoreProteinGroups!$B:$C,2,FALSE)</f>
        <v>ATPase DNA packaging protein</v>
      </c>
      <c r="D438" t="s">
        <v>802</v>
      </c>
      <c r="E438" s="6" t="str">
        <f t="shared" si="6"/>
        <v>PROT:AFH54701.1</v>
      </c>
      <c r="F438" t="s">
        <v>803</v>
      </c>
      <c r="G438" t="s">
        <v>87</v>
      </c>
      <c r="H438" t="s">
        <v>2619</v>
      </c>
      <c r="I438" t="str">
        <f>INDEX(Genomes!$I:$I,(MATCH(AllProteins!H438,Genomes!$B:$B,0)))</f>
        <v>JQ410350-ectromelia_virus_strain_ERPV</v>
      </c>
      <c r="J438">
        <f>INDEX(Genomes!$A:$A,(MATCH(AllProteins!H438,Genomes!$B:$B,0)))</f>
        <v>17</v>
      </c>
      <c r="K438" t="str">
        <f>INDEX(Genomes!$J:$J,(MATCH(AllProteins!H438,Genomes!$B:$B,0)))</f>
        <v>N</v>
      </c>
    </row>
    <row r="439" spans="1:11" x14ac:dyDescent="0.2">
      <c r="A439">
        <f>INDEX(CoreProteinGroups!A:A,MATCH(B439,CoreProteinGroups!B:B,0))</f>
        <v>7</v>
      </c>
      <c r="B439" s="1" t="s">
        <v>750</v>
      </c>
      <c r="C439" t="str">
        <f>VLOOKUP(B439,CoreProteinGroups!$B:$C,2,FALSE)</f>
        <v>ATPase DNA packaging protein</v>
      </c>
      <c r="D439" t="s">
        <v>804</v>
      </c>
      <c r="E439" s="6" t="str">
        <f t="shared" si="6"/>
        <v>PROT:AAL40602.1</v>
      </c>
      <c r="F439" t="s">
        <v>805</v>
      </c>
      <c r="G439" t="s">
        <v>90</v>
      </c>
      <c r="H439" t="s">
        <v>2673</v>
      </c>
      <c r="I439" t="str">
        <f>INDEX(Genomes!$I:$I,(MATCH(AllProteins!H439,Genomes!$B:$B,0)))</f>
        <v>AF380138-monkeypox_virus_(clade_I)</v>
      </c>
      <c r="J439">
        <f>INDEX(Genomes!$A:$A,(MATCH(AllProteins!H439,Genomes!$B:$B,0)))</f>
        <v>29</v>
      </c>
      <c r="K439" t="str">
        <f>INDEX(Genomes!$J:$J,(MATCH(AllProteins!H439,Genomes!$B:$B,0)))</f>
        <v>Y</v>
      </c>
    </row>
    <row r="440" spans="1:11" x14ac:dyDescent="0.2">
      <c r="A440">
        <f>INDEX(CoreProteinGroups!A:A,MATCH(B440,CoreProteinGroups!B:B,0))</f>
        <v>7</v>
      </c>
      <c r="B440" s="1" t="s">
        <v>750</v>
      </c>
      <c r="C440" t="str">
        <f>VLOOKUP(B440,CoreProteinGroups!$B:$C,2,FALSE)</f>
        <v>ATPase DNA packaging protein</v>
      </c>
      <c r="D440" t="s">
        <v>806</v>
      </c>
      <c r="E440" s="6" t="str">
        <f t="shared" si="6"/>
        <v>PROT:AAX09239.1</v>
      </c>
      <c r="F440" t="s">
        <v>807</v>
      </c>
      <c r="G440" t="s">
        <v>93</v>
      </c>
      <c r="H440" t="s">
        <v>2672</v>
      </c>
      <c r="I440" t="str">
        <f>INDEX(Genomes!$I:$I,(MATCH(AllProteins!H440,Genomes!$B:$B,0)))</f>
        <v>AY753185-monkeypox_virus_(clade_IIa)</v>
      </c>
      <c r="J440">
        <f>INDEX(Genomes!$A:$A,(MATCH(AllProteins!H440,Genomes!$B:$B,0)))</f>
        <v>28</v>
      </c>
      <c r="K440" t="str">
        <f>INDEX(Genomes!$J:$J,(MATCH(AllProteins!H440,Genomes!$B:$B,0)))</f>
        <v>Y</v>
      </c>
    </row>
    <row r="441" spans="1:11" x14ac:dyDescent="0.2">
      <c r="A441">
        <f>INDEX(CoreProteinGroups!A:A,MATCH(B441,CoreProteinGroups!B:B,0))</f>
        <v>7</v>
      </c>
      <c r="B441" s="1" t="s">
        <v>750</v>
      </c>
      <c r="C441" t="str">
        <f>VLOOKUP(B441,CoreProteinGroups!$B:$C,2,FALSE)</f>
        <v>ATPase DNA packaging protein</v>
      </c>
      <c r="D441" t="s">
        <v>808</v>
      </c>
      <c r="E441" s="6" t="str">
        <f t="shared" si="6"/>
        <v>PROT:AKJ93782.1</v>
      </c>
      <c r="F441" t="s">
        <v>781</v>
      </c>
      <c r="G441" t="s">
        <v>95</v>
      </c>
      <c r="H441" t="s">
        <v>2683</v>
      </c>
      <c r="I441" t="str">
        <f>INDEX(Genomes!$I:$I,(MATCH(AllProteins!H441,Genomes!$B:$B,0)))</f>
        <v>KP143769-raccoonpox_virus</v>
      </c>
      <c r="J441">
        <f>INDEX(Genomes!$A:$A,(MATCH(AllProteins!H441,Genomes!$B:$B,0)))</f>
        <v>41</v>
      </c>
      <c r="K441" t="str">
        <f>INDEX(Genomes!$J:$J,(MATCH(AllProteins!H441,Genomes!$B:$B,0)))</f>
        <v>Y</v>
      </c>
    </row>
    <row r="442" spans="1:11" x14ac:dyDescent="0.2">
      <c r="A442">
        <f>INDEX(CoreProteinGroups!A:A,MATCH(B442,CoreProteinGroups!B:B,0))</f>
        <v>7</v>
      </c>
      <c r="B442" s="1" t="s">
        <v>750</v>
      </c>
      <c r="C442" t="str">
        <f>VLOOKUP(B442,CoreProteinGroups!$B:$C,2,FALSE)</f>
        <v>ATPase DNA packaging protein</v>
      </c>
      <c r="D442" t="s">
        <v>809</v>
      </c>
      <c r="E442" s="6" t="str">
        <f t="shared" si="6"/>
        <v>PROT:AOP31631.1</v>
      </c>
      <c r="F442" t="s">
        <v>753</v>
      </c>
      <c r="G442" t="s">
        <v>97</v>
      </c>
      <c r="H442" t="s">
        <v>2686</v>
      </c>
      <c r="I442" t="str">
        <f>INDEX(Genomes!$I:$I,(MATCH(AllProteins!H442,Genomes!$B:$B,0)))</f>
        <v>KU749310-skunkpox_virus</v>
      </c>
      <c r="J442">
        <f>INDEX(Genomes!$A:$A,(MATCH(AllProteins!H442,Genomes!$B:$B,0)))</f>
        <v>45</v>
      </c>
      <c r="K442" t="str">
        <f>INDEX(Genomes!$J:$J,(MATCH(AllProteins!H442,Genomes!$B:$B,0)))</f>
        <v>Y</v>
      </c>
    </row>
    <row r="443" spans="1:11" x14ac:dyDescent="0.2">
      <c r="A443">
        <f>INDEX(CoreProteinGroups!A:A,MATCH(B443,CoreProteinGroups!B:B,0))</f>
        <v>7</v>
      </c>
      <c r="B443" s="1" t="s">
        <v>750</v>
      </c>
      <c r="C443" t="str">
        <f>VLOOKUP(B443,CoreProteinGroups!$B:$C,2,FALSE)</f>
        <v>ATPase DNA packaging protein</v>
      </c>
      <c r="D443" t="s">
        <v>810</v>
      </c>
      <c r="E443" s="6" t="str">
        <f t="shared" si="6"/>
        <v>PROT:ABD97722.1</v>
      </c>
      <c r="F443" t="s">
        <v>781</v>
      </c>
      <c r="G443" t="s">
        <v>99</v>
      </c>
      <c r="H443" t="s">
        <v>2691</v>
      </c>
      <c r="I443" t="str">
        <f>INDEX(Genomes!$I:$I,(MATCH(AllProteins!H443,Genomes!$B:$B,0)))</f>
        <v>DQ437594-taterapox_virus</v>
      </c>
      <c r="J443">
        <f>INDEX(Genomes!$A:$A,(MATCH(AllProteins!H443,Genomes!$B:$B,0)))</f>
        <v>50</v>
      </c>
      <c r="K443" t="str">
        <f>INDEX(Genomes!$J:$J,(MATCH(AllProteins!H443,Genomes!$B:$B,0)))</f>
        <v>Y</v>
      </c>
    </row>
    <row r="444" spans="1:11" x14ac:dyDescent="0.2">
      <c r="A444">
        <f>INDEX(CoreProteinGroups!A:A,MATCH(B444,CoreProteinGroups!B:B,0))</f>
        <v>7</v>
      </c>
      <c r="B444" s="1" t="s">
        <v>750</v>
      </c>
      <c r="C444" t="str">
        <f>VLOOKUP(B444,CoreProteinGroups!$B:$C,2,FALSE)</f>
        <v>ATPase DNA packaging protein</v>
      </c>
      <c r="D444" t="s">
        <v>811</v>
      </c>
      <c r="E444" s="6" t="str">
        <f t="shared" si="6"/>
        <v>PROT:AAO89434.1</v>
      </c>
      <c r="F444" t="s">
        <v>812</v>
      </c>
      <c r="G444" t="s">
        <v>101</v>
      </c>
      <c r="H444" t="s">
        <v>2693</v>
      </c>
      <c r="I444" t="str">
        <f>INDEX(Genomes!$I:$I,(MATCH(AllProteins!H444,Genomes!$B:$B,0)))</f>
        <v>AY243312-vaccinia_virus</v>
      </c>
      <c r="J444">
        <f>INDEX(Genomes!$A:$A,(MATCH(AllProteins!H444,Genomes!$B:$B,0)))</f>
        <v>52</v>
      </c>
      <c r="K444" t="str">
        <f>INDEX(Genomes!$J:$J,(MATCH(AllProteins!H444,Genomes!$B:$B,0)))</f>
        <v>Y</v>
      </c>
    </row>
    <row r="445" spans="1:11" x14ac:dyDescent="0.2">
      <c r="A445">
        <f>INDEX(CoreProteinGroups!A:A,MATCH(B445,CoreProteinGroups!B:B,0))</f>
        <v>7</v>
      </c>
      <c r="B445" s="1" t="s">
        <v>750</v>
      </c>
      <c r="C445" t="str">
        <f>VLOOKUP(B445,CoreProteinGroups!$B:$C,2,FALSE)</f>
        <v>ATPase DNA packaging protein</v>
      </c>
      <c r="D445" t="s">
        <v>813</v>
      </c>
      <c r="E445" s="6" t="str">
        <f t="shared" si="6"/>
        <v>PROT:CAA49080.1</v>
      </c>
      <c r="F445" t="s">
        <v>814</v>
      </c>
      <c r="G445" t="s">
        <v>2585</v>
      </c>
      <c r="H445" t="s">
        <v>2694</v>
      </c>
      <c r="I445" t="str">
        <f>INDEX(Genomes!$I:$I,(MATCH(AllProteins!H445,Genomes!$B:$B,0)))</f>
        <v>X69198-variola_major_virus</v>
      </c>
      <c r="J445">
        <f>INDEX(Genomes!$A:$A,(MATCH(AllProteins!H445,Genomes!$B:$B,0)))</f>
        <v>53</v>
      </c>
      <c r="K445" t="str">
        <f>INDEX(Genomes!$J:$J,(MATCH(AllProteins!H445,Genomes!$B:$B,0)))</f>
        <v>Y</v>
      </c>
    </row>
    <row r="446" spans="1:11" x14ac:dyDescent="0.2">
      <c r="A446">
        <f>INDEX(CoreProteinGroups!A:A,MATCH(B446,CoreProteinGroups!B:B,0))</f>
        <v>7</v>
      </c>
      <c r="B446" s="1" t="s">
        <v>750</v>
      </c>
      <c r="C446" t="str">
        <f>VLOOKUP(B446,CoreProteinGroups!$B:$C,2,FALSE)</f>
        <v>ATPase DNA packaging protein</v>
      </c>
      <c r="D446" t="s">
        <v>815</v>
      </c>
      <c r="E446" s="6" t="str">
        <f t="shared" si="6"/>
        <v>PROT:CAB54739.1</v>
      </c>
      <c r="F446" t="s">
        <v>816</v>
      </c>
      <c r="G446" t="s">
        <v>106</v>
      </c>
      <c r="H446" t="s">
        <v>2695</v>
      </c>
      <c r="I446" t="str">
        <f>INDEX(Genomes!$I:$I,(MATCH(AllProteins!H446,Genomes!$B:$B,0)))</f>
        <v>Y16780-variola_minor_virus</v>
      </c>
      <c r="J446">
        <f>INDEX(Genomes!$A:$A,(MATCH(AllProteins!H446,Genomes!$B:$B,0)))</f>
        <v>54</v>
      </c>
      <c r="K446" t="str">
        <f>INDEX(Genomes!$J:$J,(MATCH(AllProteins!H446,Genomes!$B:$B,0)))</f>
        <v>Y</v>
      </c>
    </row>
    <row r="447" spans="1:11" x14ac:dyDescent="0.2">
      <c r="A447">
        <f>INDEX(CoreProteinGroups!A:A,MATCH(B447,CoreProteinGroups!B:B,0))</f>
        <v>7</v>
      </c>
      <c r="B447" s="1" t="s">
        <v>750</v>
      </c>
      <c r="C447" t="str">
        <f>VLOOKUP(B447,CoreProteinGroups!$B:$C,2,FALSE)</f>
        <v>ATPase DNA packaging protein</v>
      </c>
      <c r="D447" t="s">
        <v>817</v>
      </c>
      <c r="E447" s="6" t="str">
        <f t="shared" si="6"/>
        <v>PROT:AOP31842.1</v>
      </c>
      <c r="F447" t="s">
        <v>753</v>
      </c>
      <c r="G447" t="s">
        <v>108</v>
      </c>
      <c r="H447" t="s">
        <v>2696</v>
      </c>
      <c r="I447" t="str">
        <f>INDEX(Genomes!$I:$I,(MATCH(AllProteins!H447,Genomes!$B:$B,0)))</f>
        <v>KU749311-volepox_virus</v>
      </c>
      <c r="J447">
        <f>INDEX(Genomes!$A:$A,(MATCH(AllProteins!H447,Genomes!$B:$B,0)))</f>
        <v>55</v>
      </c>
      <c r="K447" t="str">
        <f>INDEX(Genomes!$J:$J,(MATCH(AllProteins!H447,Genomes!$B:$B,0)))</f>
        <v>Y</v>
      </c>
    </row>
    <row r="448" spans="1:11" x14ac:dyDescent="0.2">
      <c r="A448">
        <f>INDEX(CoreProteinGroups!A:A,MATCH(B448,CoreProteinGroups!B:B,0))</f>
        <v>7</v>
      </c>
      <c r="B448" s="1" t="s">
        <v>750</v>
      </c>
      <c r="C448" t="str">
        <f>VLOOKUP(B448,CoreProteinGroups!$B:$C,2,FALSE)</f>
        <v>ATPase DNA packaging protein</v>
      </c>
      <c r="D448" t="s">
        <v>818</v>
      </c>
      <c r="E448" s="6" t="str">
        <f t="shared" si="6"/>
        <v>PROT:ASC55541.1</v>
      </c>
      <c r="F448" t="s">
        <v>819</v>
      </c>
      <c r="G448" t="s">
        <v>111</v>
      </c>
      <c r="H448" t="s">
        <v>2667</v>
      </c>
      <c r="I448" t="str">
        <f>INDEX(Genomes!$I:$I,(MATCH(AllProteins!H448,Genomes!$B:$B,0)))</f>
        <v>KY382358-seal_parapoxvirus</v>
      </c>
      <c r="J448">
        <f>INDEX(Genomes!$A:$A,(MATCH(AllProteins!H448,Genomes!$B:$B,0)))</f>
        <v>22</v>
      </c>
      <c r="K448" t="str">
        <f>INDEX(Genomes!$J:$J,(MATCH(AllProteins!H448,Genomes!$B:$B,0)))</f>
        <v>Y</v>
      </c>
    </row>
    <row r="449" spans="1:11" x14ac:dyDescent="0.2">
      <c r="A449">
        <f>INDEX(CoreProteinGroups!A:A,MATCH(B449,CoreProteinGroups!B:B,0))</f>
        <v>7</v>
      </c>
      <c r="B449" s="1" t="s">
        <v>750</v>
      </c>
      <c r="C449" t="str">
        <f>VLOOKUP(B449,CoreProteinGroups!$B:$C,2,FALSE)</f>
        <v>ATPase DNA packaging protein</v>
      </c>
      <c r="D449" t="s">
        <v>820</v>
      </c>
      <c r="E449" s="6" t="str">
        <f t="shared" si="6"/>
        <v>PROT:AAR98465.1</v>
      </c>
      <c r="F449" t="s">
        <v>821</v>
      </c>
      <c r="G449" t="s">
        <v>114</v>
      </c>
      <c r="H449" t="s">
        <v>2652</v>
      </c>
      <c r="I449" t="str">
        <f>INDEX(Genomes!$I:$I,(MATCH(AllProteins!H449,Genomes!$B:$B,0)))</f>
        <v>AY386265-bovine_papular_stomatitis_virus</v>
      </c>
      <c r="J449">
        <f>INDEX(Genomes!$A:$A,(MATCH(AllProteins!H449,Genomes!$B:$B,0)))</f>
        <v>6</v>
      </c>
      <c r="K449" t="str">
        <f>INDEX(Genomes!$J:$J,(MATCH(AllProteins!H449,Genomes!$B:$B,0)))</f>
        <v>Y</v>
      </c>
    </row>
    <row r="450" spans="1:11" x14ac:dyDescent="0.2">
      <c r="A450">
        <f>INDEX(CoreProteinGroups!A:A,MATCH(B450,CoreProteinGroups!B:B,0))</f>
        <v>7</v>
      </c>
      <c r="B450" s="1" t="s">
        <v>750</v>
      </c>
      <c r="C450" t="str">
        <f>VLOOKUP(B450,CoreProteinGroups!$B:$C,2,FALSE)</f>
        <v>ATPase DNA packaging protein</v>
      </c>
      <c r="D450" t="s">
        <v>822</v>
      </c>
      <c r="E450" s="6" t="str">
        <f t="shared" ref="E450:E513" si="7">HYPERLINK(_xlfn.CONCAT("https://www.ncbi.nlm.nih.gov/protein/",D450),_xlfn.CONCAT("PROT:",D450))</f>
        <v>PROT:AAR98333.1</v>
      </c>
      <c r="F450" t="s">
        <v>821</v>
      </c>
      <c r="G450" t="s">
        <v>2702</v>
      </c>
      <c r="H450" t="s">
        <v>2678</v>
      </c>
      <c r="I450" t="str">
        <f>INDEX(Genomes!$I:$I,(MATCH(AllProteins!H450,Genomes!$B:$B,0)))</f>
        <v>AY386264-orf_virus</v>
      </c>
      <c r="J450">
        <f>INDEX(Genomes!$A:$A,(MATCH(AllProteins!H450,Genomes!$B:$B,0)))</f>
        <v>35</v>
      </c>
      <c r="K450" t="str">
        <f>INDEX(Genomes!$J:$J,(MATCH(AllProteins!H450,Genomes!$B:$B,0)))</f>
        <v>Y</v>
      </c>
    </row>
    <row r="451" spans="1:11" x14ac:dyDescent="0.2">
      <c r="A451">
        <f>INDEX(CoreProteinGroups!A:A,MATCH(B451,CoreProteinGroups!B:B,0))</f>
        <v>7</v>
      </c>
      <c r="B451" s="1" t="s">
        <v>750</v>
      </c>
      <c r="C451" t="str">
        <f>VLOOKUP(B451,CoreProteinGroups!$B:$C,2,FALSE)</f>
        <v>ATPase DNA packaging protein</v>
      </c>
      <c r="D451" t="s">
        <v>823</v>
      </c>
      <c r="E451" s="6" t="str">
        <f t="shared" si="7"/>
        <v>PROT:ABA00626.1</v>
      </c>
      <c r="F451" t="s">
        <v>824</v>
      </c>
      <c r="G451" t="s">
        <v>2555</v>
      </c>
      <c r="H451" t="s">
        <v>2645</v>
      </c>
      <c r="I451" t="str">
        <f>INDEX(Genomes!$I:$I,(MATCH(AllProteins!H451,Genomes!$B:$B,0)))</f>
        <v>DQ184476-orf_virus_strain_NZ2</v>
      </c>
      <c r="J451">
        <f>INDEX(Genomes!$A:$A,(MATCH(AllProteins!H451,Genomes!$B:$B,0)))</f>
        <v>36</v>
      </c>
      <c r="K451" t="str">
        <f>INDEX(Genomes!$J:$J,(MATCH(AllProteins!H451,Genomes!$B:$B,0)))</f>
        <v>N</v>
      </c>
    </row>
    <row r="452" spans="1:11" x14ac:dyDescent="0.2">
      <c r="A452">
        <f>INDEX(CoreProteinGroups!A:A,MATCH(B452,CoreProteinGroups!B:B,0))</f>
        <v>7</v>
      </c>
      <c r="B452" s="1" t="s">
        <v>750</v>
      </c>
      <c r="C452" t="str">
        <f>VLOOKUP(B452,CoreProteinGroups!$B:$C,2,FALSE)</f>
        <v>ATPase DNA packaging protein</v>
      </c>
      <c r="D452" t="s">
        <v>825</v>
      </c>
      <c r="E452" s="6" t="str">
        <f t="shared" si="7"/>
        <v>PROT:AIZ77360.1</v>
      </c>
      <c r="F452" t="s">
        <v>797</v>
      </c>
      <c r="G452" t="s">
        <v>119</v>
      </c>
      <c r="H452" t="s">
        <v>2684</v>
      </c>
      <c r="I452" t="str">
        <f>INDEX(Genomes!$I:$I,(MATCH(AllProteins!H452,Genomes!$B:$B,0)))</f>
        <v>KM502564-parapoxvirus_red_deer</v>
      </c>
      <c r="J452">
        <f>INDEX(Genomes!$A:$A,(MATCH(AllProteins!H452,Genomes!$B:$B,0)))</f>
        <v>42</v>
      </c>
      <c r="K452" t="str">
        <f>INDEX(Genomes!$J:$J,(MATCH(AllProteins!H452,Genomes!$B:$B,0)))</f>
        <v>Y</v>
      </c>
    </row>
    <row r="453" spans="1:11" x14ac:dyDescent="0.2">
      <c r="A453">
        <f>INDEX(CoreProteinGroups!A:A,MATCH(B453,CoreProteinGroups!B:B,0))</f>
        <v>7</v>
      </c>
      <c r="B453" s="1" t="s">
        <v>750</v>
      </c>
      <c r="C453" t="str">
        <f>VLOOKUP(B453,CoreProteinGroups!$B:$C,2,FALSE)</f>
        <v>ATPase DNA packaging protein</v>
      </c>
      <c r="D453" t="s">
        <v>826</v>
      </c>
      <c r="E453" s="6" t="str">
        <f t="shared" si="7"/>
        <v>PROT:ADC54011.1</v>
      </c>
      <c r="F453" t="s">
        <v>827</v>
      </c>
      <c r="G453" t="s">
        <v>121</v>
      </c>
      <c r="H453" t="s">
        <v>2679</v>
      </c>
      <c r="I453" t="str">
        <f>INDEX(Genomes!$I:$I,(MATCH(AllProteins!H453,Genomes!$B:$B,0)))</f>
        <v>GQ329670-pseudocowpox_virus</v>
      </c>
      <c r="J453">
        <f>INDEX(Genomes!$A:$A,(MATCH(AllProteins!H453,Genomes!$B:$B,0)))</f>
        <v>37</v>
      </c>
      <c r="K453" t="str">
        <f>INDEX(Genomes!$J:$J,(MATCH(AllProteins!H453,Genomes!$B:$B,0)))</f>
        <v>Y</v>
      </c>
    </row>
    <row r="454" spans="1:11" x14ac:dyDescent="0.2">
      <c r="A454">
        <f>INDEX(CoreProteinGroups!A:A,MATCH(B454,CoreProteinGroups!B:B,0))</f>
        <v>7</v>
      </c>
      <c r="B454" s="1" t="s">
        <v>750</v>
      </c>
      <c r="C454" t="str">
        <f>VLOOKUP(B454,CoreProteinGroups!$B:$C,2,FALSE)</f>
        <v>ATPase DNA packaging protein</v>
      </c>
      <c r="D454" t="s">
        <v>828</v>
      </c>
      <c r="E454" s="6" t="str">
        <f t="shared" si="7"/>
        <v>PROT:AAL69857.1</v>
      </c>
      <c r="F454" t="s">
        <v>829</v>
      </c>
      <c r="G454" t="s">
        <v>124</v>
      </c>
      <c r="H454" t="s">
        <v>2690</v>
      </c>
      <c r="I454" t="str">
        <f>INDEX(Genomes!$I:$I,(MATCH(AllProteins!H454,Genomes!$B:$B,0)))</f>
        <v>AF410153-swinepox_virus</v>
      </c>
      <c r="J454">
        <f>INDEX(Genomes!$A:$A,(MATCH(AllProteins!H454,Genomes!$B:$B,0)))</f>
        <v>49</v>
      </c>
      <c r="K454" t="str">
        <f>INDEX(Genomes!$J:$J,(MATCH(AllProteins!H454,Genomes!$B:$B,0)))</f>
        <v>Y</v>
      </c>
    </row>
    <row r="455" spans="1:11" x14ac:dyDescent="0.2">
      <c r="A455">
        <f>INDEX(CoreProteinGroups!A:A,MATCH(B455,CoreProteinGroups!B:B,0))</f>
        <v>7</v>
      </c>
      <c r="B455" s="1" t="s">
        <v>750</v>
      </c>
      <c r="C455" t="str">
        <f>VLOOKUP(B455,CoreProteinGroups!$B:$C,2,FALSE)</f>
        <v>ATPase DNA packaging protein</v>
      </c>
      <c r="D455" t="s">
        <v>830</v>
      </c>
      <c r="E455" s="6" t="str">
        <f t="shared" si="7"/>
        <v>PROT:CAC21359.1</v>
      </c>
      <c r="F455" t="s">
        <v>831</v>
      </c>
      <c r="G455" t="s">
        <v>127</v>
      </c>
      <c r="H455" t="s">
        <v>2699</v>
      </c>
      <c r="I455" t="str">
        <f>INDEX(Genomes!$I:$I,(MATCH(AllProteins!H455,Genomes!$B:$B,0)))</f>
        <v>AJ293568-tanapox_virus</v>
      </c>
      <c r="J455">
        <f>INDEX(Genomes!$A:$A,(MATCH(AllProteins!H455,Genomes!$B:$B,0)))</f>
        <v>58</v>
      </c>
      <c r="K455" t="str">
        <f>INDEX(Genomes!$J:$J,(MATCH(AllProteins!H455,Genomes!$B:$B,0)))</f>
        <v>Y</v>
      </c>
    </row>
    <row r="456" spans="1:11" x14ac:dyDescent="0.2">
      <c r="A456">
        <f>INDEX(CoreProteinGroups!A:A,MATCH(B456,CoreProteinGroups!B:B,0))</f>
        <v>7</v>
      </c>
      <c r="B456" s="1" t="s">
        <v>750</v>
      </c>
      <c r="C456" t="str">
        <f>VLOOKUP(B456,CoreProteinGroups!$B:$C,2,FALSE)</f>
        <v>ATPase DNA packaging protein</v>
      </c>
      <c r="D456" t="s">
        <v>832</v>
      </c>
      <c r="E456" s="6" t="str">
        <f t="shared" si="7"/>
        <v>PROT:AAR07478.1</v>
      </c>
      <c r="F456" t="s">
        <v>833</v>
      </c>
      <c r="G456" t="s">
        <v>130</v>
      </c>
      <c r="H456" t="s">
        <v>2700</v>
      </c>
      <c r="I456" t="str">
        <f>INDEX(Genomes!$I:$I,(MATCH(AllProteins!H456,Genomes!$B:$B,0)))</f>
        <v>AY386371-Yaba_monkey_tumor_virus</v>
      </c>
      <c r="J456">
        <f>INDEX(Genomes!$A:$A,(MATCH(AllProteins!H456,Genomes!$B:$B,0)))</f>
        <v>59</v>
      </c>
      <c r="K456" t="str">
        <f>INDEX(Genomes!$J:$J,(MATCH(AllProteins!H456,Genomes!$B:$B,0)))</f>
        <v>Y</v>
      </c>
    </row>
    <row r="457" spans="1:11" x14ac:dyDescent="0.2">
      <c r="A457">
        <f>INDEX(CoreProteinGroups!A:A,MATCH(B457,CoreProteinGroups!B:B,0))</f>
        <v>7</v>
      </c>
      <c r="B457" s="1" t="s">
        <v>750</v>
      </c>
      <c r="C457" t="str">
        <f>VLOOKUP(B457,CoreProteinGroups!$B:$C,2,FALSE)</f>
        <v>ATPase DNA packaging protein</v>
      </c>
      <c r="D457" t="s">
        <v>834</v>
      </c>
      <c r="E457" s="6" t="str">
        <f t="shared" si="7"/>
        <v>PROT:AAC97775.1</v>
      </c>
      <c r="F457" t="s">
        <v>835</v>
      </c>
      <c r="G457" t="s">
        <v>133</v>
      </c>
      <c r="H457" t="s">
        <v>2674</v>
      </c>
      <c r="I457" t="str">
        <f>INDEX(Genomes!$I:$I,(MATCH(AllProteins!H457,Genomes!$B:$B,0)))</f>
        <v>AF063866-Melanoplus_sanguinipes_entomopoxvirus</v>
      </c>
      <c r="J457">
        <f>INDEX(Genomes!$A:$A,(MATCH(AllProteins!H457,Genomes!$B:$B,0)))</f>
        <v>30</v>
      </c>
      <c r="K457" t="str">
        <f>INDEX(Genomes!$J:$J,(MATCH(AllProteins!H457,Genomes!$B:$B,0)))</f>
        <v>Y</v>
      </c>
    </row>
    <row r="458" spans="1:11" x14ac:dyDescent="0.2">
      <c r="A458">
        <f>INDEX(CoreProteinGroups!A:A,MATCH(B458,CoreProteinGroups!B:B,0))</f>
        <v>7</v>
      </c>
      <c r="B458" s="1" t="s">
        <v>750</v>
      </c>
      <c r="C458" t="str">
        <f>VLOOKUP(B458,CoreProteinGroups!$B:$C,2,FALSE)</f>
        <v>ATPase DNA packaging protein</v>
      </c>
      <c r="D458" t="s">
        <v>836</v>
      </c>
      <c r="E458" s="6" t="str">
        <f t="shared" si="7"/>
        <v>PROT:BAO49495.1</v>
      </c>
      <c r="F458" t="s">
        <v>837</v>
      </c>
      <c r="G458" t="s">
        <v>136</v>
      </c>
      <c r="H458" t="s">
        <v>2648</v>
      </c>
      <c r="I458" t="str">
        <f>INDEX(Genomes!$I:$I,(MATCH(AllProteins!H458,Genomes!$B:$B,0)))</f>
        <v>AP013055-Anomala_cuprea_entomopoxvirus</v>
      </c>
      <c r="J458">
        <f>INDEX(Genomes!$A:$A,(MATCH(AllProteins!H458,Genomes!$B:$B,0)))</f>
        <v>2</v>
      </c>
      <c r="K458" t="str">
        <f>INDEX(Genomes!$J:$J,(MATCH(AllProteins!H458,Genomes!$B:$B,0)))</f>
        <v>Y</v>
      </c>
    </row>
    <row r="459" spans="1:11" x14ac:dyDescent="0.2">
      <c r="A459">
        <f>INDEX(CoreProteinGroups!A:A,MATCH(B459,CoreProteinGroups!B:B,0))</f>
        <v>7</v>
      </c>
      <c r="B459" s="1" t="s">
        <v>750</v>
      </c>
      <c r="C459" t="str">
        <f>VLOOKUP(B459,CoreProteinGroups!$B:$C,2,FALSE)</f>
        <v>ATPase DNA packaging protein</v>
      </c>
      <c r="D459" t="s">
        <v>838</v>
      </c>
      <c r="E459" s="6" t="str">
        <f t="shared" si="7"/>
        <v>PROT:CCU55501.1</v>
      </c>
      <c r="F459" t="s">
        <v>753</v>
      </c>
      <c r="G459" t="s">
        <v>138</v>
      </c>
      <c r="H459" t="s">
        <v>2649</v>
      </c>
      <c r="I459" t="str">
        <f>INDEX(Genomes!$I:$I,(MATCH(AllProteins!H459,Genomes!$B:$B,0)))</f>
        <v>HF679131-Adoxophyes_honmai_entomopoxvirus</v>
      </c>
      <c r="J459">
        <f>INDEX(Genomes!$A:$A,(MATCH(AllProteins!H459,Genomes!$B:$B,0)))</f>
        <v>3</v>
      </c>
      <c r="K459" t="str">
        <f>INDEX(Genomes!$J:$J,(MATCH(AllProteins!H459,Genomes!$B:$B,0)))</f>
        <v>Y</v>
      </c>
    </row>
    <row r="460" spans="1:11" x14ac:dyDescent="0.2">
      <c r="A460">
        <f>INDEX(CoreProteinGroups!A:A,MATCH(B460,CoreProteinGroups!B:B,0))</f>
        <v>7</v>
      </c>
      <c r="B460" s="1" t="s">
        <v>750</v>
      </c>
      <c r="C460" t="str">
        <f>VLOOKUP(B460,CoreProteinGroups!$B:$C,2,FALSE)</f>
        <v>ATPase DNA packaging protein</v>
      </c>
      <c r="D460" t="s">
        <v>839</v>
      </c>
      <c r="E460" s="6" t="str">
        <f t="shared" si="7"/>
        <v>PROT:AAG02856.1</v>
      </c>
      <c r="F460" t="s">
        <v>840</v>
      </c>
      <c r="G460" t="s">
        <v>141</v>
      </c>
      <c r="H460" t="s">
        <v>2651</v>
      </c>
      <c r="I460" t="str">
        <f>INDEX(Genomes!$I:$I,(MATCH(AllProteins!H460,Genomes!$B:$B,0)))</f>
        <v>AF250284-Amsacta_moorei_entomopoxvirus</v>
      </c>
      <c r="J460">
        <f>INDEX(Genomes!$A:$A,(MATCH(AllProteins!H460,Genomes!$B:$B,0)))</f>
        <v>5</v>
      </c>
      <c r="K460" t="str">
        <f>INDEX(Genomes!$J:$J,(MATCH(AllProteins!H460,Genomes!$B:$B,0)))</f>
        <v>Y</v>
      </c>
    </row>
    <row r="461" spans="1:11" x14ac:dyDescent="0.2">
      <c r="A461">
        <f>INDEX(CoreProteinGroups!A:A,MATCH(B461,CoreProteinGroups!B:B,0))</f>
        <v>7</v>
      </c>
      <c r="B461" s="1" t="s">
        <v>750</v>
      </c>
      <c r="C461" t="str">
        <f>VLOOKUP(B461,CoreProteinGroups!$B:$C,2,FALSE)</f>
        <v>ATPase DNA packaging protein</v>
      </c>
      <c r="D461" t="s">
        <v>841</v>
      </c>
      <c r="E461" s="6" t="str">
        <f t="shared" si="7"/>
        <v>PROT:CCU55764.1</v>
      </c>
      <c r="F461" t="s">
        <v>753</v>
      </c>
      <c r="G461" t="s">
        <v>143</v>
      </c>
      <c r="H461" t="s">
        <v>2656</v>
      </c>
      <c r="I461" t="str">
        <f>INDEX(Genomes!$I:$I,(MATCH(AllProteins!H461,Genomes!$B:$B,0)))</f>
        <v>HF679132-Choristoneura_biennis_entomopoxvirus</v>
      </c>
      <c r="J461">
        <f>INDEX(Genomes!$A:$A,(MATCH(AllProteins!H461,Genomes!$B:$B,0)))</f>
        <v>10</v>
      </c>
      <c r="K461" t="str">
        <f>INDEX(Genomes!$J:$J,(MATCH(AllProteins!H461,Genomes!$B:$B,0)))</f>
        <v>Y</v>
      </c>
    </row>
    <row r="462" spans="1:11" x14ac:dyDescent="0.2">
      <c r="A462">
        <f>INDEX(CoreProteinGroups!A:A,MATCH(B462,CoreProteinGroups!B:B,0))</f>
        <v>7</v>
      </c>
      <c r="B462" s="1" t="s">
        <v>750</v>
      </c>
      <c r="C462" t="str">
        <f>VLOOKUP(B462,CoreProteinGroups!$B:$C,2,FALSE)</f>
        <v>ATPase DNA packaging protein</v>
      </c>
      <c r="D462" t="s">
        <v>842</v>
      </c>
      <c r="E462" s="6" t="str">
        <f t="shared" si="7"/>
        <v>PROT:CCU56066.1</v>
      </c>
      <c r="F462" t="s">
        <v>753</v>
      </c>
      <c r="G462" t="s">
        <v>145</v>
      </c>
      <c r="H462" t="s">
        <v>2660</v>
      </c>
      <c r="I462" t="str">
        <f>INDEX(Genomes!$I:$I,(MATCH(AllProteins!H462,Genomes!$B:$B,0)))</f>
        <v>HF679133-Choristoneura_rosaceana_entomopoxvirus</v>
      </c>
      <c r="J462">
        <f>INDEX(Genomes!$A:$A,(MATCH(AllProteins!H462,Genomes!$B:$B,0)))</f>
        <v>14</v>
      </c>
      <c r="K462" t="str">
        <f>INDEX(Genomes!$J:$J,(MATCH(AllProteins!H462,Genomes!$B:$B,0)))</f>
        <v>Y</v>
      </c>
    </row>
    <row r="463" spans="1:11" x14ac:dyDescent="0.2">
      <c r="A463">
        <f>INDEX(CoreProteinGroups!A:A,MATCH(B463,CoreProteinGroups!B:B,0))</f>
        <v>7</v>
      </c>
      <c r="B463" s="1" t="s">
        <v>750</v>
      </c>
      <c r="C463" t="str">
        <f>VLOOKUP(B463,CoreProteinGroups!$B:$C,2,FALSE)</f>
        <v>ATPase DNA packaging protein</v>
      </c>
      <c r="D463" t="s">
        <v>843</v>
      </c>
      <c r="E463" s="6" t="str">
        <f t="shared" si="7"/>
        <v>PROT:CCU56388.1</v>
      </c>
      <c r="F463" t="s">
        <v>753</v>
      </c>
      <c r="G463" t="s">
        <v>147</v>
      </c>
      <c r="H463" t="s">
        <v>2675</v>
      </c>
      <c r="I463" t="str">
        <f>INDEX(Genomes!$I:$I,(MATCH(AllProteins!H463,Genomes!$B:$B,0)))</f>
        <v>HF679134-Mythimna_separata_entomopoxvirus</v>
      </c>
      <c r="J463">
        <f>INDEX(Genomes!$A:$A,(MATCH(AllProteins!H463,Genomes!$B:$B,0)))</f>
        <v>31</v>
      </c>
      <c r="K463" t="str">
        <f>INDEX(Genomes!$J:$J,(MATCH(AllProteins!H463,Genomes!$B:$B,0)))</f>
        <v>Y</v>
      </c>
    </row>
    <row r="464" spans="1:11" x14ac:dyDescent="0.2">
      <c r="A464">
        <f>INDEX(CoreProteinGroups!A:A,MATCH(B464,CoreProteinGroups!B:B,0))</f>
        <v>7</v>
      </c>
      <c r="B464" s="1" t="s">
        <v>750</v>
      </c>
      <c r="C464" t="str">
        <f>VLOOKUP(B464,CoreProteinGroups!$B:$C,2,FALSE)</f>
        <v>ATPase DNA packaging protein</v>
      </c>
      <c r="D464" t="s">
        <v>844</v>
      </c>
      <c r="E464" s="6" t="str">
        <f t="shared" si="7"/>
        <v>PROT:NP_659693.1</v>
      </c>
      <c r="F464" t="s">
        <v>845</v>
      </c>
      <c r="G464" t="s">
        <v>150</v>
      </c>
      <c r="H464" t="s">
        <v>2620</v>
      </c>
      <c r="I464" t="str">
        <f>INDEX(Genomes!$I:$I,(MATCH(AllProteins!H464,Genomes!$B:$B,0)))</f>
        <v>NC_004002-sheeppox_virus</v>
      </c>
      <c r="J464">
        <f>INDEX(Genomes!$A:$A,(MATCH(AllProteins!H464,Genomes!$B:$B,0)))</f>
        <v>44</v>
      </c>
      <c r="K464" t="str">
        <f>INDEX(Genomes!$J:$J,(MATCH(AllProteins!H464,Genomes!$B:$B,0)))</f>
        <v>Y</v>
      </c>
    </row>
    <row r="465" spans="1:11" x14ac:dyDescent="0.2">
      <c r="A465">
        <f>INDEX(CoreProteinGroups!A:A,MATCH(B465,CoreProteinGroups!B:B,0))</f>
        <v>7</v>
      </c>
      <c r="B465" s="1" t="s">
        <v>750</v>
      </c>
      <c r="C465" t="str">
        <f>VLOOKUP(B465,CoreProteinGroups!$B:$C,2,FALSE)</f>
        <v>ATPase DNA packaging protein</v>
      </c>
      <c r="D465" t="s">
        <v>846</v>
      </c>
      <c r="E465" s="6" t="str">
        <f t="shared" si="7"/>
        <v>PROT:YP_001293313.1</v>
      </c>
      <c r="F465" t="s">
        <v>847</v>
      </c>
      <c r="G465" t="s">
        <v>153</v>
      </c>
      <c r="H465" t="s">
        <v>2644</v>
      </c>
      <c r="I465" t="str">
        <f>INDEX(Genomes!$I:$I,(MATCH(AllProteins!H465,Genomes!$B:$B,0)))</f>
        <v>NC_004003-goatpox_virus</v>
      </c>
      <c r="J465">
        <f>INDEX(Genomes!$A:$A,(MATCH(AllProteins!H465,Genomes!$B:$B,0)))</f>
        <v>23</v>
      </c>
      <c r="K465" t="str">
        <f>INDEX(Genomes!$J:$J,(MATCH(AllProteins!H465,Genomes!$B:$B,0)))</f>
        <v>Y</v>
      </c>
    </row>
    <row r="466" spans="1:11" x14ac:dyDescent="0.2">
      <c r="A466">
        <f>INDEX(CoreProteinGroups!A:A,MATCH(B466,CoreProteinGroups!B:B,0))</f>
        <v>9</v>
      </c>
      <c r="B466" s="1" t="s">
        <v>848</v>
      </c>
      <c r="C466" t="str">
        <f>VLOOKUP(B466,CoreProteinGroups!$B:$C,2,FALSE)</f>
        <v>VETF-L</v>
      </c>
      <c r="D466" t="s">
        <v>850</v>
      </c>
      <c r="E466" s="6" t="str">
        <f t="shared" si="7"/>
        <v>PROT:ATI21207.1</v>
      </c>
      <c r="F466" t="s">
        <v>849</v>
      </c>
      <c r="G466" t="s">
        <v>11</v>
      </c>
      <c r="H466" t="s">
        <v>2663</v>
      </c>
      <c r="I466" t="str">
        <f>INDEX(Genomes!$I:$I,(MATCH(AllProteins!H466,Genomes!$B:$B,0)))</f>
        <v>MF467281-Eastern_grey_kangaroopox_virus</v>
      </c>
      <c r="J466">
        <f>INDEX(Genomes!$A:$A,(MATCH(AllProteins!H466,Genomes!$B:$B,0)))</f>
        <v>18</v>
      </c>
      <c r="K466" t="str">
        <f>INDEX(Genomes!$J:$J,(MATCH(AllProteins!H466,Genomes!$B:$B,0)))</f>
        <v>Y</v>
      </c>
    </row>
    <row r="467" spans="1:11" x14ac:dyDescent="0.2">
      <c r="A467">
        <f>INDEX(CoreProteinGroups!A:A,MATCH(B467,CoreProteinGroups!B:B,0))</f>
        <v>9</v>
      </c>
      <c r="B467" s="1" t="s">
        <v>848</v>
      </c>
      <c r="C467" t="str">
        <f>VLOOKUP(B467,CoreProteinGroups!$B:$C,2,FALSE)</f>
        <v>VETF-L</v>
      </c>
      <c r="D467" t="s">
        <v>851</v>
      </c>
      <c r="E467" s="6" t="str">
        <f t="shared" si="7"/>
        <v>PROT:AWU47141.1</v>
      </c>
      <c r="F467" t="s">
        <v>852</v>
      </c>
      <c r="G467" t="s">
        <v>13</v>
      </c>
      <c r="H467" t="s">
        <v>2688</v>
      </c>
      <c r="I467" t="str">
        <f>INDEX(Genomes!$I:$I,(MATCH(AllProteins!H467,Genomes!$B:$B,0)))</f>
        <v>MH427217-sea_otter_poxvirus</v>
      </c>
      <c r="J467">
        <f>INDEX(Genomes!$A:$A,(MATCH(AllProteins!H467,Genomes!$B:$B,0)))</f>
        <v>47</v>
      </c>
      <c r="K467" t="str">
        <f>INDEX(Genomes!$J:$J,(MATCH(AllProteins!H467,Genomes!$B:$B,0)))</f>
        <v>Y</v>
      </c>
    </row>
    <row r="468" spans="1:11" x14ac:dyDescent="0.2">
      <c r="A468">
        <f>INDEX(CoreProteinGroups!A:A,MATCH(B468,CoreProteinGroups!B:B,0))</f>
        <v>9</v>
      </c>
      <c r="B468" s="1" t="s">
        <v>848</v>
      </c>
      <c r="C468" t="str">
        <f>VLOOKUP(B468,CoreProteinGroups!$B:$C,2,FALSE)</f>
        <v>VETF-L</v>
      </c>
      <c r="D468" t="s">
        <v>853</v>
      </c>
      <c r="E468" s="6" t="str">
        <f t="shared" si="7"/>
        <v>PROT:APG58317.1</v>
      </c>
      <c r="F468" t="s">
        <v>854</v>
      </c>
      <c r="G468" t="s">
        <v>16</v>
      </c>
      <c r="H468" t="s">
        <v>2653</v>
      </c>
      <c r="I468" t="str">
        <f>INDEX(Genomes!$I:$I,(MATCH(AllProteins!H468,Genomes!$B:$B,0)))</f>
        <v>KY094066-BeAn_58058_virus</v>
      </c>
      <c r="J468">
        <f>INDEX(Genomes!$A:$A,(MATCH(AllProteins!H468,Genomes!$B:$B,0)))</f>
        <v>7</v>
      </c>
      <c r="K468" t="str">
        <f>INDEX(Genomes!$J:$J,(MATCH(AllProteins!H468,Genomes!$B:$B,0)))</f>
        <v>N</v>
      </c>
    </row>
    <row r="469" spans="1:11" x14ac:dyDescent="0.2">
      <c r="A469">
        <f>INDEX(CoreProteinGroups!A:A,MATCH(B469,CoreProteinGroups!B:B,0))</f>
        <v>9</v>
      </c>
      <c r="B469" s="1" t="s">
        <v>848</v>
      </c>
      <c r="C469" t="str">
        <f>VLOOKUP(B469,CoreProteinGroups!$B:$C,2,FALSE)</f>
        <v>VETF-L</v>
      </c>
      <c r="D469" t="s">
        <v>855</v>
      </c>
      <c r="E469" s="6" t="str">
        <f t="shared" si="7"/>
        <v>PROT:ADT91126.1</v>
      </c>
      <c r="F469" t="s">
        <v>856</v>
      </c>
      <c r="G469" t="s">
        <v>19</v>
      </c>
      <c r="H469" t="s">
        <v>2658</v>
      </c>
      <c r="I469" t="str">
        <f>INDEX(Genomes!$I:$I,(MATCH(AllProteins!H469,Genomes!$B:$B,0)))</f>
        <v>HQ647181-Cotia_virus</v>
      </c>
      <c r="J469">
        <f>INDEX(Genomes!$A:$A,(MATCH(AllProteins!H469,Genomes!$B:$B,0)))</f>
        <v>12</v>
      </c>
      <c r="K469" t="str">
        <f>INDEX(Genomes!$J:$J,(MATCH(AllProteins!H469,Genomes!$B:$B,0)))</f>
        <v>Y</v>
      </c>
    </row>
    <row r="470" spans="1:11" x14ac:dyDescent="0.2">
      <c r="A470">
        <f>INDEX(CoreProteinGroups!A:A,MATCH(B470,CoreProteinGroups!B:B,0))</f>
        <v>9</v>
      </c>
      <c r="B470" s="1" t="s">
        <v>848</v>
      </c>
      <c r="C470" t="str">
        <f>VLOOKUP(B470,CoreProteinGroups!$B:$C,2,FALSE)</f>
        <v>VETF-L</v>
      </c>
      <c r="D470" t="s">
        <v>857</v>
      </c>
      <c r="E470" s="6" t="str">
        <f t="shared" si="7"/>
        <v>PROT:ANS71185.1</v>
      </c>
      <c r="F470" t="s">
        <v>858</v>
      </c>
      <c r="G470" t="s">
        <v>21</v>
      </c>
      <c r="H470" t="s">
        <v>2682</v>
      </c>
      <c r="I470" t="str">
        <f>INDEX(Genomes!$I:$I,(MATCH(AllProteins!H470,Genomes!$B:$B,0)))</f>
        <v>KU980965-pteropox_virus</v>
      </c>
      <c r="J470">
        <f>INDEX(Genomes!$A:$A,(MATCH(AllProteins!H470,Genomes!$B:$B,0)))</f>
        <v>40</v>
      </c>
      <c r="K470" t="str">
        <f>INDEX(Genomes!$J:$J,(MATCH(AllProteins!H470,Genomes!$B:$B,0)))</f>
        <v>Y</v>
      </c>
    </row>
    <row r="471" spans="1:11" x14ac:dyDescent="0.2">
      <c r="A471">
        <f>INDEX(CoreProteinGroups!A:A,MATCH(B471,CoreProteinGroups!B:B,0))</f>
        <v>9</v>
      </c>
      <c r="B471" s="1" t="s">
        <v>848</v>
      </c>
      <c r="C471" t="str">
        <f>VLOOKUP(B471,CoreProteinGroups!$B:$C,2,FALSE)</f>
        <v>VETF-L</v>
      </c>
      <c r="D471" t="s">
        <v>859</v>
      </c>
      <c r="E471" s="6" t="str">
        <f t="shared" si="7"/>
        <v>PROT:AKR04229.1</v>
      </c>
      <c r="F471" t="s">
        <v>860</v>
      </c>
      <c r="G471" t="s">
        <v>24</v>
      </c>
      <c r="H471" t="s">
        <v>2687</v>
      </c>
      <c r="I471" t="str">
        <f>INDEX(Genomes!$I:$I,(MATCH(AllProteins!H471,Genomes!$B:$B,0)))</f>
        <v>KT159937-salmon_gill_poxvirus</v>
      </c>
      <c r="J471">
        <f>INDEX(Genomes!$A:$A,(MATCH(AllProteins!H471,Genomes!$B:$B,0)))</f>
        <v>46</v>
      </c>
      <c r="K471" t="str">
        <f>INDEX(Genomes!$J:$J,(MATCH(AllProteins!H471,Genomes!$B:$B,0)))</f>
        <v>Y</v>
      </c>
    </row>
    <row r="472" spans="1:11" x14ac:dyDescent="0.2">
      <c r="A472">
        <f>INDEX(CoreProteinGroups!A:A,MATCH(B472,CoreProteinGroups!B:B,0))</f>
        <v>9</v>
      </c>
      <c r="B472" s="1" t="s">
        <v>848</v>
      </c>
      <c r="C472" t="str">
        <f>VLOOKUP(B472,CoreProteinGroups!$B:$C,2,FALSE)</f>
        <v>VETF-L</v>
      </c>
      <c r="D472" t="s">
        <v>861</v>
      </c>
      <c r="E472" s="6" t="str">
        <f t="shared" si="7"/>
        <v>PROT:CCD83278.1</v>
      </c>
      <c r="F472" t="s">
        <v>862</v>
      </c>
      <c r="G472" t="s">
        <v>27</v>
      </c>
      <c r="H472" t="s">
        <v>2689</v>
      </c>
      <c r="I472" t="str">
        <f>INDEX(Genomes!$I:$I,(MATCH(AllProteins!H472,Genomes!$B:$B,0)))</f>
        <v>HE601899-squirrelpox_virus</v>
      </c>
      <c r="J472">
        <f>INDEX(Genomes!$A:$A,(MATCH(AllProteins!H472,Genomes!$B:$B,0)))</f>
        <v>48</v>
      </c>
      <c r="K472" t="str">
        <f>INDEX(Genomes!$J:$J,(MATCH(AllProteins!H472,Genomes!$B:$B,0)))</f>
        <v>Y</v>
      </c>
    </row>
    <row r="473" spans="1:11" x14ac:dyDescent="0.2">
      <c r="A473">
        <f>INDEX(CoreProteinGroups!A:A,MATCH(B473,CoreProteinGroups!B:B,0))</f>
        <v>9</v>
      </c>
      <c r="B473" s="1" t="s">
        <v>848</v>
      </c>
      <c r="C473" t="str">
        <f>VLOOKUP(B473,CoreProteinGroups!$B:$C,2,FALSE)</f>
        <v>VETF-L</v>
      </c>
      <c r="D473" t="s">
        <v>863</v>
      </c>
      <c r="E473" s="6" t="str">
        <f t="shared" si="7"/>
        <v>PROT:ASK51304.1</v>
      </c>
      <c r="F473" t="s">
        <v>864</v>
      </c>
      <c r="G473" t="s">
        <v>30</v>
      </c>
      <c r="H473" t="s">
        <v>2664</v>
      </c>
      <c r="I473" t="str">
        <f>INDEX(Genomes!$I:$I,(MATCH(AllProteins!H473,Genomes!$B:$B,0)))</f>
        <v>KY747497-eptesipox_virus</v>
      </c>
      <c r="J473">
        <f>INDEX(Genomes!$A:$A,(MATCH(AllProteins!H473,Genomes!$B:$B,0)))</f>
        <v>19</v>
      </c>
      <c r="K473" t="str">
        <f>INDEX(Genomes!$J:$J,(MATCH(AllProteins!H473,Genomes!$B:$B,0)))</f>
        <v>Y</v>
      </c>
    </row>
    <row r="474" spans="1:11" x14ac:dyDescent="0.2">
      <c r="A474">
        <f>INDEX(CoreProteinGroups!A:A,MATCH(B474,CoreProteinGroups!B:B,0))</f>
        <v>9</v>
      </c>
      <c r="B474" s="1" t="s">
        <v>848</v>
      </c>
      <c r="C474" t="str">
        <f>VLOOKUP(B474,CoreProteinGroups!$B:$C,2,FALSE)</f>
        <v>VETF-L</v>
      </c>
      <c r="D474" t="s">
        <v>865</v>
      </c>
      <c r="E474" s="6" t="str">
        <f t="shared" si="7"/>
        <v>PROT:AUD40278.1</v>
      </c>
      <c r="F474" t="s">
        <v>866</v>
      </c>
      <c r="G474" t="s">
        <v>32</v>
      </c>
      <c r="H474" t="s">
        <v>2665</v>
      </c>
      <c r="I474" t="str">
        <f>INDEX(Genomes!$I:$I,(MATCH(AllProteins!H474,Genomes!$B:$B,0)))</f>
        <v>MF678796-flamingopox_virus</v>
      </c>
      <c r="J474">
        <f>INDEX(Genomes!$A:$A,(MATCH(AllProteins!H474,Genomes!$B:$B,0)))</f>
        <v>20</v>
      </c>
      <c r="K474" t="str">
        <f>INDEX(Genomes!$J:$J,(MATCH(AllProteins!H474,Genomes!$B:$B,0)))</f>
        <v>Y</v>
      </c>
    </row>
    <row r="475" spans="1:11" x14ac:dyDescent="0.2">
      <c r="A475">
        <f>INDEX(CoreProteinGroups!A:A,MATCH(B475,CoreProteinGroups!B:B,0))</f>
        <v>9</v>
      </c>
      <c r="B475" s="1" t="s">
        <v>848</v>
      </c>
      <c r="C475" t="str">
        <f>VLOOKUP(B475,CoreProteinGroups!$B:$C,2,FALSE)</f>
        <v>VETF-L</v>
      </c>
      <c r="D475" t="s">
        <v>867</v>
      </c>
      <c r="E475" s="6" t="str">
        <f t="shared" si="7"/>
        <v>PROT:AID46909.1</v>
      </c>
      <c r="F475" t="s">
        <v>868</v>
      </c>
      <c r="G475" t="s">
        <v>34</v>
      </c>
      <c r="H475" t="s">
        <v>2681</v>
      </c>
      <c r="I475" t="str">
        <f>INDEX(Genomes!$I:$I,(MATCH(AllProteins!H475,Genomes!$B:$B,0)))</f>
        <v>KJ859677-penguinpox_virus</v>
      </c>
      <c r="J475">
        <f>INDEX(Genomes!$A:$A,(MATCH(AllProteins!H475,Genomes!$B:$B,0)))</f>
        <v>39</v>
      </c>
      <c r="K475" t="str">
        <f>INDEX(Genomes!$J:$J,(MATCH(AllProteins!H475,Genomes!$B:$B,0)))</f>
        <v>Y</v>
      </c>
    </row>
    <row r="476" spans="1:11" x14ac:dyDescent="0.2">
      <c r="A476">
        <f>INDEX(CoreProteinGroups!A:A,MATCH(B476,CoreProteinGroups!B:B,0))</f>
        <v>9</v>
      </c>
      <c r="B476" s="1" t="s">
        <v>848</v>
      </c>
      <c r="C476" t="str">
        <f>VLOOKUP(B476,CoreProteinGroups!$B:$C,2,FALSE)</f>
        <v>VETF-L</v>
      </c>
      <c r="D476" t="s">
        <v>869</v>
      </c>
      <c r="E476" s="6" t="str">
        <f t="shared" si="7"/>
        <v>PROT:AID46678.1</v>
      </c>
      <c r="F476" t="s">
        <v>868</v>
      </c>
      <c r="G476" t="s">
        <v>36</v>
      </c>
      <c r="H476" t="s">
        <v>2680</v>
      </c>
      <c r="I476" t="str">
        <f>INDEX(Genomes!$I:$I,(MATCH(AllProteins!H476,Genomes!$B:$B,0)))</f>
        <v>KJ801920-pigeonpox_virus</v>
      </c>
      <c r="J476">
        <f>INDEX(Genomes!$A:$A,(MATCH(AllProteins!H476,Genomes!$B:$B,0)))</f>
        <v>38</v>
      </c>
      <c r="K476" t="str">
        <f>INDEX(Genomes!$J:$J,(MATCH(AllProteins!H476,Genomes!$B:$B,0)))</f>
        <v>Y</v>
      </c>
    </row>
    <row r="477" spans="1:11" x14ac:dyDescent="0.2">
      <c r="A477">
        <f>INDEX(CoreProteinGroups!A:A,MATCH(B477,CoreProteinGroups!B:B,0))</f>
        <v>9</v>
      </c>
      <c r="B477" s="1" t="s">
        <v>848</v>
      </c>
      <c r="C477" t="str">
        <f>VLOOKUP(B477,CoreProteinGroups!$B:$C,2,FALSE)</f>
        <v>VETF-L</v>
      </c>
      <c r="D477" t="s">
        <v>870</v>
      </c>
      <c r="E477" s="6" t="str">
        <f t="shared" si="7"/>
        <v>PROT:ALA62500.1</v>
      </c>
      <c r="F477" t="s">
        <v>868</v>
      </c>
      <c r="G477" t="s">
        <v>39</v>
      </c>
      <c r="H477" t="s">
        <v>2692</v>
      </c>
      <c r="I477" t="str">
        <f>INDEX(Genomes!$I:$I,(MATCH(AllProteins!H477,Genomes!$B:$B,0)))</f>
        <v>KP728110-turkeypox_virus</v>
      </c>
      <c r="J477">
        <f>INDEX(Genomes!$A:$A,(MATCH(AllProteins!H477,Genomes!$B:$B,0)))</f>
        <v>51</v>
      </c>
      <c r="K477" t="str">
        <f>INDEX(Genomes!$J:$J,(MATCH(AllProteins!H477,Genomes!$B:$B,0)))</f>
        <v>Y</v>
      </c>
    </row>
    <row r="478" spans="1:11" x14ac:dyDescent="0.2">
      <c r="A478">
        <f>INDEX(CoreProteinGroups!A:A,MATCH(B478,CoreProteinGroups!B:B,0))</f>
        <v>9</v>
      </c>
      <c r="B478" s="1" t="s">
        <v>848</v>
      </c>
      <c r="C478" t="str">
        <f>VLOOKUP(B478,CoreProteinGroups!$B:$C,2,FALSE)</f>
        <v>VETF-L</v>
      </c>
      <c r="D478" t="s">
        <v>871</v>
      </c>
      <c r="E478" s="6" t="str">
        <f t="shared" si="7"/>
        <v>PROT:AAR83590.1</v>
      </c>
      <c r="F478" t="s">
        <v>872</v>
      </c>
      <c r="G478" t="s">
        <v>42</v>
      </c>
      <c r="H478" t="s">
        <v>2657</v>
      </c>
      <c r="I478" t="str">
        <f>INDEX(Genomes!$I:$I,(MATCH(AllProteins!H478,Genomes!$B:$B,0)))</f>
        <v>AY318871-canarypox_virus</v>
      </c>
      <c r="J478">
        <f>INDEX(Genomes!$A:$A,(MATCH(AllProteins!H478,Genomes!$B:$B,0)))</f>
        <v>11</v>
      </c>
      <c r="K478" t="str">
        <f>INDEX(Genomes!$J:$J,(MATCH(AllProteins!H478,Genomes!$B:$B,0)))</f>
        <v>Y</v>
      </c>
    </row>
    <row r="479" spans="1:11" x14ac:dyDescent="0.2">
      <c r="A479">
        <f>INDEX(CoreProteinGroups!A:A,MATCH(B479,CoreProteinGroups!B:B,0))</f>
        <v>9</v>
      </c>
      <c r="B479" s="1" t="s">
        <v>848</v>
      </c>
      <c r="C479" t="str">
        <f>VLOOKUP(B479,CoreProteinGroups!$B:$C,2,FALSE)</f>
        <v>VETF-L</v>
      </c>
      <c r="D479" t="s">
        <v>873</v>
      </c>
      <c r="E479" s="6" t="str">
        <f t="shared" si="7"/>
        <v>PROT:AAF44515.1</v>
      </c>
      <c r="F479" t="s">
        <v>874</v>
      </c>
      <c r="G479" t="s">
        <v>45</v>
      </c>
      <c r="H479" t="s">
        <v>2666</v>
      </c>
      <c r="I479" t="str">
        <f>INDEX(Genomes!$I:$I,(MATCH(AllProteins!H479,Genomes!$B:$B,0)))</f>
        <v>AF198100-fowlpox_virus</v>
      </c>
      <c r="J479">
        <f>INDEX(Genomes!$A:$A,(MATCH(AllProteins!H479,Genomes!$B:$B,0)))</f>
        <v>21</v>
      </c>
      <c r="K479" t="str">
        <f>INDEX(Genomes!$J:$J,(MATCH(AllProteins!H479,Genomes!$B:$B,0)))</f>
        <v>Y</v>
      </c>
    </row>
    <row r="480" spans="1:11" x14ac:dyDescent="0.2">
      <c r="A480">
        <f>INDEX(CoreProteinGroups!A:A,MATCH(B480,CoreProteinGroups!B:B,0))</f>
        <v>9</v>
      </c>
      <c r="B480" s="1" t="s">
        <v>848</v>
      </c>
      <c r="C480" t="str">
        <f>VLOOKUP(B480,CoreProteinGroups!$B:$C,2,FALSE)</f>
        <v>VETF-L</v>
      </c>
      <c r="D480" t="s">
        <v>875</v>
      </c>
      <c r="E480" s="6" t="str">
        <f t="shared" si="7"/>
        <v>PROT:AAK85059.1</v>
      </c>
      <c r="F480" t="s">
        <v>876</v>
      </c>
      <c r="G480" t="s">
        <v>48</v>
      </c>
      <c r="H480" t="s">
        <v>2669</v>
      </c>
      <c r="I480" t="str">
        <f>INDEX(Genomes!$I:$I,(MATCH(AllProteins!H480,Genomes!$B:$B,0)))</f>
        <v>AF325528-lumpy_skin_disease_virus</v>
      </c>
      <c r="J480">
        <f>INDEX(Genomes!$A:$A,(MATCH(AllProteins!H480,Genomes!$B:$B,0)))</f>
        <v>25</v>
      </c>
      <c r="K480" t="str">
        <f>INDEX(Genomes!$J:$J,(MATCH(AllProteins!H480,Genomes!$B:$B,0)))</f>
        <v>Y</v>
      </c>
    </row>
    <row r="481" spans="1:11" x14ac:dyDescent="0.2">
      <c r="A481">
        <f>INDEX(CoreProteinGroups!A:A,MATCH(B481,CoreProteinGroups!B:B,0))</f>
        <v>9</v>
      </c>
      <c r="B481" s="1" t="s">
        <v>848</v>
      </c>
      <c r="C481" t="str">
        <f>VLOOKUP(B481,CoreProteinGroups!$B:$C,2,FALSE)</f>
        <v>VETF-L</v>
      </c>
      <c r="D481" t="s">
        <v>877</v>
      </c>
      <c r="E481" s="6" t="str">
        <f t="shared" si="7"/>
        <v>PROT:AST09317.1</v>
      </c>
      <c r="F481" t="s">
        <v>878</v>
      </c>
      <c r="G481" t="s">
        <v>50</v>
      </c>
      <c r="H481" t="s">
        <v>2671</v>
      </c>
      <c r="I481" t="str">
        <f>INDEX(Genomes!$I:$I,(MATCH(AllProteins!H481,Genomes!$B:$B,0)))</f>
        <v>MF001304-Murmansk_poxvirus</v>
      </c>
      <c r="J481">
        <f>INDEX(Genomes!$A:$A,(MATCH(AllProteins!H481,Genomes!$B:$B,0)))</f>
        <v>27</v>
      </c>
      <c r="K481" t="str">
        <f>INDEX(Genomes!$J:$J,(MATCH(AllProteins!H481,Genomes!$B:$B,0)))</f>
        <v>Y</v>
      </c>
    </row>
    <row r="482" spans="1:11" x14ac:dyDescent="0.2">
      <c r="A482">
        <f>INDEX(CoreProteinGroups!A:A,MATCH(B482,CoreProteinGroups!B:B,0))</f>
        <v>9</v>
      </c>
      <c r="B482" s="1" t="s">
        <v>848</v>
      </c>
      <c r="C482" t="str">
        <f>VLOOKUP(B482,CoreProteinGroups!$B:$C,2,FALSE)</f>
        <v>VETF-L</v>
      </c>
      <c r="D482" t="s">
        <v>879</v>
      </c>
      <c r="E482" s="6" t="str">
        <f t="shared" si="7"/>
        <v>PROT:AEN03697.1</v>
      </c>
      <c r="F482" t="s">
        <v>880</v>
      </c>
      <c r="G482" t="s">
        <v>52</v>
      </c>
      <c r="H482" t="s">
        <v>2698</v>
      </c>
      <c r="I482" t="str">
        <f>INDEX(Genomes!$I:$I,(MATCH(AllProteins!H482,Genomes!$B:$B,0)))</f>
        <v>HQ849551-yokapox_virus</v>
      </c>
      <c r="J482">
        <f>INDEX(Genomes!$A:$A,(MATCH(AllProteins!H482,Genomes!$B:$B,0)))</f>
        <v>57</v>
      </c>
      <c r="K482" t="str">
        <f>INDEX(Genomes!$J:$J,(MATCH(AllProteins!H482,Genomes!$B:$B,0)))</f>
        <v>Y</v>
      </c>
    </row>
    <row r="483" spans="1:11" x14ac:dyDescent="0.2">
      <c r="A483">
        <f>INDEX(CoreProteinGroups!A:A,MATCH(B483,CoreProteinGroups!B:B,0))</f>
        <v>9</v>
      </c>
      <c r="B483" s="1" t="s">
        <v>848</v>
      </c>
      <c r="C483" t="str">
        <f>VLOOKUP(B483,CoreProteinGroups!$B:$C,2,FALSE)</f>
        <v>VETF-L</v>
      </c>
      <c r="D483" t="s">
        <v>881</v>
      </c>
      <c r="E483" s="6" t="str">
        <f t="shared" si="7"/>
        <v>PROT:ABI99262.1</v>
      </c>
      <c r="F483" t="s">
        <v>882</v>
      </c>
      <c r="G483" t="s">
        <v>54</v>
      </c>
      <c r="H483" t="s">
        <v>2661</v>
      </c>
      <c r="I483" t="str">
        <f>INDEX(Genomes!$I:$I,(MATCH(AllProteins!H483,Genomes!$B:$B,0)))</f>
        <v>AY689436-mule_deerpox_virus</v>
      </c>
      <c r="J483">
        <f>INDEX(Genomes!$A:$A,(MATCH(AllProteins!H483,Genomes!$B:$B,0)))</f>
        <v>15</v>
      </c>
      <c r="K483" t="str">
        <f>INDEX(Genomes!$J:$J,(MATCH(AllProteins!H483,Genomes!$B:$B,0)))</f>
        <v>Y</v>
      </c>
    </row>
    <row r="484" spans="1:11" x14ac:dyDescent="0.2">
      <c r="A484">
        <f>INDEX(CoreProteinGroups!A:A,MATCH(B484,CoreProteinGroups!B:B,0))</f>
        <v>9</v>
      </c>
      <c r="B484" s="1" t="s">
        <v>848</v>
      </c>
      <c r="C484" t="str">
        <f>VLOOKUP(B484,CoreProteinGroups!$B:$C,2,FALSE)</f>
        <v>VETF-L</v>
      </c>
      <c r="D484" t="s">
        <v>883</v>
      </c>
      <c r="E484" s="6" t="str">
        <f t="shared" si="7"/>
        <v>PROT:ABJ09019.1</v>
      </c>
      <c r="F484" t="s">
        <v>866</v>
      </c>
      <c r="G484" t="s">
        <v>56</v>
      </c>
      <c r="H484" t="s">
        <v>2677</v>
      </c>
      <c r="I484" t="str">
        <f>INDEX(Genomes!$I:$I,(MATCH(AllProteins!H484,Genomes!$B:$B,0)))</f>
        <v>DQ356948-Nile_crocodilepox_virus</v>
      </c>
      <c r="J484">
        <f>INDEX(Genomes!$A:$A,(MATCH(AllProteins!H484,Genomes!$B:$B,0)))</f>
        <v>34</v>
      </c>
      <c r="K484" t="str">
        <f>INDEX(Genomes!$J:$J,(MATCH(AllProteins!H484,Genomes!$B:$B,0)))</f>
        <v>Y</v>
      </c>
    </row>
    <row r="485" spans="1:11" x14ac:dyDescent="0.2">
      <c r="A485">
        <f>INDEX(CoreProteinGroups!A:A,MATCH(B485,CoreProteinGroups!B:B,0))</f>
        <v>9</v>
      </c>
      <c r="B485" s="1" t="s">
        <v>848</v>
      </c>
      <c r="C485" t="str">
        <f>VLOOKUP(B485,CoreProteinGroups!$B:$C,2,FALSE)</f>
        <v>VETF-L</v>
      </c>
      <c r="D485" t="s">
        <v>884</v>
      </c>
      <c r="E485" s="6" t="str">
        <f t="shared" si="7"/>
        <v>PROT:AAF14984.1</v>
      </c>
      <c r="F485" t="s">
        <v>885</v>
      </c>
      <c r="G485" t="s">
        <v>2584</v>
      </c>
      <c r="H485" t="s">
        <v>2676</v>
      </c>
      <c r="I485" t="str">
        <f>INDEX(Genomes!$I:$I,(MATCH(AllProteins!H485,Genomes!$B:$B,0)))</f>
        <v>AF170726-myxoma_virus</v>
      </c>
      <c r="J485">
        <f>INDEX(Genomes!$A:$A,(MATCH(AllProteins!H485,Genomes!$B:$B,0)))</f>
        <v>32</v>
      </c>
      <c r="K485" t="str">
        <f>INDEX(Genomes!$J:$J,(MATCH(AllProteins!H485,Genomes!$B:$B,0)))</f>
        <v>Y</v>
      </c>
    </row>
    <row r="486" spans="1:11" x14ac:dyDescent="0.2">
      <c r="A486">
        <f>INDEX(CoreProteinGroups!A:A,MATCH(B486,CoreProteinGroups!B:B,0))</f>
        <v>9</v>
      </c>
      <c r="B486" s="1" t="s">
        <v>848</v>
      </c>
      <c r="C486" t="str">
        <f>VLOOKUP(B486,CoreProteinGroups!$B:$C,2,FALSE)</f>
        <v>VETF-L</v>
      </c>
      <c r="D486" t="s">
        <v>886</v>
      </c>
      <c r="E486" s="6" t="str">
        <f t="shared" si="7"/>
        <v>PROT:AFU77360.1</v>
      </c>
      <c r="F486" t="s">
        <v>885</v>
      </c>
      <c r="G486" t="s">
        <v>2553</v>
      </c>
      <c r="H486" t="s">
        <v>2646</v>
      </c>
      <c r="I486" t="str">
        <f>INDEX(Genomes!$I:$I,(MATCH(AllProteins!H486,Genomes!$B:$B,0)))</f>
        <v>JX565564-myxoma_virus_isolate_BRK_897</v>
      </c>
      <c r="J486">
        <f>INDEX(Genomes!$A:$A,(MATCH(AllProteins!H486,Genomes!$B:$B,0)))</f>
        <v>33</v>
      </c>
      <c r="K486" t="str">
        <f>INDEX(Genomes!$J:$J,(MATCH(AllProteins!H486,Genomes!$B:$B,0)))</f>
        <v>N</v>
      </c>
    </row>
    <row r="487" spans="1:11" x14ac:dyDescent="0.2">
      <c r="A487">
        <f>INDEX(CoreProteinGroups!A:A,MATCH(B487,CoreProteinGroups!B:B,0))</f>
        <v>9</v>
      </c>
      <c r="B487" s="1" t="s">
        <v>848</v>
      </c>
      <c r="C487" t="str">
        <f>VLOOKUP(B487,CoreProteinGroups!$B:$C,2,FALSE)</f>
        <v>VETF-L</v>
      </c>
      <c r="D487" t="s">
        <v>887</v>
      </c>
      <c r="E487" s="6" t="str">
        <f t="shared" si="7"/>
        <v>PROT:AAF17979.1</v>
      </c>
      <c r="F487" t="s">
        <v>888</v>
      </c>
      <c r="G487" t="s">
        <v>62</v>
      </c>
      <c r="H487" t="s">
        <v>2685</v>
      </c>
      <c r="I487" t="str">
        <f>INDEX(Genomes!$I:$I,(MATCH(AllProteins!H487,Genomes!$B:$B,0)))</f>
        <v>AF170722-rabbit_fibroma_virus</v>
      </c>
      <c r="J487">
        <f>INDEX(Genomes!$A:$A,(MATCH(AllProteins!H487,Genomes!$B:$B,0)))</f>
        <v>43</v>
      </c>
      <c r="K487" t="str">
        <f>INDEX(Genomes!$J:$J,(MATCH(AllProteins!H487,Genomes!$B:$B,0)))</f>
        <v>Y</v>
      </c>
    </row>
    <row r="488" spans="1:11" x14ac:dyDescent="0.2">
      <c r="A488">
        <f>INDEX(CoreProteinGroups!A:A,MATCH(B488,CoreProteinGroups!B:B,0))</f>
        <v>9</v>
      </c>
      <c r="B488" s="1" t="s">
        <v>848</v>
      </c>
      <c r="C488" t="str">
        <f>VLOOKUP(B488,CoreProteinGroups!$B:$C,2,FALSE)</f>
        <v>VETF-L</v>
      </c>
      <c r="D488" t="s">
        <v>889</v>
      </c>
      <c r="E488" s="6" t="str">
        <f t="shared" si="7"/>
        <v>PROT:AAC55238.1</v>
      </c>
      <c r="F488" t="s">
        <v>890</v>
      </c>
      <c r="G488" t="s">
        <v>65</v>
      </c>
      <c r="H488" t="s">
        <v>2670</v>
      </c>
      <c r="I488" t="str">
        <f>INDEX(Genomes!$I:$I,(MATCH(AllProteins!H488,Genomes!$B:$B,0)))</f>
        <v>U60315-molluscum_contagiosum_virus</v>
      </c>
      <c r="J488">
        <f>INDEX(Genomes!$A:$A,(MATCH(AllProteins!H488,Genomes!$B:$B,0)))</f>
        <v>26</v>
      </c>
      <c r="K488" t="str">
        <f>INDEX(Genomes!$J:$J,(MATCH(AllProteins!H488,Genomes!$B:$B,0)))</f>
        <v>Y</v>
      </c>
    </row>
    <row r="489" spans="1:11" x14ac:dyDescent="0.2">
      <c r="A489">
        <f>INDEX(CoreProteinGroups!A:A,MATCH(B489,CoreProteinGroups!B:B,0))</f>
        <v>9</v>
      </c>
      <c r="B489" s="1" t="s">
        <v>848</v>
      </c>
      <c r="C489" t="str">
        <f>VLOOKUP(B489,CoreProteinGroups!$B:$C,2,FALSE)</f>
        <v>VETF-L</v>
      </c>
      <c r="D489" t="s">
        <v>891</v>
      </c>
      <c r="E489" s="6" t="str">
        <f t="shared" si="7"/>
        <v>PROT:AYN64692.1</v>
      </c>
      <c r="F489" t="s">
        <v>892</v>
      </c>
      <c r="G489" t="s">
        <v>68</v>
      </c>
      <c r="H489" t="s">
        <v>2647</v>
      </c>
      <c r="I489" t="str">
        <f>INDEX(Genomes!$I:$I,(MATCH(AllProteins!H489,Genomes!$B:$B,0)))</f>
        <v>MH816996-orthopoxvirus_abatino</v>
      </c>
      <c r="J489">
        <f>INDEX(Genomes!$A:$A,(MATCH(AllProteins!H489,Genomes!$B:$B,0)))</f>
        <v>1</v>
      </c>
      <c r="K489" t="str">
        <f>INDEX(Genomes!$J:$J,(MATCH(AllProteins!H489,Genomes!$B:$B,0)))</f>
        <v>Y</v>
      </c>
    </row>
    <row r="490" spans="1:11" x14ac:dyDescent="0.2">
      <c r="A490">
        <f>INDEX(CoreProteinGroups!A:A,MATCH(B490,CoreProteinGroups!B:B,0))</f>
        <v>9</v>
      </c>
      <c r="B490" s="1" t="s">
        <v>848</v>
      </c>
      <c r="C490" t="str">
        <f>VLOOKUP(B490,CoreProteinGroups!$B:$C,2,FALSE)</f>
        <v>VETF-L</v>
      </c>
      <c r="D490" t="s">
        <v>893</v>
      </c>
      <c r="E490" s="6" t="str">
        <f t="shared" si="7"/>
        <v>PROT:AXN74921.1</v>
      </c>
      <c r="F490" t="s">
        <v>878</v>
      </c>
      <c r="G490" t="s">
        <v>70</v>
      </c>
      <c r="H490" t="s">
        <v>2650</v>
      </c>
      <c r="I490" t="str">
        <f>INDEX(Genomes!$I:$I,(MATCH(AllProteins!H490,Genomes!$B:$B,0)))</f>
        <v>MH607141-Akhmeta_virus</v>
      </c>
      <c r="J490">
        <f>INDEX(Genomes!$A:$A,(MATCH(AllProteins!H490,Genomes!$B:$B,0)))</f>
        <v>4</v>
      </c>
      <c r="K490" t="str">
        <f>INDEX(Genomes!$J:$J,(MATCH(AllProteins!H490,Genomes!$B:$B,0)))</f>
        <v>Y</v>
      </c>
    </row>
    <row r="491" spans="1:11" x14ac:dyDescent="0.2">
      <c r="A491">
        <f>INDEX(CoreProteinGroups!A:A,MATCH(B491,CoreProteinGroups!B:B,0))</f>
        <v>9</v>
      </c>
      <c r="B491" s="1" t="s">
        <v>848</v>
      </c>
      <c r="C491" t="str">
        <f>VLOOKUP(B491,CoreProteinGroups!$B:$C,2,FALSE)</f>
        <v>VETF-L</v>
      </c>
      <c r="D491" t="s">
        <v>894</v>
      </c>
      <c r="E491" s="6" t="str">
        <f t="shared" si="7"/>
        <v>PROT:ABH08233.1</v>
      </c>
      <c r="F491" t="s">
        <v>895</v>
      </c>
      <c r="G491" t="s">
        <v>73</v>
      </c>
      <c r="H491" t="s">
        <v>2668</v>
      </c>
      <c r="I491" t="str">
        <f>INDEX(Genomes!$I:$I,(MATCH(AllProteins!H491,Genomes!$B:$B,0)))</f>
        <v>DQ792504-horsepox_virus</v>
      </c>
      <c r="J491">
        <f>INDEX(Genomes!$A:$A,(MATCH(AllProteins!H491,Genomes!$B:$B,0)))</f>
        <v>24</v>
      </c>
      <c r="K491" t="str">
        <f>INDEX(Genomes!$J:$J,(MATCH(AllProteins!H491,Genomes!$B:$B,0)))</f>
        <v>Y</v>
      </c>
    </row>
    <row r="492" spans="1:11" x14ac:dyDescent="0.2">
      <c r="A492">
        <f>INDEX(CoreProteinGroups!A:A,MATCH(B492,CoreProteinGroups!B:B,0))</f>
        <v>9</v>
      </c>
      <c r="B492" s="1" t="s">
        <v>848</v>
      </c>
      <c r="C492" t="str">
        <f>VLOOKUP(B492,CoreProteinGroups!$B:$C,2,FALSE)</f>
        <v>VETF-L</v>
      </c>
      <c r="D492" t="s">
        <v>896</v>
      </c>
      <c r="E492" s="6" t="str">
        <f t="shared" si="7"/>
        <v>PROT:AAG37608.1</v>
      </c>
      <c r="F492" t="s">
        <v>897</v>
      </c>
      <c r="G492" t="s">
        <v>76</v>
      </c>
      <c r="H492" t="s">
        <v>2655</v>
      </c>
      <c r="I492" t="str">
        <f>INDEX(Genomes!$I:$I,(MATCH(AllProteins!H492,Genomes!$B:$B,0)))</f>
        <v>AY009089-camelpox_virus_CMS</v>
      </c>
      <c r="J492">
        <f>INDEX(Genomes!$A:$A,(MATCH(AllProteins!H492,Genomes!$B:$B,0)))</f>
        <v>9</v>
      </c>
      <c r="K492" t="str">
        <f>INDEX(Genomes!$J:$J,(MATCH(AllProteins!H492,Genomes!$B:$B,0)))</f>
        <v>N</v>
      </c>
    </row>
    <row r="493" spans="1:11" x14ac:dyDescent="0.2">
      <c r="A493">
        <f>INDEX(CoreProteinGroups!A:A,MATCH(B493,CoreProteinGroups!B:B,0))</f>
        <v>9</v>
      </c>
      <c r="B493" s="1" t="s">
        <v>848</v>
      </c>
      <c r="C493" t="str">
        <f>VLOOKUP(B493,CoreProteinGroups!$B:$C,2,FALSE)</f>
        <v>VETF-L</v>
      </c>
      <c r="D493" t="s">
        <v>898</v>
      </c>
      <c r="E493" s="6" t="str">
        <f t="shared" si="7"/>
        <v>PROT:AAL73831.1</v>
      </c>
      <c r="F493" t="s">
        <v>899</v>
      </c>
      <c r="G493" t="s">
        <v>79</v>
      </c>
      <c r="H493" t="s">
        <v>2654</v>
      </c>
      <c r="I493" t="str">
        <f>INDEX(Genomes!$I:$I,(MATCH(AllProteins!H493,Genomes!$B:$B,0)))</f>
        <v>AF438165-camelpox_virus</v>
      </c>
      <c r="J493">
        <f>INDEX(Genomes!$A:$A,(MATCH(AllProteins!H493,Genomes!$B:$B,0)))</f>
        <v>8</v>
      </c>
      <c r="K493" t="str">
        <f>INDEX(Genomes!$J:$J,(MATCH(AllProteins!H493,Genomes!$B:$B,0)))</f>
        <v>Y</v>
      </c>
    </row>
    <row r="494" spans="1:11" x14ac:dyDescent="0.2">
      <c r="A494">
        <f>INDEX(CoreProteinGroups!A:A,MATCH(B494,CoreProteinGroups!B:B,0))</f>
        <v>9</v>
      </c>
      <c r="B494" s="1" t="s">
        <v>848</v>
      </c>
      <c r="C494" t="str">
        <f>VLOOKUP(B494,CoreProteinGroups!$B:$C,2,FALSE)</f>
        <v>VETF-L</v>
      </c>
      <c r="D494" t="s">
        <v>900</v>
      </c>
      <c r="E494" s="6" t="str">
        <f t="shared" si="7"/>
        <v>PROT:AAM13580.1</v>
      </c>
      <c r="F494" t="s">
        <v>901</v>
      </c>
      <c r="G494" t="s">
        <v>82</v>
      </c>
      <c r="H494" t="s">
        <v>2659</v>
      </c>
      <c r="I494" t="str">
        <f>INDEX(Genomes!$I:$I,(MATCH(AllProteins!H494,Genomes!$B:$B,0)))</f>
        <v>AF482758-cowpox_virus</v>
      </c>
      <c r="J494">
        <f>INDEX(Genomes!$A:$A,(MATCH(AllProteins!H494,Genomes!$B:$B,0)))</f>
        <v>13</v>
      </c>
      <c r="K494" t="str">
        <f>INDEX(Genomes!$J:$J,(MATCH(AllProteins!H494,Genomes!$B:$B,0)))</f>
        <v>Y</v>
      </c>
    </row>
    <row r="495" spans="1:11" x14ac:dyDescent="0.2">
      <c r="A495">
        <f>INDEX(CoreProteinGroups!A:A,MATCH(B495,CoreProteinGroups!B:B,0))</f>
        <v>9</v>
      </c>
      <c r="B495" s="1" t="s">
        <v>848</v>
      </c>
      <c r="C495" t="str">
        <f>VLOOKUP(B495,CoreProteinGroups!$B:$C,2,FALSE)</f>
        <v>VETF-L</v>
      </c>
      <c r="D495" t="s">
        <v>902</v>
      </c>
      <c r="E495" s="6" t="str">
        <f t="shared" si="7"/>
        <v>PROT:AAM92414.1</v>
      </c>
      <c r="F495" t="s">
        <v>903</v>
      </c>
      <c r="G495" t="s">
        <v>85</v>
      </c>
      <c r="H495" t="s">
        <v>2662</v>
      </c>
      <c r="I495" t="str">
        <f>INDEX(Genomes!$I:$I,(MATCH(AllProteins!H495,Genomes!$B:$B,0)))</f>
        <v>AF012825-ectromelia_virus</v>
      </c>
      <c r="J495">
        <f>INDEX(Genomes!$A:$A,(MATCH(AllProteins!H495,Genomes!$B:$B,0)))</f>
        <v>16</v>
      </c>
      <c r="K495" t="str">
        <f>INDEX(Genomes!$J:$J,(MATCH(AllProteins!H495,Genomes!$B:$B,0)))</f>
        <v>Y</v>
      </c>
    </row>
    <row r="496" spans="1:11" x14ac:dyDescent="0.2">
      <c r="A496">
        <f>INDEX(CoreProteinGroups!A:A,MATCH(B496,CoreProteinGroups!B:B,0))</f>
        <v>9</v>
      </c>
      <c r="B496" s="1" t="s">
        <v>848</v>
      </c>
      <c r="C496" t="str">
        <f>VLOOKUP(B496,CoreProteinGroups!$B:$C,2,FALSE)</f>
        <v>VETF-L</v>
      </c>
      <c r="D496" t="s">
        <v>904</v>
      </c>
      <c r="E496" s="6" t="str">
        <f t="shared" si="7"/>
        <v>PROT:AFH54673.1</v>
      </c>
      <c r="F496" t="s">
        <v>856</v>
      </c>
      <c r="G496" t="s">
        <v>87</v>
      </c>
      <c r="H496" t="s">
        <v>2619</v>
      </c>
      <c r="I496" t="str">
        <f>INDEX(Genomes!$I:$I,(MATCH(AllProteins!H496,Genomes!$B:$B,0)))</f>
        <v>JQ410350-ectromelia_virus_strain_ERPV</v>
      </c>
      <c r="J496">
        <f>INDEX(Genomes!$A:$A,(MATCH(AllProteins!H496,Genomes!$B:$B,0)))</f>
        <v>17</v>
      </c>
      <c r="K496" t="str">
        <f>INDEX(Genomes!$J:$J,(MATCH(AllProteins!H496,Genomes!$B:$B,0)))</f>
        <v>N</v>
      </c>
    </row>
    <row r="497" spans="1:11" x14ac:dyDescent="0.2">
      <c r="A497">
        <f>INDEX(CoreProteinGroups!A:A,MATCH(B497,CoreProteinGroups!B:B,0))</f>
        <v>9</v>
      </c>
      <c r="B497" s="1" t="s">
        <v>848</v>
      </c>
      <c r="C497" t="str">
        <f>VLOOKUP(B497,CoreProteinGroups!$B:$C,2,FALSE)</f>
        <v>VETF-L</v>
      </c>
      <c r="D497" t="s">
        <v>905</v>
      </c>
      <c r="E497" s="6" t="str">
        <f t="shared" si="7"/>
        <v>PROT:AAL40576.1</v>
      </c>
      <c r="F497" t="s">
        <v>906</v>
      </c>
      <c r="G497" t="s">
        <v>90</v>
      </c>
      <c r="H497" t="s">
        <v>2673</v>
      </c>
      <c r="I497" t="str">
        <f>INDEX(Genomes!$I:$I,(MATCH(AllProteins!H497,Genomes!$B:$B,0)))</f>
        <v>AF380138-monkeypox_virus_(clade_I)</v>
      </c>
      <c r="J497">
        <f>INDEX(Genomes!$A:$A,(MATCH(AllProteins!H497,Genomes!$B:$B,0)))</f>
        <v>29</v>
      </c>
      <c r="K497" t="str">
        <f>INDEX(Genomes!$J:$J,(MATCH(AllProteins!H497,Genomes!$B:$B,0)))</f>
        <v>Y</v>
      </c>
    </row>
    <row r="498" spans="1:11" x14ac:dyDescent="0.2">
      <c r="A498">
        <f>INDEX(CoreProteinGroups!A:A,MATCH(B498,CoreProteinGroups!B:B,0))</f>
        <v>9</v>
      </c>
      <c r="B498" s="1" t="s">
        <v>848</v>
      </c>
      <c r="C498" t="str">
        <f>VLOOKUP(B498,CoreProteinGroups!$B:$C,2,FALSE)</f>
        <v>VETF-L</v>
      </c>
      <c r="D498" t="s">
        <v>907</v>
      </c>
      <c r="E498" s="6" t="str">
        <f t="shared" si="7"/>
        <v>PROT:AAX09213.1</v>
      </c>
      <c r="F498" t="s">
        <v>908</v>
      </c>
      <c r="G498" t="s">
        <v>93</v>
      </c>
      <c r="H498" t="s">
        <v>2672</v>
      </c>
      <c r="I498" t="str">
        <f>INDEX(Genomes!$I:$I,(MATCH(AllProteins!H498,Genomes!$B:$B,0)))</f>
        <v>AY753185-monkeypox_virus_(clade_IIa)</v>
      </c>
      <c r="J498">
        <f>INDEX(Genomes!$A:$A,(MATCH(AllProteins!H498,Genomes!$B:$B,0)))</f>
        <v>28</v>
      </c>
      <c r="K498" t="str">
        <f>INDEX(Genomes!$J:$J,(MATCH(AllProteins!H498,Genomes!$B:$B,0)))</f>
        <v>Y</v>
      </c>
    </row>
    <row r="499" spans="1:11" x14ac:dyDescent="0.2">
      <c r="A499">
        <f>INDEX(CoreProteinGroups!A:A,MATCH(B499,CoreProteinGroups!B:B,0))</f>
        <v>9</v>
      </c>
      <c r="B499" s="1" t="s">
        <v>848</v>
      </c>
      <c r="C499" t="str">
        <f>VLOOKUP(B499,CoreProteinGroups!$B:$C,2,FALSE)</f>
        <v>VETF-L</v>
      </c>
      <c r="D499" t="s">
        <v>909</v>
      </c>
      <c r="E499" s="6" t="str">
        <f t="shared" si="7"/>
        <v>PROT:AKJ93755.1</v>
      </c>
      <c r="F499" t="s">
        <v>849</v>
      </c>
      <c r="G499" t="s">
        <v>95</v>
      </c>
      <c r="H499" t="s">
        <v>2683</v>
      </c>
      <c r="I499" t="str">
        <f>INDEX(Genomes!$I:$I,(MATCH(AllProteins!H499,Genomes!$B:$B,0)))</f>
        <v>KP143769-raccoonpox_virus</v>
      </c>
      <c r="J499">
        <f>INDEX(Genomes!$A:$A,(MATCH(AllProteins!H499,Genomes!$B:$B,0)))</f>
        <v>41</v>
      </c>
      <c r="K499" t="str">
        <f>INDEX(Genomes!$J:$J,(MATCH(AllProteins!H499,Genomes!$B:$B,0)))</f>
        <v>Y</v>
      </c>
    </row>
    <row r="500" spans="1:11" x14ac:dyDescent="0.2">
      <c r="A500">
        <f>INDEX(CoreProteinGroups!A:A,MATCH(B500,CoreProteinGroups!B:B,0))</f>
        <v>9</v>
      </c>
      <c r="B500" s="1" t="s">
        <v>848</v>
      </c>
      <c r="C500" t="str">
        <f>VLOOKUP(B500,CoreProteinGroups!$B:$C,2,FALSE)</f>
        <v>VETF-L</v>
      </c>
      <c r="D500" t="s">
        <v>910</v>
      </c>
      <c r="E500" s="6" t="str">
        <f t="shared" si="7"/>
        <v>PROT:AOP31604.1</v>
      </c>
      <c r="F500" t="s">
        <v>911</v>
      </c>
      <c r="G500" t="s">
        <v>97</v>
      </c>
      <c r="H500" t="s">
        <v>2686</v>
      </c>
      <c r="I500" t="str">
        <f>INDEX(Genomes!$I:$I,(MATCH(AllProteins!H500,Genomes!$B:$B,0)))</f>
        <v>KU749310-skunkpox_virus</v>
      </c>
      <c r="J500">
        <f>INDEX(Genomes!$A:$A,(MATCH(AllProteins!H500,Genomes!$B:$B,0)))</f>
        <v>45</v>
      </c>
      <c r="K500" t="str">
        <f>INDEX(Genomes!$J:$J,(MATCH(AllProteins!H500,Genomes!$B:$B,0)))</f>
        <v>Y</v>
      </c>
    </row>
    <row r="501" spans="1:11" x14ac:dyDescent="0.2">
      <c r="A501">
        <f>INDEX(CoreProteinGroups!A:A,MATCH(B501,CoreProteinGroups!B:B,0))</f>
        <v>9</v>
      </c>
      <c r="B501" s="1" t="s">
        <v>848</v>
      </c>
      <c r="C501" t="str">
        <f>VLOOKUP(B501,CoreProteinGroups!$B:$C,2,FALSE)</f>
        <v>VETF-L</v>
      </c>
      <c r="D501" t="s">
        <v>912</v>
      </c>
      <c r="E501" s="6" t="str">
        <f t="shared" si="7"/>
        <v>PROT:ABD97694.1</v>
      </c>
      <c r="F501" t="s">
        <v>913</v>
      </c>
      <c r="G501" t="s">
        <v>99</v>
      </c>
      <c r="H501" t="s">
        <v>2691</v>
      </c>
      <c r="I501" t="str">
        <f>INDEX(Genomes!$I:$I,(MATCH(AllProteins!H501,Genomes!$B:$B,0)))</f>
        <v>DQ437594-taterapox_virus</v>
      </c>
      <c r="J501">
        <f>INDEX(Genomes!$A:$A,(MATCH(AllProteins!H501,Genomes!$B:$B,0)))</f>
        <v>50</v>
      </c>
      <c r="K501" t="str">
        <f>INDEX(Genomes!$J:$J,(MATCH(AllProteins!H501,Genomes!$B:$B,0)))</f>
        <v>Y</v>
      </c>
    </row>
    <row r="502" spans="1:11" x14ac:dyDescent="0.2">
      <c r="A502">
        <f>INDEX(CoreProteinGroups!A:A,MATCH(B502,CoreProteinGroups!B:B,0))</f>
        <v>9</v>
      </c>
      <c r="B502" s="1" t="s">
        <v>848</v>
      </c>
      <c r="C502" t="str">
        <f>VLOOKUP(B502,CoreProteinGroups!$B:$C,2,FALSE)</f>
        <v>VETF-L</v>
      </c>
      <c r="D502" t="s">
        <v>914</v>
      </c>
      <c r="E502" s="6" t="str">
        <f t="shared" si="7"/>
        <v>PROT:AAO89405.1</v>
      </c>
      <c r="F502" t="s">
        <v>913</v>
      </c>
      <c r="G502" t="s">
        <v>101</v>
      </c>
      <c r="H502" t="s">
        <v>2693</v>
      </c>
      <c r="I502" t="str">
        <f>INDEX(Genomes!$I:$I,(MATCH(AllProteins!H502,Genomes!$B:$B,0)))</f>
        <v>AY243312-vaccinia_virus</v>
      </c>
      <c r="J502">
        <f>INDEX(Genomes!$A:$A,(MATCH(AllProteins!H502,Genomes!$B:$B,0)))</f>
        <v>52</v>
      </c>
      <c r="K502" t="str">
        <f>INDEX(Genomes!$J:$J,(MATCH(AllProteins!H502,Genomes!$B:$B,0)))</f>
        <v>Y</v>
      </c>
    </row>
    <row r="503" spans="1:11" x14ac:dyDescent="0.2">
      <c r="A503">
        <f>INDEX(CoreProteinGroups!A:A,MATCH(B503,CoreProteinGroups!B:B,0))</f>
        <v>9</v>
      </c>
      <c r="B503" s="1" t="s">
        <v>848</v>
      </c>
      <c r="C503" t="str">
        <f>VLOOKUP(B503,CoreProteinGroups!$B:$C,2,FALSE)</f>
        <v>VETF-L</v>
      </c>
      <c r="D503" t="s">
        <v>915</v>
      </c>
      <c r="E503" s="6" t="str">
        <f t="shared" si="7"/>
        <v>PROT:CAA49052.1</v>
      </c>
      <c r="F503" t="s">
        <v>916</v>
      </c>
      <c r="G503" t="s">
        <v>2585</v>
      </c>
      <c r="H503" t="s">
        <v>2694</v>
      </c>
      <c r="I503" t="str">
        <f>INDEX(Genomes!$I:$I,(MATCH(AllProteins!H503,Genomes!$B:$B,0)))</f>
        <v>X69198-variola_major_virus</v>
      </c>
      <c r="J503">
        <f>INDEX(Genomes!$A:$A,(MATCH(AllProteins!H503,Genomes!$B:$B,0)))</f>
        <v>53</v>
      </c>
      <c r="K503" t="str">
        <f>INDEX(Genomes!$J:$J,(MATCH(AllProteins!H503,Genomes!$B:$B,0)))</f>
        <v>Y</v>
      </c>
    </row>
    <row r="504" spans="1:11" x14ac:dyDescent="0.2">
      <c r="A504">
        <f>INDEX(CoreProteinGroups!A:A,MATCH(B504,CoreProteinGroups!B:B,0))</f>
        <v>9</v>
      </c>
      <c r="B504" s="1" t="s">
        <v>848</v>
      </c>
      <c r="C504" t="str">
        <f>VLOOKUP(B504,CoreProteinGroups!$B:$C,2,FALSE)</f>
        <v>VETF-L</v>
      </c>
      <c r="D504" t="s">
        <v>917</v>
      </c>
      <c r="E504" s="6" t="str">
        <f t="shared" si="7"/>
        <v>PROT:CAB54711.1</v>
      </c>
      <c r="F504" t="s">
        <v>918</v>
      </c>
      <c r="G504" t="s">
        <v>106</v>
      </c>
      <c r="H504" t="s">
        <v>2695</v>
      </c>
      <c r="I504" t="str">
        <f>INDEX(Genomes!$I:$I,(MATCH(AllProteins!H504,Genomes!$B:$B,0)))</f>
        <v>Y16780-variola_minor_virus</v>
      </c>
      <c r="J504">
        <f>INDEX(Genomes!$A:$A,(MATCH(AllProteins!H504,Genomes!$B:$B,0)))</f>
        <v>54</v>
      </c>
      <c r="K504" t="str">
        <f>INDEX(Genomes!$J:$J,(MATCH(AllProteins!H504,Genomes!$B:$B,0)))</f>
        <v>Y</v>
      </c>
    </row>
    <row r="505" spans="1:11" x14ac:dyDescent="0.2">
      <c r="A505">
        <f>INDEX(CoreProteinGroups!A:A,MATCH(B505,CoreProteinGroups!B:B,0))</f>
        <v>9</v>
      </c>
      <c r="B505" s="1" t="s">
        <v>848</v>
      </c>
      <c r="C505" t="str">
        <f>VLOOKUP(B505,CoreProteinGroups!$B:$C,2,FALSE)</f>
        <v>VETF-L</v>
      </c>
      <c r="D505" t="s">
        <v>919</v>
      </c>
      <c r="E505" s="6" t="str">
        <f t="shared" si="7"/>
        <v>PROT:AOP31815.1</v>
      </c>
      <c r="F505" t="s">
        <v>911</v>
      </c>
      <c r="G505" t="s">
        <v>108</v>
      </c>
      <c r="H505" t="s">
        <v>2696</v>
      </c>
      <c r="I505" t="str">
        <f>INDEX(Genomes!$I:$I,(MATCH(AllProteins!H505,Genomes!$B:$B,0)))</f>
        <v>KU749311-volepox_virus</v>
      </c>
      <c r="J505">
        <f>INDEX(Genomes!$A:$A,(MATCH(AllProteins!H505,Genomes!$B:$B,0)))</f>
        <v>55</v>
      </c>
      <c r="K505" t="str">
        <f>INDEX(Genomes!$J:$J,(MATCH(AllProteins!H505,Genomes!$B:$B,0)))</f>
        <v>Y</v>
      </c>
    </row>
    <row r="506" spans="1:11" x14ac:dyDescent="0.2">
      <c r="A506">
        <f>INDEX(CoreProteinGroups!A:A,MATCH(B506,CoreProteinGroups!B:B,0))</f>
        <v>9</v>
      </c>
      <c r="B506" s="1" t="s">
        <v>848</v>
      </c>
      <c r="C506" t="str">
        <f>VLOOKUP(B506,CoreProteinGroups!$B:$C,2,FALSE)</f>
        <v>VETF-L</v>
      </c>
      <c r="D506" t="s">
        <v>920</v>
      </c>
      <c r="E506" s="6" t="str">
        <f t="shared" si="7"/>
        <v>PROT:ASC55558.1</v>
      </c>
      <c r="F506" t="s">
        <v>921</v>
      </c>
      <c r="G506" t="s">
        <v>111</v>
      </c>
      <c r="H506" t="s">
        <v>2667</v>
      </c>
      <c r="I506" t="str">
        <f>INDEX(Genomes!$I:$I,(MATCH(AllProteins!H506,Genomes!$B:$B,0)))</f>
        <v>KY382358-seal_parapoxvirus</v>
      </c>
      <c r="J506">
        <f>INDEX(Genomes!$A:$A,(MATCH(AllProteins!H506,Genomes!$B:$B,0)))</f>
        <v>22</v>
      </c>
      <c r="K506" t="str">
        <f>INDEX(Genomes!$J:$J,(MATCH(AllProteins!H506,Genomes!$B:$B,0)))</f>
        <v>Y</v>
      </c>
    </row>
    <row r="507" spans="1:11" x14ac:dyDescent="0.2">
      <c r="A507">
        <f>INDEX(CoreProteinGroups!A:A,MATCH(B507,CoreProteinGroups!B:B,0))</f>
        <v>9</v>
      </c>
      <c r="B507" s="1" t="s">
        <v>848</v>
      </c>
      <c r="C507" t="str">
        <f>VLOOKUP(B507,CoreProteinGroups!$B:$C,2,FALSE)</f>
        <v>VETF-L</v>
      </c>
      <c r="D507" t="s">
        <v>922</v>
      </c>
      <c r="E507" s="6" t="str">
        <f t="shared" si="7"/>
        <v>PROT:AAR98440.1</v>
      </c>
      <c r="F507" t="s">
        <v>923</v>
      </c>
      <c r="G507" t="s">
        <v>114</v>
      </c>
      <c r="H507" t="s">
        <v>2652</v>
      </c>
      <c r="I507" t="str">
        <f>INDEX(Genomes!$I:$I,(MATCH(AllProteins!H507,Genomes!$B:$B,0)))</f>
        <v>AY386265-bovine_papular_stomatitis_virus</v>
      </c>
      <c r="J507">
        <f>INDEX(Genomes!$A:$A,(MATCH(AllProteins!H507,Genomes!$B:$B,0)))</f>
        <v>6</v>
      </c>
      <c r="K507" t="str">
        <f>INDEX(Genomes!$J:$J,(MATCH(AllProteins!H507,Genomes!$B:$B,0)))</f>
        <v>Y</v>
      </c>
    </row>
    <row r="508" spans="1:11" x14ac:dyDescent="0.2">
      <c r="A508">
        <f>INDEX(CoreProteinGroups!A:A,MATCH(B508,CoreProteinGroups!B:B,0))</f>
        <v>9</v>
      </c>
      <c r="B508" s="1" t="s">
        <v>848</v>
      </c>
      <c r="C508" t="str">
        <f>VLOOKUP(B508,CoreProteinGroups!$B:$C,2,FALSE)</f>
        <v>VETF-L</v>
      </c>
      <c r="D508" t="s">
        <v>924</v>
      </c>
      <c r="E508" s="6" t="str">
        <f t="shared" si="7"/>
        <v>PROT:AAR98308.1</v>
      </c>
      <c r="F508" t="s">
        <v>923</v>
      </c>
      <c r="G508" t="s">
        <v>2702</v>
      </c>
      <c r="H508" t="s">
        <v>2678</v>
      </c>
      <c r="I508" t="str">
        <f>INDEX(Genomes!$I:$I,(MATCH(AllProteins!H508,Genomes!$B:$B,0)))</f>
        <v>AY386264-orf_virus</v>
      </c>
      <c r="J508">
        <f>INDEX(Genomes!$A:$A,(MATCH(AllProteins!H508,Genomes!$B:$B,0)))</f>
        <v>35</v>
      </c>
      <c r="K508" t="str">
        <f>INDEX(Genomes!$J:$J,(MATCH(AllProteins!H508,Genomes!$B:$B,0)))</f>
        <v>Y</v>
      </c>
    </row>
    <row r="509" spans="1:11" x14ac:dyDescent="0.2">
      <c r="A509">
        <f>INDEX(CoreProteinGroups!A:A,MATCH(B509,CoreProteinGroups!B:B,0))</f>
        <v>9</v>
      </c>
      <c r="B509" s="1" t="s">
        <v>848</v>
      </c>
      <c r="C509" t="str">
        <f>VLOOKUP(B509,CoreProteinGroups!$B:$C,2,FALSE)</f>
        <v>VETF-L</v>
      </c>
      <c r="D509" t="s">
        <v>925</v>
      </c>
      <c r="E509" s="6" t="str">
        <f t="shared" si="7"/>
        <v>PROT:ABA00600.1</v>
      </c>
      <c r="F509" t="s">
        <v>862</v>
      </c>
      <c r="G509" t="s">
        <v>2555</v>
      </c>
      <c r="H509" t="s">
        <v>2645</v>
      </c>
      <c r="I509" t="str">
        <f>INDEX(Genomes!$I:$I,(MATCH(AllProteins!H509,Genomes!$B:$B,0)))</f>
        <v>DQ184476-orf_virus_strain_NZ2</v>
      </c>
      <c r="J509">
        <f>INDEX(Genomes!$A:$A,(MATCH(AllProteins!H509,Genomes!$B:$B,0)))</f>
        <v>36</v>
      </c>
      <c r="K509" t="str">
        <f>INDEX(Genomes!$J:$J,(MATCH(AllProteins!H509,Genomes!$B:$B,0)))</f>
        <v>N</v>
      </c>
    </row>
    <row r="510" spans="1:11" x14ac:dyDescent="0.2">
      <c r="A510">
        <f>INDEX(CoreProteinGroups!A:A,MATCH(B510,CoreProteinGroups!B:B,0))</f>
        <v>9</v>
      </c>
      <c r="B510" s="1" t="s">
        <v>848</v>
      </c>
      <c r="C510" t="str">
        <f>VLOOKUP(B510,CoreProteinGroups!$B:$C,2,FALSE)</f>
        <v>VETF-L</v>
      </c>
      <c r="D510" t="s">
        <v>926</v>
      </c>
      <c r="E510" s="6" t="str">
        <f t="shared" si="7"/>
        <v>PROT:AIZ77334.1</v>
      </c>
      <c r="F510" t="s">
        <v>899</v>
      </c>
      <c r="G510" t="s">
        <v>119</v>
      </c>
      <c r="H510" t="s">
        <v>2684</v>
      </c>
      <c r="I510" t="str">
        <f>INDEX(Genomes!$I:$I,(MATCH(AllProteins!H510,Genomes!$B:$B,0)))</f>
        <v>KM502564-parapoxvirus_red_deer</v>
      </c>
      <c r="J510">
        <f>INDEX(Genomes!$A:$A,(MATCH(AllProteins!H510,Genomes!$B:$B,0)))</f>
        <v>42</v>
      </c>
      <c r="K510" t="str">
        <f>INDEX(Genomes!$J:$J,(MATCH(AllProteins!H510,Genomes!$B:$B,0)))</f>
        <v>Y</v>
      </c>
    </row>
    <row r="511" spans="1:11" x14ac:dyDescent="0.2">
      <c r="A511">
        <f>INDEX(CoreProteinGroups!A:A,MATCH(B511,CoreProteinGroups!B:B,0))</f>
        <v>9</v>
      </c>
      <c r="B511" s="1" t="s">
        <v>848</v>
      </c>
      <c r="C511" t="str">
        <f>VLOOKUP(B511,CoreProteinGroups!$B:$C,2,FALSE)</f>
        <v>VETF-L</v>
      </c>
      <c r="D511" t="s">
        <v>927</v>
      </c>
      <c r="E511" s="6" t="str">
        <f t="shared" si="7"/>
        <v>PROT:ADC53985.1</v>
      </c>
      <c r="F511" t="s">
        <v>862</v>
      </c>
      <c r="G511" t="s">
        <v>121</v>
      </c>
      <c r="H511" t="s">
        <v>2679</v>
      </c>
      <c r="I511" t="str">
        <f>INDEX(Genomes!$I:$I,(MATCH(AllProteins!H511,Genomes!$B:$B,0)))</f>
        <v>GQ329670-pseudocowpox_virus</v>
      </c>
      <c r="J511">
        <f>INDEX(Genomes!$A:$A,(MATCH(AllProteins!H511,Genomes!$B:$B,0)))</f>
        <v>37</v>
      </c>
      <c r="K511" t="str">
        <f>INDEX(Genomes!$J:$J,(MATCH(AllProteins!H511,Genomes!$B:$B,0)))</f>
        <v>Y</v>
      </c>
    </row>
    <row r="512" spans="1:11" x14ac:dyDescent="0.2">
      <c r="A512">
        <f>INDEX(CoreProteinGroups!A:A,MATCH(B512,CoreProteinGroups!B:B,0))</f>
        <v>9</v>
      </c>
      <c r="B512" s="1" t="s">
        <v>848</v>
      </c>
      <c r="C512" t="str">
        <f>VLOOKUP(B512,CoreProteinGroups!$B:$C,2,FALSE)</f>
        <v>VETF-L</v>
      </c>
      <c r="D512" t="s">
        <v>928</v>
      </c>
      <c r="E512" s="6" t="str">
        <f t="shared" si="7"/>
        <v>PROT:AAL69834.1</v>
      </c>
      <c r="F512" t="s">
        <v>929</v>
      </c>
      <c r="G512" t="s">
        <v>124</v>
      </c>
      <c r="H512" t="s">
        <v>2690</v>
      </c>
      <c r="I512" t="str">
        <f>INDEX(Genomes!$I:$I,(MATCH(AllProteins!H512,Genomes!$B:$B,0)))</f>
        <v>AF410153-swinepox_virus</v>
      </c>
      <c r="J512">
        <f>INDEX(Genomes!$A:$A,(MATCH(AllProteins!H512,Genomes!$B:$B,0)))</f>
        <v>49</v>
      </c>
      <c r="K512" t="str">
        <f>INDEX(Genomes!$J:$J,(MATCH(AllProteins!H512,Genomes!$B:$B,0)))</f>
        <v>Y</v>
      </c>
    </row>
    <row r="513" spans="1:11" x14ac:dyDescent="0.2">
      <c r="A513">
        <f>INDEX(CoreProteinGroups!A:A,MATCH(B513,CoreProteinGroups!B:B,0))</f>
        <v>9</v>
      </c>
      <c r="B513" s="1" t="s">
        <v>848</v>
      </c>
      <c r="C513" t="str">
        <f>VLOOKUP(B513,CoreProteinGroups!$B:$C,2,FALSE)</f>
        <v>VETF-L</v>
      </c>
      <c r="D513" t="s">
        <v>930</v>
      </c>
      <c r="E513" s="6" t="str">
        <f t="shared" si="7"/>
        <v>PROT:CAC21336.1</v>
      </c>
      <c r="F513" t="s">
        <v>931</v>
      </c>
      <c r="G513" t="s">
        <v>127</v>
      </c>
      <c r="H513" t="s">
        <v>2699</v>
      </c>
      <c r="I513" t="str">
        <f>INDEX(Genomes!$I:$I,(MATCH(AllProteins!H513,Genomes!$B:$B,0)))</f>
        <v>AJ293568-tanapox_virus</v>
      </c>
      <c r="J513">
        <f>INDEX(Genomes!$A:$A,(MATCH(AllProteins!H513,Genomes!$B:$B,0)))</f>
        <v>58</v>
      </c>
      <c r="K513" t="str">
        <f>INDEX(Genomes!$J:$J,(MATCH(AllProteins!H513,Genomes!$B:$B,0)))</f>
        <v>Y</v>
      </c>
    </row>
    <row r="514" spans="1:11" x14ac:dyDescent="0.2">
      <c r="A514">
        <f>INDEX(CoreProteinGroups!A:A,MATCH(B514,CoreProteinGroups!B:B,0))</f>
        <v>9</v>
      </c>
      <c r="B514" s="1" t="s">
        <v>848</v>
      </c>
      <c r="C514" t="str">
        <f>VLOOKUP(B514,CoreProteinGroups!$B:$C,2,FALSE)</f>
        <v>VETF-L</v>
      </c>
      <c r="D514" t="s">
        <v>932</v>
      </c>
      <c r="E514" s="6" t="str">
        <f t="shared" ref="E514:E577" si="8">HYPERLINK(_xlfn.CONCAT("https://www.ncbi.nlm.nih.gov/protein/",D514),_xlfn.CONCAT("PROT:",D514))</f>
        <v>PROT:AAR07454.1</v>
      </c>
      <c r="F514" t="s">
        <v>933</v>
      </c>
      <c r="G514" t="s">
        <v>130</v>
      </c>
      <c r="H514" t="s">
        <v>2700</v>
      </c>
      <c r="I514" t="str">
        <f>INDEX(Genomes!$I:$I,(MATCH(AllProteins!H514,Genomes!$B:$B,0)))</f>
        <v>AY386371-Yaba_monkey_tumor_virus</v>
      </c>
      <c r="J514">
        <f>INDEX(Genomes!$A:$A,(MATCH(AllProteins!H514,Genomes!$B:$B,0)))</f>
        <v>59</v>
      </c>
      <c r="K514" t="str">
        <f>INDEX(Genomes!$J:$J,(MATCH(AllProteins!H514,Genomes!$B:$B,0)))</f>
        <v>Y</v>
      </c>
    </row>
    <row r="515" spans="1:11" x14ac:dyDescent="0.2">
      <c r="A515">
        <f>INDEX(CoreProteinGroups!A:A,MATCH(B515,CoreProteinGroups!B:B,0))</f>
        <v>9</v>
      </c>
      <c r="B515" s="1" t="s">
        <v>848</v>
      </c>
      <c r="C515" t="str">
        <f>VLOOKUP(B515,CoreProteinGroups!$B:$C,2,FALSE)</f>
        <v>VETF-L</v>
      </c>
      <c r="D515" t="s">
        <v>934</v>
      </c>
      <c r="E515" s="6" t="str">
        <f t="shared" si="8"/>
        <v>PROT:AAC97622.1</v>
      </c>
      <c r="F515" t="s">
        <v>935</v>
      </c>
      <c r="G515" t="s">
        <v>133</v>
      </c>
      <c r="H515" t="s">
        <v>2674</v>
      </c>
      <c r="I515" t="str">
        <f>INDEX(Genomes!$I:$I,(MATCH(AllProteins!H515,Genomes!$B:$B,0)))</f>
        <v>AF063866-Melanoplus_sanguinipes_entomopoxvirus</v>
      </c>
      <c r="J515">
        <f>INDEX(Genomes!$A:$A,(MATCH(AllProteins!H515,Genomes!$B:$B,0)))</f>
        <v>30</v>
      </c>
      <c r="K515" t="str">
        <f>INDEX(Genomes!$J:$J,(MATCH(AllProteins!H515,Genomes!$B:$B,0)))</f>
        <v>Y</v>
      </c>
    </row>
    <row r="516" spans="1:11" x14ac:dyDescent="0.2">
      <c r="A516">
        <f>INDEX(CoreProteinGroups!A:A,MATCH(B516,CoreProteinGroups!B:B,0))</f>
        <v>9</v>
      </c>
      <c r="B516" s="1" t="s">
        <v>848</v>
      </c>
      <c r="C516" t="str">
        <f>VLOOKUP(B516,CoreProteinGroups!$B:$C,2,FALSE)</f>
        <v>VETF-L</v>
      </c>
      <c r="D516" t="s">
        <v>936</v>
      </c>
      <c r="E516" s="6" t="str">
        <f t="shared" si="8"/>
        <v>PROT:BAO49547.1</v>
      </c>
      <c r="F516" t="s">
        <v>937</v>
      </c>
      <c r="G516" t="s">
        <v>136</v>
      </c>
      <c r="H516" t="s">
        <v>2648</v>
      </c>
      <c r="I516" t="str">
        <f>INDEX(Genomes!$I:$I,(MATCH(AllProteins!H516,Genomes!$B:$B,0)))</f>
        <v>AP013055-Anomala_cuprea_entomopoxvirus</v>
      </c>
      <c r="J516">
        <f>INDEX(Genomes!$A:$A,(MATCH(AllProteins!H516,Genomes!$B:$B,0)))</f>
        <v>2</v>
      </c>
      <c r="K516" t="str">
        <f>INDEX(Genomes!$J:$J,(MATCH(AllProteins!H516,Genomes!$B:$B,0)))</f>
        <v>Y</v>
      </c>
    </row>
    <row r="517" spans="1:11" x14ac:dyDescent="0.2">
      <c r="A517">
        <f>INDEX(CoreProteinGroups!A:A,MATCH(B517,CoreProteinGroups!B:B,0))</f>
        <v>9</v>
      </c>
      <c r="B517" s="1" t="s">
        <v>848</v>
      </c>
      <c r="C517" t="str">
        <f>VLOOKUP(B517,CoreProteinGroups!$B:$C,2,FALSE)</f>
        <v>VETF-L</v>
      </c>
      <c r="D517" t="s">
        <v>938</v>
      </c>
      <c r="E517" s="6" t="str">
        <f t="shared" si="8"/>
        <v>PROT:CCU55427.1</v>
      </c>
      <c r="F517" t="s">
        <v>939</v>
      </c>
      <c r="G517" t="s">
        <v>138</v>
      </c>
      <c r="H517" t="s">
        <v>2649</v>
      </c>
      <c r="I517" t="str">
        <f>INDEX(Genomes!$I:$I,(MATCH(AllProteins!H517,Genomes!$B:$B,0)))</f>
        <v>HF679131-Adoxophyes_honmai_entomopoxvirus</v>
      </c>
      <c r="J517">
        <f>INDEX(Genomes!$A:$A,(MATCH(AllProteins!H517,Genomes!$B:$B,0)))</f>
        <v>3</v>
      </c>
      <c r="K517" t="str">
        <f>INDEX(Genomes!$J:$J,(MATCH(AllProteins!H517,Genomes!$B:$B,0)))</f>
        <v>Y</v>
      </c>
    </row>
    <row r="518" spans="1:11" x14ac:dyDescent="0.2">
      <c r="A518">
        <f>INDEX(CoreProteinGroups!A:A,MATCH(B518,CoreProteinGroups!B:B,0))</f>
        <v>9</v>
      </c>
      <c r="B518" s="1" t="s">
        <v>848</v>
      </c>
      <c r="C518" t="str">
        <f>VLOOKUP(B518,CoreProteinGroups!$B:$C,2,FALSE)</f>
        <v>VETF-L</v>
      </c>
      <c r="D518" t="s">
        <v>940</v>
      </c>
      <c r="E518" s="6" t="str">
        <f t="shared" si="8"/>
        <v>PROT:AAG02811.1</v>
      </c>
      <c r="F518" t="s">
        <v>941</v>
      </c>
      <c r="G518" t="s">
        <v>141</v>
      </c>
      <c r="H518" t="s">
        <v>2651</v>
      </c>
      <c r="I518" t="str">
        <f>INDEX(Genomes!$I:$I,(MATCH(AllProteins!H518,Genomes!$B:$B,0)))</f>
        <v>AF250284-Amsacta_moorei_entomopoxvirus</v>
      </c>
      <c r="J518">
        <f>INDEX(Genomes!$A:$A,(MATCH(AllProteins!H518,Genomes!$B:$B,0)))</f>
        <v>5</v>
      </c>
      <c r="K518" t="str">
        <f>INDEX(Genomes!$J:$J,(MATCH(AllProteins!H518,Genomes!$B:$B,0)))</f>
        <v>Y</v>
      </c>
    </row>
    <row r="519" spans="1:11" x14ac:dyDescent="0.2">
      <c r="A519">
        <f>INDEX(CoreProteinGroups!A:A,MATCH(B519,CoreProteinGroups!B:B,0))</f>
        <v>9</v>
      </c>
      <c r="B519" s="1" t="s">
        <v>848</v>
      </c>
      <c r="C519" t="str">
        <f>VLOOKUP(B519,CoreProteinGroups!$B:$C,2,FALSE)</f>
        <v>VETF-L</v>
      </c>
      <c r="D519" t="s">
        <v>942</v>
      </c>
      <c r="E519" s="6" t="str">
        <f t="shared" si="8"/>
        <v>PROT:CCU55727.1</v>
      </c>
      <c r="F519" t="s">
        <v>939</v>
      </c>
      <c r="G519" t="s">
        <v>143</v>
      </c>
      <c r="H519" t="s">
        <v>2656</v>
      </c>
      <c r="I519" t="str">
        <f>INDEX(Genomes!$I:$I,(MATCH(AllProteins!H519,Genomes!$B:$B,0)))</f>
        <v>HF679132-Choristoneura_biennis_entomopoxvirus</v>
      </c>
      <c r="J519">
        <f>INDEX(Genomes!$A:$A,(MATCH(AllProteins!H519,Genomes!$B:$B,0)))</f>
        <v>10</v>
      </c>
      <c r="K519" t="str">
        <f>INDEX(Genomes!$J:$J,(MATCH(AllProteins!H519,Genomes!$B:$B,0)))</f>
        <v>Y</v>
      </c>
    </row>
    <row r="520" spans="1:11" x14ac:dyDescent="0.2">
      <c r="A520">
        <f>INDEX(CoreProteinGroups!A:A,MATCH(B520,CoreProteinGroups!B:B,0))</f>
        <v>9</v>
      </c>
      <c r="B520" s="1" t="s">
        <v>848</v>
      </c>
      <c r="C520" t="str">
        <f>VLOOKUP(B520,CoreProteinGroups!$B:$C,2,FALSE)</f>
        <v>VETF-L</v>
      </c>
      <c r="D520" t="s">
        <v>943</v>
      </c>
      <c r="E520" s="6" t="str">
        <f t="shared" si="8"/>
        <v>PROT:CCU56029.1</v>
      </c>
      <c r="F520" t="s">
        <v>939</v>
      </c>
      <c r="G520" t="s">
        <v>145</v>
      </c>
      <c r="H520" t="s">
        <v>2660</v>
      </c>
      <c r="I520" t="str">
        <f>INDEX(Genomes!$I:$I,(MATCH(AllProteins!H520,Genomes!$B:$B,0)))</f>
        <v>HF679133-Choristoneura_rosaceana_entomopoxvirus</v>
      </c>
      <c r="J520">
        <f>INDEX(Genomes!$A:$A,(MATCH(AllProteins!H520,Genomes!$B:$B,0)))</f>
        <v>14</v>
      </c>
      <c r="K520" t="str">
        <f>INDEX(Genomes!$J:$J,(MATCH(AllProteins!H520,Genomes!$B:$B,0)))</f>
        <v>Y</v>
      </c>
    </row>
    <row r="521" spans="1:11" x14ac:dyDescent="0.2">
      <c r="A521">
        <f>INDEX(CoreProteinGroups!A:A,MATCH(B521,CoreProteinGroups!B:B,0))</f>
        <v>9</v>
      </c>
      <c r="B521" s="1" t="s">
        <v>848</v>
      </c>
      <c r="C521" t="str">
        <f>VLOOKUP(B521,CoreProteinGroups!$B:$C,2,FALSE)</f>
        <v>VETF-L</v>
      </c>
      <c r="D521" t="s">
        <v>944</v>
      </c>
      <c r="E521" s="6" t="str">
        <f t="shared" si="8"/>
        <v>PROT:CCU56319.1</v>
      </c>
      <c r="F521" t="s">
        <v>939</v>
      </c>
      <c r="G521" t="s">
        <v>147</v>
      </c>
      <c r="H521" t="s">
        <v>2675</v>
      </c>
      <c r="I521" t="str">
        <f>INDEX(Genomes!$I:$I,(MATCH(AllProteins!H521,Genomes!$B:$B,0)))</f>
        <v>HF679134-Mythimna_separata_entomopoxvirus</v>
      </c>
      <c r="J521">
        <f>INDEX(Genomes!$A:$A,(MATCH(AllProteins!H521,Genomes!$B:$B,0)))</f>
        <v>31</v>
      </c>
      <c r="K521" t="str">
        <f>INDEX(Genomes!$J:$J,(MATCH(AllProteins!H521,Genomes!$B:$B,0)))</f>
        <v>Y</v>
      </c>
    </row>
    <row r="522" spans="1:11" x14ac:dyDescent="0.2">
      <c r="A522">
        <f>INDEX(CoreProteinGroups!A:A,MATCH(B522,CoreProteinGroups!B:B,0))</f>
        <v>9</v>
      </c>
      <c r="B522" s="1" t="s">
        <v>848</v>
      </c>
      <c r="C522" t="str">
        <f>VLOOKUP(B522,CoreProteinGroups!$B:$C,2,FALSE)</f>
        <v>VETF-L</v>
      </c>
      <c r="D522" t="s">
        <v>945</v>
      </c>
      <c r="E522" s="6" t="str">
        <f t="shared" si="8"/>
        <v>PROT:NP_659670.1</v>
      </c>
      <c r="F522" t="s">
        <v>946</v>
      </c>
      <c r="G522" t="s">
        <v>150</v>
      </c>
      <c r="H522" t="s">
        <v>2620</v>
      </c>
      <c r="I522" t="str">
        <f>INDEX(Genomes!$I:$I,(MATCH(AllProteins!H522,Genomes!$B:$B,0)))</f>
        <v>NC_004002-sheeppox_virus</v>
      </c>
      <c r="J522">
        <f>INDEX(Genomes!$A:$A,(MATCH(AllProteins!H522,Genomes!$B:$B,0)))</f>
        <v>44</v>
      </c>
      <c r="K522" t="str">
        <f>INDEX(Genomes!$J:$J,(MATCH(AllProteins!H522,Genomes!$B:$B,0)))</f>
        <v>Y</v>
      </c>
    </row>
    <row r="523" spans="1:11" x14ac:dyDescent="0.2">
      <c r="A523">
        <f>INDEX(CoreProteinGroups!A:A,MATCH(B523,CoreProteinGroups!B:B,0))</f>
        <v>9</v>
      </c>
      <c r="B523" s="1" t="s">
        <v>848</v>
      </c>
      <c r="C523" t="str">
        <f>VLOOKUP(B523,CoreProteinGroups!$B:$C,2,FALSE)</f>
        <v>VETF-L</v>
      </c>
      <c r="D523" t="s">
        <v>947</v>
      </c>
      <c r="E523" s="6" t="str">
        <f t="shared" si="8"/>
        <v>PROT:YP_001293289.1</v>
      </c>
      <c r="F523" t="s">
        <v>948</v>
      </c>
      <c r="G523" t="s">
        <v>153</v>
      </c>
      <c r="H523" t="s">
        <v>2644</v>
      </c>
      <c r="I523" t="str">
        <f>INDEX(Genomes!$I:$I,(MATCH(AllProteins!H523,Genomes!$B:$B,0)))</f>
        <v>NC_004003-goatpox_virus</v>
      </c>
      <c r="J523">
        <f>INDEX(Genomes!$A:$A,(MATCH(AllProteins!H523,Genomes!$B:$B,0)))</f>
        <v>23</v>
      </c>
      <c r="K523" t="str">
        <f>INDEX(Genomes!$J:$J,(MATCH(AllProteins!H523,Genomes!$B:$B,0)))</f>
        <v>Y</v>
      </c>
    </row>
    <row r="524" spans="1:11" x14ac:dyDescent="0.2">
      <c r="A524">
        <f>INDEX(CoreProteinGroups!A:A,MATCH(B524,CoreProteinGroups!B:B,0))</f>
        <v>12</v>
      </c>
      <c r="B524" s="1" t="s">
        <v>949</v>
      </c>
      <c r="C524" t="str">
        <f>VLOOKUP(B524,CoreProteinGroups!$B:$C,2,FALSE)</f>
        <v>large capping enzyme</v>
      </c>
      <c r="D524" t="s">
        <v>951</v>
      </c>
      <c r="E524" s="6" t="str">
        <f t="shared" si="8"/>
        <v>PROT:ATI21188.1</v>
      </c>
      <c r="F524" t="s">
        <v>952</v>
      </c>
      <c r="G524" t="s">
        <v>11</v>
      </c>
      <c r="H524" t="s">
        <v>2663</v>
      </c>
      <c r="I524" t="str">
        <f>INDEX(Genomes!$I:$I,(MATCH(AllProteins!H524,Genomes!$B:$B,0)))</f>
        <v>MF467281-Eastern_grey_kangaroopox_virus</v>
      </c>
      <c r="J524">
        <f>INDEX(Genomes!$A:$A,(MATCH(AllProteins!H524,Genomes!$B:$B,0)))</f>
        <v>18</v>
      </c>
      <c r="K524" t="str">
        <f>INDEX(Genomes!$J:$J,(MATCH(AllProteins!H524,Genomes!$B:$B,0)))</f>
        <v>Y</v>
      </c>
    </row>
    <row r="525" spans="1:11" x14ac:dyDescent="0.2">
      <c r="A525">
        <f>INDEX(CoreProteinGroups!A:A,MATCH(B525,CoreProteinGroups!B:B,0))</f>
        <v>12</v>
      </c>
      <c r="B525" s="1" t="s">
        <v>949</v>
      </c>
      <c r="C525" t="str">
        <f>VLOOKUP(B525,CoreProteinGroups!$B:$C,2,FALSE)</f>
        <v>large capping enzyme</v>
      </c>
      <c r="D525" t="s">
        <v>953</v>
      </c>
      <c r="E525" s="6" t="str">
        <f t="shared" si="8"/>
        <v>PROT:AWU47122.1</v>
      </c>
      <c r="F525" t="s">
        <v>954</v>
      </c>
      <c r="G525" t="s">
        <v>13</v>
      </c>
      <c r="H525" t="s">
        <v>2688</v>
      </c>
      <c r="I525" t="str">
        <f>INDEX(Genomes!$I:$I,(MATCH(AllProteins!H525,Genomes!$B:$B,0)))</f>
        <v>MH427217-sea_otter_poxvirus</v>
      </c>
      <c r="J525">
        <f>INDEX(Genomes!$A:$A,(MATCH(AllProteins!H525,Genomes!$B:$B,0)))</f>
        <v>47</v>
      </c>
      <c r="K525" t="str">
        <f>INDEX(Genomes!$J:$J,(MATCH(AllProteins!H525,Genomes!$B:$B,0)))</f>
        <v>Y</v>
      </c>
    </row>
    <row r="526" spans="1:11" x14ac:dyDescent="0.2">
      <c r="A526">
        <f>INDEX(CoreProteinGroups!A:A,MATCH(B526,CoreProteinGroups!B:B,0))</f>
        <v>12</v>
      </c>
      <c r="B526" s="1" t="s">
        <v>949</v>
      </c>
      <c r="C526" t="str">
        <f>VLOOKUP(B526,CoreProteinGroups!$B:$C,2,FALSE)</f>
        <v>large capping enzyme</v>
      </c>
      <c r="D526" t="s">
        <v>955</v>
      </c>
      <c r="E526" s="6" t="str">
        <f t="shared" si="8"/>
        <v>PROT:APG58298.1</v>
      </c>
      <c r="F526" t="s">
        <v>956</v>
      </c>
      <c r="G526" t="s">
        <v>16</v>
      </c>
      <c r="H526" t="s">
        <v>2653</v>
      </c>
      <c r="I526" t="str">
        <f>INDEX(Genomes!$I:$I,(MATCH(AllProteins!H526,Genomes!$B:$B,0)))</f>
        <v>KY094066-BeAn_58058_virus</v>
      </c>
      <c r="J526">
        <f>INDEX(Genomes!$A:$A,(MATCH(AllProteins!H526,Genomes!$B:$B,0)))</f>
        <v>7</v>
      </c>
      <c r="K526" t="str">
        <f>INDEX(Genomes!$J:$J,(MATCH(AllProteins!H526,Genomes!$B:$B,0)))</f>
        <v>N</v>
      </c>
    </row>
    <row r="527" spans="1:11" x14ac:dyDescent="0.2">
      <c r="A527">
        <f>INDEX(CoreProteinGroups!A:A,MATCH(B527,CoreProteinGroups!B:B,0))</f>
        <v>12</v>
      </c>
      <c r="B527" s="1" t="s">
        <v>949</v>
      </c>
      <c r="C527" t="str">
        <f>VLOOKUP(B527,CoreProteinGroups!$B:$C,2,FALSE)</f>
        <v>large capping enzyme</v>
      </c>
      <c r="D527" t="s">
        <v>957</v>
      </c>
      <c r="E527" s="6" t="str">
        <f t="shared" si="8"/>
        <v>PROT:ADT91109.1</v>
      </c>
      <c r="F527" t="s">
        <v>958</v>
      </c>
      <c r="G527" t="s">
        <v>19</v>
      </c>
      <c r="H527" t="s">
        <v>2658</v>
      </c>
      <c r="I527" t="str">
        <f>INDEX(Genomes!$I:$I,(MATCH(AllProteins!H527,Genomes!$B:$B,0)))</f>
        <v>HQ647181-Cotia_virus</v>
      </c>
      <c r="J527">
        <f>INDEX(Genomes!$A:$A,(MATCH(AllProteins!H527,Genomes!$B:$B,0)))</f>
        <v>12</v>
      </c>
      <c r="K527" t="str">
        <f>INDEX(Genomes!$J:$J,(MATCH(AllProteins!H527,Genomes!$B:$B,0)))</f>
        <v>Y</v>
      </c>
    </row>
    <row r="528" spans="1:11" x14ac:dyDescent="0.2">
      <c r="A528">
        <f>INDEX(CoreProteinGroups!A:A,MATCH(B528,CoreProteinGroups!B:B,0))</f>
        <v>12</v>
      </c>
      <c r="B528" s="1" t="s">
        <v>949</v>
      </c>
      <c r="C528" t="str">
        <f>VLOOKUP(B528,CoreProteinGroups!$B:$C,2,FALSE)</f>
        <v>large capping enzyme</v>
      </c>
      <c r="D528" t="s">
        <v>959</v>
      </c>
      <c r="E528" s="6" t="str">
        <f t="shared" si="8"/>
        <v>PROT:ANS71166.1</v>
      </c>
      <c r="F528" t="s">
        <v>960</v>
      </c>
      <c r="G528" t="s">
        <v>21</v>
      </c>
      <c r="H528" t="s">
        <v>2682</v>
      </c>
      <c r="I528" t="str">
        <f>INDEX(Genomes!$I:$I,(MATCH(AllProteins!H528,Genomes!$B:$B,0)))</f>
        <v>KU980965-pteropox_virus</v>
      </c>
      <c r="J528">
        <f>INDEX(Genomes!$A:$A,(MATCH(AllProteins!H528,Genomes!$B:$B,0)))</f>
        <v>40</v>
      </c>
      <c r="K528" t="str">
        <f>INDEX(Genomes!$J:$J,(MATCH(AllProteins!H528,Genomes!$B:$B,0)))</f>
        <v>Y</v>
      </c>
    </row>
    <row r="529" spans="1:11" x14ac:dyDescent="0.2">
      <c r="A529">
        <f>INDEX(CoreProteinGroups!A:A,MATCH(B529,CoreProteinGroups!B:B,0))</f>
        <v>12</v>
      </c>
      <c r="B529" s="1" t="s">
        <v>949</v>
      </c>
      <c r="C529" t="str">
        <f>VLOOKUP(B529,CoreProteinGroups!$B:$C,2,FALSE)</f>
        <v>large capping enzyme</v>
      </c>
      <c r="D529" t="s">
        <v>961</v>
      </c>
      <c r="E529" s="6" t="str">
        <f t="shared" si="8"/>
        <v>PROT:AKR04297.1</v>
      </c>
      <c r="F529" t="s">
        <v>962</v>
      </c>
      <c r="G529" t="s">
        <v>24</v>
      </c>
      <c r="H529" t="s">
        <v>2687</v>
      </c>
      <c r="I529" t="str">
        <f>INDEX(Genomes!$I:$I,(MATCH(AllProteins!H529,Genomes!$B:$B,0)))</f>
        <v>KT159937-salmon_gill_poxvirus</v>
      </c>
      <c r="J529">
        <f>INDEX(Genomes!$A:$A,(MATCH(AllProteins!H529,Genomes!$B:$B,0)))</f>
        <v>46</v>
      </c>
      <c r="K529" t="str">
        <f>INDEX(Genomes!$J:$J,(MATCH(AllProteins!H529,Genomes!$B:$B,0)))</f>
        <v>Y</v>
      </c>
    </row>
    <row r="530" spans="1:11" x14ac:dyDescent="0.2">
      <c r="A530">
        <f>INDEX(CoreProteinGroups!A:A,MATCH(B530,CoreProteinGroups!B:B,0))</f>
        <v>12</v>
      </c>
      <c r="B530" s="1" t="s">
        <v>949</v>
      </c>
      <c r="C530" t="str">
        <f>VLOOKUP(B530,CoreProteinGroups!$B:$C,2,FALSE)</f>
        <v>large capping enzyme</v>
      </c>
      <c r="D530" t="s">
        <v>963</v>
      </c>
      <c r="E530" s="6" t="str">
        <f t="shared" si="8"/>
        <v>PROT:CCD83255.1</v>
      </c>
      <c r="F530" t="s">
        <v>964</v>
      </c>
      <c r="G530" t="s">
        <v>27</v>
      </c>
      <c r="H530" t="s">
        <v>2689</v>
      </c>
      <c r="I530" t="str">
        <f>INDEX(Genomes!$I:$I,(MATCH(AllProteins!H530,Genomes!$B:$B,0)))</f>
        <v>HE601899-squirrelpox_virus</v>
      </c>
      <c r="J530">
        <f>INDEX(Genomes!$A:$A,(MATCH(AllProteins!H530,Genomes!$B:$B,0)))</f>
        <v>48</v>
      </c>
      <c r="K530" t="str">
        <f>INDEX(Genomes!$J:$J,(MATCH(AllProteins!H530,Genomes!$B:$B,0)))</f>
        <v>Y</v>
      </c>
    </row>
    <row r="531" spans="1:11" x14ac:dyDescent="0.2">
      <c r="A531">
        <f>INDEX(CoreProteinGroups!A:A,MATCH(B531,CoreProteinGroups!B:B,0))</f>
        <v>12</v>
      </c>
      <c r="B531" s="1" t="s">
        <v>949</v>
      </c>
      <c r="C531" t="str">
        <f>VLOOKUP(B531,CoreProteinGroups!$B:$C,2,FALSE)</f>
        <v>large capping enzyme</v>
      </c>
      <c r="D531" t="s">
        <v>965</v>
      </c>
      <c r="E531" s="6" t="str">
        <f t="shared" si="8"/>
        <v>PROT:ASK51284.1</v>
      </c>
      <c r="F531" t="s">
        <v>952</v>
      </c>
      <c r="G531" t="s">
        <v>30</v>
      </c>
      <c r="H531" t="s">
        <v>2664</v>
      </c>
      <c r="I531" t="str">
        <f>INDEX(Genomes!$I:$I,(MATCH(AllProteins!H531,Genomes!$B:$B,0)))</f>
        <v>KY747497-eptesipox_virus</v>
      </c>
      <c r="J531">
        <f>INDEX(Genomes!$A:$A,(MATCH(AllProteins!H531,Genomes!$B:$B,0)))</f>
        <v>19</v>
      </c>
      <c r="K531" t="str">
        <f>INDEX(Genomes!$J:$J,(MATCH(AllProteins!H531,Genomes!$B:$B,0)))</f>
        <v>Y</v>
      </c>
    </row>
    <row r="532" spans="1:11" x14ac:dyDescent="0.2">
      <c r="A532">
        <f>INDEX(CoreProteinGroups!A:A,MATCH(B532,CoreProteinGroups!B:B,0))</f>
        <v>12</v>
      </c>
      <c r="B532" s="1" t="s">
        <v>949</v>
      </c>
      <c r="C532" t="str">
        <f>VLOOKUP(B532,CoreProteinGroups!$B:$C,2,FALSE)</f>
        <v>large capping enzyme</v>
      </c>
      <c r="D532" t="s">
        <v>966</v>
      </c>
      <c r="E532" s="6" t="str">
        <f t="shared" si="8"/>
        <v>PROT:AUD40250.1</v>
      </c>
      <c r="F532" t="s">
        <v>952</v>
      </c>
      <c r="G532" t="s">
        <v>32</v>
      </c>
      <c r="H532" t="s">
        <v>2665</v>
      </c>
      <c r="I532" t="str">
        <f>INDEX(Genomes!$I:$I,(MATCH(AllProteins!H532,Genomes!$B:$B,0)))</f>
        <v>MF678796-flamingopox_virus</v>
      </c>
      <c r="J532">
        <f>INDEX(Genomes!$A:$A,(MATCH(AllProteins!H532,Genomes!$B:$B,0)))</f>
        <v>20</v>
      </c>
      <c r="K532" t="str">
        <f>INDEX(Genomes!$J:$J,(MATCH(AllProteins!H532,Genomes!$B:$B,0)))</f>
        <v>Y</v>
      </c>
    </row>
    <row r="533" spans="1:11" x14ac:dyDescent="0.2">
      <c r="A533">
        <f>INDEX(CoreProteinGroups!A:A,MATCH(B533,CoreProteinGroups!B:B,0))</f>
        <v>12</v>
      </c>
      <c r="B533" s="1" t="s">
        <v>949</v>
      </c>
      <c r="C533" t="str">
        <f>VLOOKUP(B533,CoreProteinGroups!$B:$C,2,FALSE)</f>
        <v>large capping enzyme</v>
      </c>
      <c r="D533" t="s">
        <v>967</v>
      </c>
      <c r="E533" s="6" t="str">
        <f t="shared" si="8"/>
        <v>PROT:AID46882.1</v>
      </c>
      <c r="F533" t="s">
        <v>968</v>
      </c>
      <c r="G533" t="s">
        <v>34</v>
      </c>
      <c r="H533" t="s">
        <v>2681</v>
      </c>
      <c r="I533" t="str">
        <f>INDEX(Genomes!$I:$I,(MATCH(AllProteins!H533,Genomes!$B:$B,0)))</f>
        <v>KJ859677-penguinpox_virus</v>
      </c>
      <c r="J533">
        <f>INDEX(Genomes!$A:$A,(MATCH(AllProteins!H533,Genomes!$B:$B,0)))</f>
        <v>39</v>
      </c>
      <c r="K533" t="str">
        <f>INDEX(Genomes!$J:$J,(MATCH(AllProteins!H533,Genomes!$B:$B,0)))</f>
        <v>Y</v>
      </c>
    </row>
    <row r="534" spans="1:11" x14ac:dyDescent="0.2">
      <c r="A534">
        <f>INDEX(CoreProteinGroups!A:A,MATCH(B534,CoreProteinGroups!B:B,0))</f>
        <v>12</v>
      </c>
      <c r="B534" s="1" t="s">
        <v>949</v>
      </c>
      <c r="C534" t="str">
        <f>VLOOKUP(B534,CoreProteinGroups!$B:$C,2,FALSE)</f>
        <v>large capping enzyme</v>
      </c>
      <c r="D534" t="s">
        <v>969</v>
      </c>
      <c r="E534" s="6" t="str">
        <f t="shared" si="8"/>
        <v>PROT:AID46653.1</v>
      </c>
      <c r="F534" t="s">
        <v>968</v>
      </c>
      <c r="G534" t="s">
        <v>36</v>
      </c>
      <c r="H534" t="s">
        <v>2680</v>
      </c>
      <c r="I534" t="str">
        <f>INDEX(Genomes!$I:$I,(MATCH(AllProteins!H534,Genomes!$B:$B,0)))</f>
        <v>KJ801920-pigeonpox_virus</v>
      </c>
      <c r="J534">
        <f>INDEX(Genomes!$A:$A,(MATCH(AllProteins!H534,Genomes!$B:$B,0)))</f>
        <v>38</v>
      </c>
      <c r="K534" t="str">
        <f>INDEX(Genomes!$J:$J,(MATCH(AllProteins!H534,Genomes!$B:$B,0)))</f>
        <v>Y</v>
      </c>
    </row>
    <row r="535" spans="1:11" x14ac:dyDescent="0.2">
      <c r="A535">
        <f>INDEX(CoreProteinGroups!A:A,MATCH(B535,CoreProteinGroups!B:B,0))</f>
        <v>12</v>
      </c>
      <c r="B535" s="1" t="s">
        <v>949</v>
      </c>
      <c r="C535" t="str">
        <f>VLOOKUP(B535,CoreProteinGroups!$B:$C,2,FALSE)</f>
        <v>large capping enzyme</v>
      </c>
      <c r="D535" t="s">
        <v>970</v>
      </c>
      <c r="E535" s="6" t="str">
        <f t="shared" si="8"/>
        <v>PROT:ALA62484.1</v>
      </c>
      <c r="F535" t="s">
        <v>971</v>
      </c>
      <c r="G535" t="s">
        <v>39</v>
      </c>
      <c r="H535" t="s">
        <v>2692</v>
      </c>
      <c r="I535" t="str">
        <f>INDEX(Genomes!$I:$I,(MATCH(AllProteins!H535,Genomes!$B:$B,0)))</f>
        <v>KP728110-turkeypox_virus</v>
      </c>
      <c r="J535">
        <f>INDEX(Genomes!$A:$A,(MATCH(AllProteins!H535,Genomes!$B:$B,0)))</f>
        <v>51</v>
      </c>
      <c r="K535" t="str">
        <f>INDEX(Genomes!$J:$J,(MATCH(AllProteins!H535,Genomes!$B:$B,0)))</f>
        <v>Y</v>
      </c>
    </row>
    <row r="536" spans="1:11" x14ac:dyDescent="0.2">
      <c r="A536">
        <f>INDEX(CoreProteinGroups!A:A,MATCH(B536,CoreProteinGroups!B:B,0))</f>
        <v>12</v>
      </c>
      <c r="B536" s="1" t="s">
        <v>949</v>
      </c>
      <c r="C536" t="str">
        <f>VLOOKUP(B536,CoreProteinGroups!$B:$C,2,FALSE)</f>
        <v>large capping enzyme</v>
      </c>
      <c r="D536" t="s">
        <v>972</v>
      </c>
      <c r="E536" s="6" t="str">
        <f t="shared" si="8"/>
        <v>PROT:AAR83538.1</v>
      </c>
      <c r="F536" t="s">
        <v>973</v>
      </c>
      <c r="G536" t="s">
        <v>42</v>
      </c>
      <c r="H536" t="s">
        <v>2657</v>
      </c>
      <c r="I536" t="str">
        <f>INDEX(Genomes!$I:$I,(MATCH(AllProteins!H536,Genomes!$B:$B,0)))</f>
        <v>AY318871-canarypox_virus</v>
      </c>
      <c r="J536">
        <f>INDEX(Genomes!$A:$A,(MATCH(AllProteins!H536,Genomes!$B:$B,0)))</f>
        <v>11</v>
      </c>
      <c r="K536" t="str">
        <f>INDEX(Genomes!$J:$J,(MATCH(AllProteins!H536,Genomes!$B:$B,0)))</f>
        <v>Y</v>
      </c>
    </row>
    <row r="537" spans="1:11" x14ac:dyDescent="0.2">
      <c r="A537">
        <f>INDEX(CoreProteinGroups!A:A,MATCH(B537,CoreProteinGroups!B:B,0))</f>
        <v>12</v>
      </c>
      <c r="B537" s="1" t="s">
        <v>949</v>
      </c>
      <c r="C537" t="str">
        <f>VLOOKUP(B537,CoreProteinGroups!$B:$C,2,FALSE)</f>
        <v>large capping enzyme</v>
      </c>
      <c r="D537" t="s">
        <v>974</v>
      </c>
      <c r="E537" s="6" t="str">
        <f t="shared" si="8"/>
        <v>PROT:AAF44490.1</v>
      </c>
      <c r="F537" t="s">
        <v>975</v>
      </c>
      <c r="G537" t="s">
        <v>45</v>
      </c>
      <c r="H537" t="s">
        <v>2666</v>
      </c>
      <c r="I537" t="str">
        <f>INDEX(Genomes!$I:$I,(MATCH(AllProteins!H537,Genomes!$B:$B,0)))</f>
        <v>AF198100-fowlpox_virus</v>
      </c>
      <c r="J537">
        <f>INDEX(Genomes!$A:$A,(MATCH(AllProteins!H537,Genomes!$B:$B,0)))</f>
        <v>21</v>
      </c>
      <c r="K537" t="str">
        <f>INDEX(Genomes!$J:$J,(MATCH(AllProteins!H537,Genomes!$B:$B,0)))</f>
        <v>Y</v>
      </c>
    </row>
    <row r="538" spans="1:11" x14ac:dyDescent="0.2">
      <c r="A538">
        <f>INDEX(CoreProteinGroups!A:A,MATCH(B538,CoreProteinGroups!B:B,0))</f>
        <v>12</v>
      </c>
      <c r="B538" s="1" t="s">
        <v>949</v>
      </c>
      <c r="C538" t="str">
        <f>VLOOKUP(B538,CoreProteinGroups!$B:$C,2,FALSE)</f>
        <v>large capping enzyme</v>
      </c>
      <c r="D538" t="s">
        <v>976</v>
      </c>
      <c r="E538" s="6" t="str">
        <f t="shared" si="8"/>
        <v>PROT:AAK85040.1</v>
      </c>
      <c r="F538" t="s">
        <v>977</v>
      </c>
      <c r="G538" t="s">
        <v>48</v>
      </c>
      <c r="H538" t="s">
        <v>2669</v>
      </c>
      <c r="I538" t="str">
        <f>INDEX(Genomes!$I:$I,(MATCH(AllProteins!H538,Genomes!$B:$B,0)))</f>
        <v>AF325528-lumpy_skin_disease_virus</v>
      </c>
      <c r="J538">
        <f>INDEX(Genomes!$A:$A,(MATCH(AllProteins!H538,Genomes!$B:$B,0)))</f>
        <v>25</v>
      </c>
      <c r="K538" t="str">
        <f>INDEX(Genomes!$J:$J,(MATCH(AllProteins!H538,Genomes!$B:$B,0)))</f>
        <v>Y</v>
      </c>
    </row>
    <row r="539" spans="1:11" x14ac:dyDescent="0.2">
      <c r="A539">
        <f>INDEX(CoreProteinGroups!A:A,MATCH(B539,CoreProteinGroups!B:B,0))</f>
        <v>12</v>
      </c>
      <c r="B539" s="1" t="s">
        <v>949</v>
      </c>
      <c r="C539" t="str">
        <f>VLOOKUP(B539,CoreProteinGroups!$B:$C,2,FALSE)</f>
        <v>large capping enzyme</v>
      </c>
      <c r="D539" t="s">
        <v>978</v>
      </c>
      <c r="E539" s="6" t="str">
        <f t="shared" si="8"/>
        <v>PROT:AST09297.1</v>
      </c>
      <c r="F539" t="s">
        <v>952</v>
      </c>
      <c r="G539" t="s">
        <v>50</v>
      </c>
      <c r="H539" t="s">
        <v>2671</v>
      </c>
      <c r="I539" t="str">
        <f>INDEX(Genomes!$I:$I,(MATCH(AllProteins!H539,Genomes!$B:$B,0)))</f>
        <v>MF001304-Murmansk_poxvirus</v>
      </c>
      <c r="J539">
        <f>INDEX(Genomes!$A:$A,(MATCH(AllProteins!H539,Genomes!$B:$B,0)))</f>
        <v>27</v>
      </c>
      <c r="K539" t="str">
        <f>INDEX(Genomes!$J:$J,(MATCH(AllProteins!H539,Genomes!$B:$B,0)))</f>
        <v>Y</v>
      </c>
    </row>
    <row r="540" spans="1:11" x14ac:dyDescent="0.2">
      <c r="A540">
        <f>INDEX(CoreProteinGroups!A:A,MATCH(B540,CoreProteinGroups!B:B,0))</f>
        <v>12</v>
      </c>
      <c r="B540" s="1" t="s">
        <v>949</v>
      </c>
      <c r="C540" t="str">
        <f>VLOOKUP(B540,CoreProteinGroups!$B:$C,2,FALSE)</f>
        <v>large capping enzyme</v>
      </c>
      <c r="D540" t="s">
        <v>979</v>
      </c>
      <c r="E540" s="6" t="str">
        <f t="shared" si="8"/>
        <v>PROT:AEN03675.1</v>
      </c>
      <c r="F540" t="s">
        <v>980</v>
      </c>
      <c r="G540" t="s">
        <v>52</v>
      </c>
      <c r="H540" t="s">
        <v>2698</v>
      </c>
      <c r="I540" t="str">
        <f>INDEX(Genomes!$I:$I,(MATCH(AllProteins!H540,Genomes!$B:$B,0)))</f>
        <v>HQ849551-yokapox_virus</v>
      </c>
      <c r="J540">
        <f>INDEX(Genomes!$A:$A,(MATCH(AllProteins!H540,Genomes!$B:$B,0)))</f>
        <v>57</v>
      </c>
      <c r="K540" t="str">
        <f>INDEX(Genomes!$J:$J,(MATCH(AllProteins!H540,Genomes!$B:$B,0)))</f>
        <v>Y</v>
      </c>
    </row>
    <row r="541" spans="1:11" x14ac:dyDescent="0.2">
      <c r="A541">
        <f>INDEX(CoreProteinGroups!A:A,MATCH(B541,CoreProteinGroups!B:B,0))</f>
        <v>12</v>
      </c>
      <c r="B541" s="1" t="s">
        <v>949</v>
      </c>
      <c r="C541" t="str">
        <f>VLOOKUP(B541,CoreProteinGroups!$B:$C,2,FALSE)</f>
        <v>large capping enzyme</v>
      </c>
      <c r="D541" t="s">
        <v>981</v>
      </c>
      <c r="E541" s="6" t="str">
        <f t="shared" si="8"/>
        <v>PROT:ABI99243.1</v>
      </c>
      <c r="F541" t="s">
        <v>982</v>
      </c>
      <c r="G541" t="s">
        <v>54</v>
      </c>
      <c r="H541" t="s">
        <v>2661</v>
      </c>
      <c r="I541" t="str">
        <f>INDEX(Genomes!$I:$I,(MATCH(AllProteins!H541,Genomes!$B:$B,0)))</f>
        <v>AY689436-mule_deerpox_virus</v>
      </c>
      <c r="J541">
        <f>INDEX(Genomes!$A:$A,(MATCH(AllProteins!H541,Genomes!$B:$B,0)))</f>
        <v>15</v>
      </c>
      <c r="K541" t="str">
        <f>INDEX(Genomes!$J:$J,(MATCH(AllProteins!H541,Genomes!$B:$B,0)))</f>
        <v>Y</v>
      </c>
    </row>
    <row r="542" spans="1:11" x14ac:dyDescent="0.2">
      <c r="A542">
        <f>INDEX(CoreProteinGroups!A:A,MATCH(B542,CoreProteinGroups!B:B,0))</f>
        <v>12</v>
      </c>
      <c r="B542" s="1" t="s">
        <v>949</v>
      </c>
      <c r="C542" t="str">
        <f>VLOOKUP(B542,CoreProteinGroups!$B:$C,2,FALSE)</f>
        <v>large capping enzyme</v>
      </c>
      <c r="D542" t="s">
        <v>983</v>
      </c>
      <c r="E542" s="6" t="str">
        <f t="shared" si="8"/>
        <v>PROT:ABJ09000.1</v>
      </c>
      <c r="F542" t="s">
        <v>952</v>
      </c>
      <c r="G542" t="s">
        <v>56</v>
      </c>
      <c r="H542" t="s">
        <v>2677</v>
      </c>
      <c r="I542" t="str">
        <f>INDEX(Genomes!$I:$I,(MATCH(AllProteins!H542,Genomes!$B:$B,0)))</f>
        <v>DQ356948-Nile_crocodilepox_virus</v>
      </c>
      <c r="J542">
        <f>INDEX(Genomes!$A:$A,(MATCH(AllProteins!H542,Genomes!$B:$B,0)))</f>
        <v>34</v>
      </c>
      <c r="K542" t="str">
        <f>INDEX(Genomes!$J:$J,(MATCH(AllProteins!H542,Genomes!$B:$B,0)))</f>
        <v>Y</v>
      </c>
    </row>
    <row r="543" spans="1:11" x14ac:dyDescent="0.2">
      <c r="A543">
        <f>INDEX(CoreProteinGroups!A:A,MATCH(B543,CoreProteinGroups!B:B,0))</f>
        <v>12</v>
      </c>
      <c r="B543" s="1" t="s">
        <v>949</v>
      </c>
      <c r="C543" t="str">
        <f>VLOOKUP(B543,CoreProteinGroups!$B:$C,2,FALSE)</f>
        <v>large capping enzyme</v>
      </c>
      <c r="D543" t="s">
        <v>984</v>
      </c>
      <c r="E543" s="6" t="str">
        <f t="shared" si="8"/>
        <v>PROT:AAF14964.1</v>
      </c>
      <c r="F543" t="s">
        <v>985</v>
      </c>
      <c r="G543" t="s">
        <v>2584</v>
      </c>
      <c r="H543" t="s">
        <v>2676</v>
      </c>
      <c r="I543" t="str">
        <f>INDEX(Genomes!$I:$I,(MATCH(AllProteins!H543,Genomes!$B:$B,0)))</f>
        <v>AF170726-myxoma_virus</v>
      </c>
      <c r="J543">
        <f>INDEX(Genomes!$A:$A,(MATCH(AllProteins!H543,Genomes!$B:$B,0)))</f>
        <v>32</v>
      </c>
      <c r="K543" t="str">
        <f>INDEX(Genomes!$J:$J,(MATCH(AllProteins!H543,Genomes!$B:$B,0)))</f>
        <v>Y</v>
      </c>
    </row>
    <row r="544" spans="1:11" x14ac:dyDescent="0.2">
      <c r="A544">
        <f>INDEX(CoreProteinGroups!A:A,MATCH(B544,CoreProteinGroups!B:B,0))</f>
        <v>12</v>
      </c>
      <c r="B544" s="1" t="s">
        <v>949</v>
      </c>
      <c r="C544" t="str">
        <f>VLOOKUP(B544,CoreProteinGroups!$B:$C,2,FALSE)</f>
        <v>large capping enzyme</v>
      </c>
      <c r="D544" t="s">
        <v>986</v>
      </c>
      <c r="E544" s="6" t="str">
        <f t="shared" si="8"/>
        <v>PROT:AFU77340.1</v>
      </c>
      <c r="F544" t="s">
        <v>985</v>
      </c>
      <c r="G544" t="s">
        <v>2553</v>
      </c>
      <c r="H544" t="s">
        <v>2646</v>
      </c>
      <c r="I544" t="str">
        <f>INDEX(Genomes!$I:$I,(MATCH(AllProteins!H544,Genomes!$B:$B,0)))</f>
        <v>JX565564-myxoma_virus_isolate_BRK_897</v>
      </c>
      <c r="J544">
        <f>INDEX(Genomes!$A:$A,(MATCH(AllProteins!H544,Genomes!$B:$B,0)))</f>
        <v>33</v>
      </c>
      <c r="K544" t="str">
        <f>INDEX(Genomes!$J:$J,(MATCH(AllProteins!H544,Genomes!$B:$B,0)))</f>
        <v>N</v>
      </c>
    </row>
    <row r="545" spans="1:11" x14ac:dyDescent="0.2">
      <c r="A545">
        <f>INDEX(CoreProteinGroups!A:A,MATCH(B545,CoreProteinGroups!B:B,0))</f>
        <v>12</v>
      </c>
      <c r="B545" s="1" t="s">
        <v>949</v>
      </c>
      <c r="C545" t="str">
        <f>VLOOKUP(B545,CoreProteinGroups!$B:$C,2,FALSE)</f>
        <v>large capping enzyme</v>
      </c>
      <c r="D545" t="s">
        <v>987</v>
      </c>
      <c r="E545" s="6" t="str">
        <f t="shared" si="8"/>
        <v>PROT:AAF17958.1</v>
      </c>
      <c r="F545" t="s">
        <v>988</v>
      </c>
      <c r="G545" t="s">
        <v>62</v>
      </c>
      <c r="H545" t="s">
        <v>2685</v>
      </c>
      <c r="I545" t="str">
        <f>INDEX(Genomes!$I:$I,(MATCH(AllProteins!H545,Genomes!$B:$B,0)))</f>
        <v>AF170722-rabbit_fibroma_virus</v>
      </c>
      <c r="J545">
        <f>INDEX(Genomes!$A:$A,(MATCH(AllProteins!H545,Genomes!$B:$B,0)))</f>
        <v>43</v>
      </c>
      <c r="K545" t="str">
        <f>INDEX(Genomes!$J:$J,(MATCH(AllProteins!H545,Genomes!$B:$B,0)))</f>
        <v>Y</v>
      </c>
    </row>
    <row r="546" spans="1:11" x14ac:dyDescent="0.2">
      <c r="A546">
        <f>INDEX(CoreProteinGroups!A:A,MATCH(B546,CoreProteinGroups!B:B,0))</f>
        <v>12</v>
      </c>
      <c r="B546" s="1" t="s">
        <v>949</v>
      </c>
      <c r="C546" t="str">
        <f>VLOOKUP(B546,CoreProteinGroups!$B:$C,2,FALSE)</f>
        <v>large capping enzyme</v>
      </c>
      <c r="D546" t="s">
        <v>989</v>
      </c>
      <c r="E546" s="6" t="str">
        <f t="shared" si="8"/>
        <v>PROT:AAC55218.1</v>
      </c>
      <c r="F546" t="s">
        <v>990</v>
      </c>
      <c r="G546" t="s">
        <v>65</v>
      </c>
      <c r="H546" t="s">
        <v>2670</v>
      </c>
      <c r="I546" t="str">
        <f>INDEX(Genomes!$I:$I,(MATCH(AllProteins!H546,Genomes!$B:$B,0)))</f>
        <v>U60315-molluscum_contagiosum_virus</v>
      </c>
      <c r="J546">
        <f>INDEX(Genomes!$A:$A,(MATCH(AllProteins!H546,Genomes!$B:$B,0)))</f>
        <v>26</v>
      </c>
      <c r="K546" t="str">
        <f>INDEX(Genomes!$J:$J,(MATCH(AllProteins!H546,Genomes!$B:$B,0)))</f>
        <v>Y</v>
      </c>
    </row>
    <row r="547" spans="1:11" x14ac:dyDescent="0.2">
      <c r="A547">
        <f>INDEX(CoreProteinGroups!A:A,MATCH(B547,CoreProteinGroups!B:B,0))</f>
        <v>12</v>
      </c>
      <c r="B547" s="1" t="s">
        <v>949</v>
      </c>
      <c r="C547" t="str">
        <f>VLOOKUP(B547,CoreProteinGroups!$B:$C,2,FALSE)</f>
        <v>large capping enzyme</v>
      </c>
      <c r="D547" t="s">
        <v>991</v>
      </c>
      <c r="E547" s="6" t="str">
        <f t="shared" si="8"/>
        <v>PROT:AYN64672.1</v>
      </c>
      <c r="F547" t="s">
        <v>992</v>
      </c>
      <c r="G547" t="s">
        <v>68</v>
      </c>
      <c r="H547" t="s">
        <v>2647</v>
      </c>
      <c r="I547" t="str">
        <f>INDEX(Genomes!$I:$I,(MATCH(AllProteins!H547,Genomes!$B:$B,0)))</f>
        <v>MH816996-orthopoxvirus_abatino</v>
      </c>
      <c r="J547">
        <f>INDEX(Genomes!$A:$A,(MATCH(AllProteins!H547,Genomes!$B:$B,0)))</f>
        <v>1</v>
      </c>
      <c r="K547" t="str">
        <f>INDEX(Genomes!$J:$J,(MATCH(AllProteins!H547,Genomes!$B:$B,0)))</f>
        <v>Y</v>
      </c>
    </row>
    <row r="548" spans="1:11" x14ac:dyDescent="0.2">
      <c r="A548">
        <f>INDEX(CoreProteinGroups!A:A,MATCH(B548,CoreProteinGroups!B:B,0))</f>
        <v>12</v>
      </c>
      <c r="B548" s="1" t="s">
        <v>949</v>
      </c>
      <c r="C548" t="str">
        <f>VLOOKUP(B548,CoreProteinGroups!$B:$C,2,FALSE)</f>
        <v>large capping enzyme</v>
      </c>
      <c r="D548" t="s">
        <v>993</v>
      </c>
      <c r="E548" s="6" t="str">
        <f t="shared" si="8"/>
        <v>PROT:AXN74900.1</v>
      </c>
      <c r="F548" t="s">
        <v>952</v>
      </c>
      <c r="G548" t="s">
        <v>70</v>
      </c>
      <c r="H548" t="s">
        <v>2650</v>
      </c>
      <c r="I548" t="str">
        <f>INDEX(Genomes!$I:$I,(MATCH(AllProteins!H548,Genomes!$B:$B,0)))</f>
        <v>MH607141-Akhmeta_virus</v>
      </c>
      <c r="J548">
        <f>INDEX(Genomes!$A:$A,(MATCH(AllProteins!H548,Genomes!$B:$B,0)))</f>
        <v>4</v>
      </c>
      <c r="K548" t="str">
        <f>INDEX(Genomes!$J:$J,(MATCH(AllProteins!H548,Genomes!$B:$B,0)))</f>
        <v>Y</v>
      </c>
    </row>
    <row r="549" spans="1:11" x14ac:dyDescent="0.2">
      <c r="A549">
        <f>INDEX(CoreProteinGroups!A:A,MATCH(B549,CoreProteinGroups!B:B,0))</f>
        <v>12</v>
      </c>
      <c r="B549" s="1" t="s">
        <v>949</v>
      </c>
      <c r="C549" t="str">
        <f>VLOOKUP(B549,CoreProteinGroups!$B:$C,2,FALSE)</f>
        <v>large capping enzyme</v>
      </c>
      <c r="D549" t="s">
        <v>994</v>
      </c>
      <c r="E549" s="6" t="str">
        <f t="shared" si="8"/>
        <v>PROT:ABH08213.1</v>
      </c>
      <c r="F549" t="s">
        <v>995</v>
      </c>
      <c r="G549" t="s">
        <v>73</v>
      </c>
      <c r="H549" t="s">
        <v>2668</v>
      </c>
      <c r="I549" t="str">
        <f>INDEX(Genomes!$I:$I,(MATCH(AllProteins!H549,Genomes!$B:$B,0)))</f>
        <v>DQ792504-horsepox_virus</v>
      </c>
      <c r="J549">
        <f>INDEX(Genomes!$A:$A,(MATCH(AllProteins!H549,Genomes!$B:$B,0)))</f>
        <v>24</v>
      </c>
      <c r="K549" t="str">
        <f>INDEX(Genomes!$J:$J,(MATCH(AllProteins!H549,Genomes!$B:$B,0)))</f>
        <v>Y</v>
      </c>
    </row>
    <row r="550" spans="1:11" x14ac:dyDescent="0.2">
      <c r="A550">
        <f>INDEX(CoreProteinGroups!A:A,MATCH(B550,CoreProteinGroups!B:B,0))</f>
        <v>12</v>
      </c>
      <c r="B550" s="1" t="s">
        <v>949</v>
      </c>
      <c r="C550" t="str">
        <f>VLOOKUP(B550,CoreProteinGroups!$B:$C,2,FALSE)</f>
        <v>large capping enzyme</v>
      </c>
      <c r="D550" t="s">
        <v>996</v>
      </c>
      <c r="E550" s="6" t="str">
        <f t="shared" si="8"/>
        <v>PROT:AAG37576.1</v>
      </c>
      <c r="F550" t="s">
        <v>997</v>
      </c>
      <c r="G550" t="s">
        <v>76</v>
      </c>
      <c r="H550" t="s">
        <v>2655</v>
      </c>
      <c r="I550" t="str">
        <f>INDEX(Genomes!$I:$I,(MATCH(AllProteins!H550,Genomes!$B:$B,0)))</f>
        <v>AY009089-camelpox_virus_CMS</v>
      </c>
      <c r="J550">
        <f>INDEX(Genomes!$A:$A,(MATCH(AllProteins!H550,Genomes!$B:$B,0)))</f>
        <v>9</v>
      </c>
      <c r="K550" t="str">
        <f>INDEX(Genomes!$J:$J,(MATCH(AllProteins!H550,Genomes!$B:$B,0)))</f>
        <v>N</v>
      </c>
    </row>
    <row r="551" spans="1:11" x14ac:dyDescent="0.2">
      <c r="A551">
        <f>INDEX(CoreProteinGroups!A:A,MATCH(B551,CoreProteinGroups!B:B,0))</f>
        <v>12</v>
      </c>
      <c r="B551" s="1" t="s">
        <v>949</v>
      </c>
      <c r="C551" t="str">
        <f>VLOOKUP(B551,CoreProteinGroups!$B:$C,2,FALSE)</f>
        <v>large capping enzyme</v>
      </c>
      <c r="D551" t="s">
        <v>998</v>
      </c>
      <c r="E551" s="6" t="str">
        <f t="shared" si="8"/>
        <v>PROT:AAL73811.1</v>
      </c>
      <c r="F551" t="s">
        <v>952</v>
      </c>
      <c r="G551" t="s">
        <v>79</v>
      </c>
      <c r="H551" t="s">
        <v>2654</v>
      </c>
      <c r="I551" t="str">
        <f>INDEX(Genomes!$I:$I,(MATCH(AllProteins!H551,Genomes!$B:$B,0)))</f>
        <v>AF438165-camelpox_virus</v>
      </c>
      <c r="J551">
        <f>INDEX(Genomes!$A:$A,(MATCH(AllProteins!H551,Genomes!$B:$B,0)))</f>
        <v>8</v>
      </c>
      <c r="K551" t="str">
        <f>INDEX(Genomes!$J:$J,(MATCH(AllProteins!H551,Genomes!$B:$B,0)))</f>
        <v>Y</v>
      </c>
    </row>
    <row r="552" spans="1:11" x14ac:dyDescent="0.2">
      <c r="A552">
        <f>INDEX(CoreProteinGroups!A:A,MATCH(B552,CoreProteinGroups!B:B,0))</f>
        <v>12</v>
      </c>
      <c r="B552" s="1" t="s">
        <v>949</v>
      </c>
      <c r="C552" t="str">
        <f>VLOOKUP(B552,CoreProteinGroups!$B:$C,2,FALSE)</f>
        <v>large capping enzyme</v>
      </c>
      <c r="D552" t="s">
        <v>999</v>
      </c>
      <c r="E552" s="6" t="str">
        <f t="shared" si="8"/>
        <v>PROT:AAM13560.1</v>
      </c>
      <c r="F552" t="s">
        <v>1000</v>
      </c>
      <c r="G552" t="s">
        <v>82</v>
      </c>
      <c r="H552" t="s">
        <v>2659</v>
      </c>
      <c r="I552" t="str">
        <f>INDEX(Genomes!$I:$I,(MATCH(AllProteins!H552,Genomes!$B:$B,0)))</f>
        <v>AF482758-cowpox_virus</v>
      </c>
      <c r="J552">
        <f>INDEX(Genomes!$A:$A,(MATCH(AllProteins!H552,Genomes!$B:$B,0)))</f>
        <v>13</v>
      </c>
      <c r="K552" t="str">
        <f>INDEX(Genomes!$J:$J,(MATCH(AllProteins!H552,Genomes!$B:$B,0)))</f>
        <v>Y</v>
      </c>
    </row>
    <row r="553" spans="1:11" x14ac:dyDescent="0.2">
      <c r="A553">
        <f>INDEX(CoreProteinGroups!A:A,MATCH(B553,CoreProteinGroups!B:B,0))</f>
        <v>12</v>
      </c>
      <c r="B553" s="1" t="s">
        <v>949</v>
      </c>
      <c r="C553" t="str">
        <f>VLOOKUP(B553,CoreProteinGroups!$B:$C,2,FALSE)</f>
        <v>large capping enzyme</v>
      </c>
      <c r="D553" t="s">
        <v>1001</v>
      </c>
      <c r="E553" s="6" t="str">
        <f t="shared" si="8"/>
        <v>PROT:AAM92394.1</v>
      </c>
      <c r="F553" t="s">
        <v>1002</v>
      </c>
      <c r="G553" t="s">
        <v>85</v>
      </c>
      <c r="H553" t="s">
        <v>2662</v>
      </c>
      <c r="I553" t="str">
        <f>INDEX(Genomes!$I:$I,(MATCH(AllProteins!H553,Genomes!$B:$B,0)))</f>
        <v>AF012825-ectromelia_virus</v>
      </c>
      <c r="J553">
        <f>INDEX(Genomes!$A:$A,(MATCH(AllProteins!H553,Genomes!$B:$B,0)))</f>
        <v>16</v>
      </c>
      <c r="K553" t="str">
        <f>INDEX(Genomes!$J:$J,(MATCH(AllProteins!H553,Genomes!$B:$B,0)))</f>
        <v>Y</v>
      </c>
    </row>
    <row r="554" spans="1:11" x14ac:dyDescent="0.2">
      <c r="A554">
        <f>INDEX(CoreProteinGroups!A:A,MATCH(B554,CoreProteinGroups!B:B,0))</f>
        <v>12</v>
      </c>
      <c r="B554" s="1" t="s">
        <v>949</v>
      </c>
      <c r="C554" t="str">
        <f>VLOOKUP(B554,CoreProteinGroups!$B:$C,2,FALSE)</f>
        <v>large capping enzyme</v>
      </c>
      <c r="D554" t="s">
        <v>1003</v>
      </c>
      <c r="E554" s="6" t="str">
        <f t="shared" si="8"/>
        <v>PROT:AFH54653.1</v>
      </c>
      <c r="F554" t="s">
        <v>950</v>
      </c>
      <c r="G554" t="s">
        <v>87</v>
      </c>
      <c r="H554" t="s">
        <v>2619</v>
      </c>
      <c r="I554" t="str">
        <f>INDEX(Genomes!$I:$I,(MATCH(AllProteins!H554,Genomes!$B:$B,0)))</f>
        <v>JQ410350-ectromelia_virus_strain_ERPV</v>
      </c>
      <c r="J554">
        <f>INDEX(Genomes!$A:$A,(MATCH(AllProteins!H554,Genomes!$B:$B,0)))</f>
        <v>17</v>
      </c>
      <c r="K554" t="str">
        <f>INDEX(Genomes!$J:$J,(MATCH(AllProteins!H554,Genomes!$B:$B,0)))</f>
        <v>N</v>
      </c>
    </row>
    <row r="555" spans="1:11" x14ac:dyDescent="0.2">
      <c r="A555">
        <f>INDEX(CoreProteinGroups!A:A,MATCH(B555,CoreProteinGroups!B:B,0))</f>
        <v>12</v>
      </c>
      <c r="B555" s="1" t="s">
        <v>949</v>
      </c>
      <c r="C555" t="str">
        <f>VLOOKUP(B555,CoreProteinGroups!$B:$C,2,FALSE)</f>
        <v>large capping enzyme</v>
      </c>
      <c r="D555" t="s">
        <v>1004</v>
      </c>
      <c r="E555" s="6" t="str">
        <f t="shared" si="8"/>
        <v>PROT:AAL40556.1</v>
      </c>
      <c r="F555" t="s">
        <v>1005</v>
      </c>
      <c r="G555" t="s">
        <v>90</v>
      </c>
      <c r="H555" t="s">
        <v>2673</v>
      </c>
      <c r="I555" t="str">
        <f>INDEX(Genomes!$I:$I,(MATCH(AllProteins!H555,Genomes!$B:$B,0)))</f>
        <v>AF380138-monkeypox_virus_(clade_I)</v>
      </c>
      <c r="J555">
        <f>INDEX(Genomes!$A:$A,(MATCH(AllProteins!H555,Genomes!$B:$B,0)))</f>
        <v>29</v>
      </c>
      <c r="K555" t="str">
        <f>INDEX(Genomes!$J:$J,(MATCH(AllProteins!H555,Genomes!$B:$B,0)))</f>
        <v>Y</v>
      </c>
    </row>
    <row r="556" spans="1:11" x14ac:dyDescent="0.2">
      <c r="A556">
        <f>INDEX(CoreProteinGroups!A:A,MATCH(B556,CoreProteinGroups!B:B,0))</f>
        <v>12</v>
      </c>
      <c r="B556" s="1" t="s">
        <v>949</v>
      </c>
      <c r="C556" t="str">
        <f>VLOOKUP(B556,CoreProteinGroups!$B:$C,2,FALSE)</f>
        <v>large capping enzyme</v>
      </c>
      <c r="D556" t="s">
        <v>1006</v>
      </c>
      <c r="E556" s="6" t="str">
        <f t="shared" si="8"/>
        <v>PROT:AAX09193.1</v>
      </c>
      <c r="F556" t="s">
        <v>1007</v>
      </c>
      <c r="G556" t="s">
        <v>93</v>
      </c>
      <c r="H556" t="s">
        <v>2672</v>
      </c>
      <c r="I556" t="str">
        <f>INDEX(Genomes!$I:$I,(MATCH(AllProteins!H556,Genomes!$B:$B,0)))</f>
        <v>AY753185-monkeypox_virus_(clade_IIa)</v>
      </c>
      <c r="J556">
        <f>INDEX(Genomes!$A:$A,(MATCH(AllProteins!H556,Genomes!$B:$B,0)))</f>
        <v>28</v>
      </c>
      <c r="K556" t="str">
        <f>INDEX(Genomes!$J:$J,(MATCH(AllProteins!H556,Genomes!$B:$B,0)))</f>
        <v>Y</v>
      </c>
    </row>
    <row r="557" spans="1:11" x14ac:dyDescent="0.2">
      <c r="A557">
        <f>INDEX(CoreProteinGroups!A:A,MATCH(B557,CoreProteinGroups!B:B,0))</f>
        <v>12</v>
      </c>
      <c r="B557" s="1" t="s">
        <v>949</v>
      </c>
      <c r="C557" t="str">
        <f>VLOOKUP(B557,CoreProteinGroups!$B:$C,2,FALSE)</f>
        <v>large capping enzyme</v>
      </c>
      <c r="D557" t="s">
        <v>1008</v>
      </c>
      <c r="E557" s="6" t="str">
        <f t="shared" si="8"/>
        <v>PROT:AKJ93735.1</v>
      </c>
      <c r="F557" t="s">
        <v>952</v>
      </c>
      <c r="G557" t="s">
        <v>95</v>
      </c>
      <c r="H557" t="s">
        <v>2683</v>
      </c>
      <c r="I557" t="str">
        <f>INDEX(Genomes!$I:$I,(MATCH(AllProteins!H557,Genomes!$B:$B,0)))</f>
        <v>KP143769-raccoonpox_virus</v>
      </c>
      <c r="J557">
        <f>INDEX(Genomes!$A:$A,(MATCH(AllProteins!H557,Genomes!$B:$B,0)))</f>
        <v>41</v>
      </c>
      <c r="K557" t="str">
        <f>INDEX(Genomes!$J:$J,(MATCH(AllProteins!H557,Genomes!$B:$B,0)))</f>
        <v>Y</v>
      </c>
    </row>
    <row r="558" spans="1:11" x14ac:dyDescent="0.2">
      <c r="A558">
        <f>INDEX(CoreProteinGroups!A:A,MATCH(B558,CoreProteinGroups!B:B,0))</f>
        <v>12</v>
      </c>
      <c r="B558" s="1" t="s">
        <v>949</v>
      </c>
      <c r="C558" t="str">
        <f>VLOOKUP(B558,CoreProteinGroups!$B:$C,2,FALSE)</f>
        <v>large capping enzyme</v>
      </c>
      <c r="D558" t="s">
        <v>1009</v>
      </c>
      <c r="E558" s="6" t="str">
        <f t="shared" si="8"/>
        <v>PROT:AOP31584.1</v>
      </c>
      <c r="F558" t="s">
        <v>952</v>
      </c>
      <c r="G558" t="s">
        <v>97</v>
      </c>
      <c r="H558" t="s">
        <v>2686</v>
      </c>
      <c r="I558" t="str">
        <f>INDEX(Genomes!$I:$I,(MATCH(AllProteins!H558,Genomes!$B:$B,0)))</f>
        <v>KU749310-skunkpox_virus</v>
      </c>
      <c r="J558">
        <f>INDEX(Genomes!$A:$A,(MATCH(AllProteins!H558,Genomes!$B:$B,0)))</f>
        <v>45</v>
      </c>
      <c r="K558" t="str">
        <f>INDEX(Genomes!$J:$J,(MATCH(AllProteins!H558,Genomes!$B:$B,0)))</f>
        <v>Y</v>
      </c>
    </row>
    <row r="559" spans="1:11" x14ac:dyDescent="0.2">
      <c r="A559">
        <f>INDEX(CoreProteinGroups!A:A,MATCH(B559,CoreProteinGroups!B:B,0))</f>
        <v>12</v>
      </c>
      <c r="B559" s="1" t="s">
        <v>949</v>
      </c>
      <c r="C559" t="str">
        <f>VLOOKUP(B559,CoreProteinGroups!$B:$C,2,FALSE)</f>
        <v>large capping enzyme</v>
      </c>
      <c r="D559" t="s">
        <v>1010</v>
      </c>
      <c r="E559" s="6" t="str">
        <f t="shared" si="8"/>
        <v>PROT:ABD97674.1</v>
      </c>
      <c r="F559" t="s">
        <v>980</v>
      </c>
      <c r="G559" t="s">
        <v>99</v>
      </c>
      <c r="H559" t="s">
        <v>2691</v>
      </c>
      <c r="I559" t="str">
        <f>INDEX(Genomes!$I:$I,(MATCH(AllProteins!H559,Genomes!$B:$B,0)))</f>
        <v>DQ437594-taterapox_virus</v>
      </c>
      <c r="J559">
        <f>INDEX(Genomes!$A:$A,(MATCH(AllProteins!H559,Genomes!$B:$B,0)))</f>
        <v>50</v>
      </c>
      <c r="K559" t="str">
        <f>INDEX(Genomes!$J:$J,(MATCH(AllProteins!H559,Genomes!$B:$B,0)))</f>
        <v>Y</v>
      </c>
    </row>
    <row r="560" spans="1:11" x14ac:dyDescent="0.2">
      <c r="A560">
        <f>INDEX(CoreProteinGroups!A:A,MATCH(B560,CoreProteinGroups!B:B,0))</f>
        <v>12</v>
      </c>
      <c r="B560" s="1" t="s">
        <v>949</v>
      </c>
      <c r="C560" t="str">
        <f>VLOOKUP(B560,CoreProteinGroups!$B:$C,2,FALSE)</f>
        <v>large capping enzyme</v>
      </c>
      <c r="D560" t="s">
        <v>1011</v>
      </c>
      <c r="E560" s="6" t="str">
        <f t="shared" si="8"/>
        <v>PROT:AAO89385.1</v>
      </c>
      <c r="F560" t="s">
        <v>980</v>
      </c>
      <c r="G560" t="s">
        <v>101</v>
      </c>
      <c r="H560" t="s">
        <v>2693</v>
      </c>
      <c r="I560" t="str">
        <f>INDEX(Genomes!$I:$I,(MATCH(AllProteins!H560,Genomes!$B:$B,0)))</f>
        <v>AY243312-vaccinia_virus</v>
      </c>
      <c r="J560">
        <f>INDEX(Genomes!$A:$A,(MATCH(AllProteins!H560,Genomes!$B:$B,0)))</f>
        <v>52</v>
      </c>
      <c r="K560" t="str">
        <f>INDEX(Genomes!$J:$J,(MATCH(AllProteins!H560,Genomes!$B:$B,0)))</f>
        <v>Y</v>
      </c>
    </row>
    <row r="561" spans="1:11" x14ac:dyDescent="0.2">
      <c r="A561">
        <f>INDEX(CoreProteinGroups!A:A,MATCH(B561,CoreProteinGroups!B:B,0))</f>
        <v>12</v>
      </c>
      <c r="B561" s="1" t="s">
        <v>949</v>
      </c>
      <c r="C561" t="str">
        <f>VLOOKUP(B561,CoreProteinGroups!$B:$C,2,FALSE)</f>
        <v>large capping enzyme</v>
      </c>
      <c r="D561" t="s">
        <v>1012</v>
      </c>
      <c r="E561" s="6" t="str">
        <f t="shared" si="8"/>
        <v>PROT:CAA49032.1</v>
      </c>
      <c r="F561" t="s">
        <v>1013</v>
      </c>
      <c r="G561" t="s">
        <v>2585</v>
      </c>
      <c r="H561" t="s">
        <v>2694</v>
      </c>
      <c r="I561" t="str">
        <f>INDEX(Genomes!$I:$I,(MATCH(AllProteins!H561,Genomes!$B:$B,0)))</f>
        <v>X69198-variola_major_virus</v>
      </c>
      <c r="J561">
        <f>INDEX(Genomes!$A:$A,(MATCH(AllProteins!H561,Genomes!$B:$B,0)))</f>
        <v>53</v>
      </c>
      <c r="K561" t="str">
        <f>INDEX(Genomes!$J:$J,(MATCH(AllProteins!H561,Genomes!$B:$B,0)))</f>
        <v>Y</v>
      </c>
    </row>
    <row r="562" spans="1:11" x14ac:dyDescent="0.2">
      <c r="A562">
        <f>INDEX(CoreProteinGroups!A:A,MATCH(B562,CoreProteinGroups!B:B,0))</f>
        <v>12</v>
      </c>
      <c r="B562" s="1" t="s">
        <v>949</v>
      </c>
      <c r="C562" t="str">
        <f>VLOOKUP(B562,CoreProteinGroups!$B:$C,2,FALSE)</f>
        <v>large capping enzyme</v>
      </c>
      <c r="D562" t="s">
        <v>1014</v>
      </c>
      <c r="E562" s="6" t="str">
        <f t="shared" si="8"/>
        <v>PROT:CAB54691.1</v>
      </c>
      <c r="F562" t="s">
        <v>1015</v>
      </c>
      <c r="G562" t="s">
        <v>106</v>
      </c>
      <c r="H562" t="s">
        <v>2695</v>
      </c>
      <c r="I562" t="str">
        <f>INDEX(Genomes!$I:$I,(MATCH(AllProteins!H562,Genomes!$B:$B,0)))</f>
        <v>Y16780-variola_minor_virus</v>
      </c>
      <c r="J562">
        <f>INDEX(Genomes!$A:$A,(MATCH(AllProteins!H562,Genomes!$B:$B,0)))</f>
        <v>54</v>
      </c>
      <c r="K562" t="str">
        <f>INDEX(Genomes!$J:$J,(MATCH(AllProteins!H562,Genomes!$B:$B,0)))</f>
        <v>Y</v>
      </c>
    </row>
    <row r="563" spans="1:11" x14ac:dyDescent="0.2">
      <c r="A563">
        <f>INDEX(CoreProteinGroups!A:A,MATCH(B563,CoreProteinGroups!B:B,0))</f>
        <v>12</v>
      </c>
      <c r="B563" s="1" t="s">
        <v>949</v>
      </c>
      <c r="C563" t="str">
        <f>VLOOKUP(B563,CoreProteinGroups!$B:$C,2,FALSE)</f>
        <v>large capping enzyme</v>
      </c>
      <c r="D563" t="s">
        <v>1016</v>
      </c>
      <c r="E563" s="6" t="str">
        <f t="shared" si="8"/>
        <v>PROT:AOP31795.1</v>
      </c>
      <c r="F563" t="s">
        <v>952</v>
      </c>
      <c r="G563" t="s">
        <v>108</v>
      </c>
      <c r="H563" t="s">
        <v>2696</v>
      </c>
      <c r="I563" t="str">
        <f>INDEX(Genomes!$I:$I,(MATCH(AllProteins!H563,Genomes!$B:$B,0)))</f>
        <v>KU749311-volepox_virus</v>
      </c>
      <c r="J563">
        <f>INDEX(Genomes!$A:$A,(MATCH(AllProteins!H563,Genomes!$B:$B,0)))</f>
        <v>55</v>
      </c>
      <c r="K563" t="str">
        <f>INDEX(Genomes!$J:$J,(MATCH(AllProteins!H563,Genomes!$B:$B,0)))</f>
        <v>Y</v>
      </c>
    </row>
    <row r="564" spans="1:11" x14ac:dyDescent="0.2">
      <c r="A564">
        <f>INDEX(CoreProteinGroups!A:A,MATCH(B564,CoreProteinGroups!B:B,0))</f>
        <v>12</v>
      </c>
      <c r="B564" s="1" t="s">
        <v>949</v>
      </c>
      <c r="C564" t="str">
        <f>VLOOKUP(B564,CoreProteinGroups!$B:$C,2,FALSE)</f>
        <v>large capping enzyme</v>
      </c>
      <c r="D564" t="s">
        <v>1017</v>
      </c>
      <c r="E564" s="6" t="str">
        <f t="shared" si="8"/>
        <v>PROT:ASC55576.1</v>
      </c>
      <c r="F564" t="s">
        <v>1018</v>
      </c>
      <c r="G564" t="s">
        <v>111</v>
      </c>
      <c r="H564" t="s">
        <v>2667</v>
      </c>
      <c r="I564" t="str">
        <f>INDEX(Genomes!$I:$I,(MATCH(AllProteins!H564,Genomes!$B:$B,0)))</f>
        <v>KY382358-seal_parapoxvirus</v>
      </c>
      <c r="J564">
        <f>INDEX(Genomes!$A:$A,(MATCH(AllProteins!H564,Genomes!$B:$B,0)))</f>
        <v>22</v>
      </c>
      <c r="K564" t="str">
        <f>INDEX(Genomes!$J:$J,(MATCH(AllProteins!H564,Genomes!$B:$B,0)))</f>
        <v>Y</v>
      </c>
    </row>
    <row r="565" spans="1:11" x14ac:dyDescent="0.2">
      <c r="A565">
        <f>INDEX(CoreProteinGroups!A:A,MATCH(B565,CoreProteinGroups!B:B,0))</f>
        <v>12</v>
      </c>
      <c r="B565" s="1" t="s">
        <v>949</v>
      </c>
      <c r="C565" t="str">
        <f>VLOOKUP(B565,CoreProteinGroups!$B:$C,2,FALSE)</f>
        <v>large capping enzyme</v>
      </c>
      <c r="D565" t="s">
        <v>1019</v>
      </c>
      <c r="E565" s="6" t="str">
        <f t="shared" si="8"/>
        <v>PROT:AAR98421.1</v>
      </c>
      <c r="F565" t="s">
        <v>1020</v>
      </c>
      <c r="G565" t="s">
        <v>114</v>
      </c>
      <c r="H565" t="s">
        <v>2652</v>
      </c>
      <c r="I565" t="str">
        <f>INDEX(Genomes!$I:$I,(MATCH(AllProteins!H565,Genomes!$B:$B,0)))</f>
        <v>AY386265-bovine_papular_stomatitis_virus</v>
      </c>
      <c r="J565">
        <f>INDEX(Genomes!$A:$A,(MATCH(AllProteins!H565,Genomes!$B:$B,0)))</f>
        <v>6</v>
      </c>
      <c r="K565" t="str">
        <f>INDEX(Genomes!$J:$J,(MATCH(AllProteins!H565,Genomes!$B:$B,0)))</f>
        <v>Y</v>
      </c>
    </row>
    <row r="566" spans="1:11" x14ac:dyDescent="0.2">
      <c r="A566">
        <f>INDEX(CoreProteinGroups!A:A,MATCH(B566,CoreProteinGroups!B:B,0))</f>
        <v>12</v>
      </c>
      <c r="B566" s="1" t="s">
        <v>949</v>
      </c>
      <c r="C566" t="str">
        <f>VLOOKUP(B566,CoreProteinGroups!$B:$C,2,FALSE)</f>
        <v>large capping enzyme</v>
      </c>
      <c r="D566" t="s">
        <v>1021</v>
      </c>
      <c r="E566" s="6" t="str">
        <f t="shared" si="8"/>
        <v>PROT:AAR98289.1</v>
      </c>
      <c r="F566" t="s">
        <v>1020</v>
      </c>
      <c r="G566" t="s">
        <v>2702</v>
      </c>
      <c r="H566" t="s">
        <v>2678</v>
      </c>
      <c r="I566" t="str">
        <f>INDEX(Genomes!$I:$I,(MATCH(AllProteins!H566,Genomes!$B:$B,0)))</f>
        <v>AY386264-orf_virus</v>
      </c>
      <c r="J566">
        <f>INDEX(Genomes!$A:$A,(MATCH(AllProteins!H566,Genomes!$B:$B,0)))</f>
        <v>35</v>
      </c>
      <c r="K566" t="str">
        <f>INDEX(Genomes!$J:$J,(MATCH(AllProteins!H566,Genomes!$B:$B,0)))</f>
        <v>Y</v>
      </c>
    </row>
    <row r="567" spans="1:11" x14ac:dyDescent="0.2">
      <c r="A567">
        <f>INDEX(CoreProteinGroups!A:A,MATCH(B567,CoreProteinGroups!B:B,0))</f>
        <v>12</v>
      </c>
      <c r="B567" s="1" t="s">
        <v>949</v>
      </c>
      <c r="C567" t="str">
        <f>VLOOKUP(B567,CoreProteinGroups!$B:$C,2,FALSE)</f>
        <v>large capping enzyme</v>
      </c>
      <c r="D567" t="s">
        <v>1022</v>
      </c>
      <c r="E567" s="6" t="str">
        <f t="shared" si="8"/>
        <v>PROT:ABA00581.1</v>
      </c>
      <c r="F567" t="s">
        <v>1023</v>
      </c>
      <c r="G567" t="s">
        <v>2555</v>
      </c>
      <c r="H567" t="s">
        <v>2645</v>
      </c>
      <c r="I567" t="str">
        <f>INDEX(Genomes!$I:$I,(MATCH(AllProteins!H567,Genomes!$B:$B,0)))</f>
        <v>DQ184476-orf_virus_strain_NZ2</v>
      </c>
      <c r="J567">
        <f>INDEX(Genomes!$A:$A,(MATCH(AllProteins!H567,Genomes!$B:$B,0)))</f>
        <v>36</v>
      </c>
      <c r="K567" t="str">
        <f>INDEX(Genomes!$J:$J,(MATCH(AllProteins!H567,Genomes!$B:$B,0)))</f>
        <v>N</v>
      </c>
    </row>
    <row r="568" spans="1:11" x14ac:dyDescent="0.2">
      <c r="A568">
        <f>INDEX(CoreProteinGroups!A:A,MATCH(B568,CoreProteinGroups!B:B,0))</f>
        <v>12</v>
      </c>
      <c r="B568" s="1" t="s">
        <v>949</v>
      </c>
      <c r="C568" t="str">
        <f>VLOOKUP(B568,CoreProteinGroups!$B:$C,2,FALSE)</f>
        <v>large capping enzyme</v>
      </c>
      <c r="D568" t="s">
        <v>1024</v>
      </c>
      <c r="E568" s="6" t="str">
        <f t="shared" si="8"/>
        <v>PROT:AIZ77315.1</v>
      </c>
      <c r="F568" t="s">
        <v>1025</v>
      </c>
      <c r="G568" t="s">
        <v>119</v>
      </c>
      <c r="H568" t="s">
        <v>2684</v>
      </c>
      <c r="I568" t="str">
        <f>INDEX(Genomes!$I:$I,(MATCH(AllProteins!H568,Genomes!$B:$B,0)))</f>
        <v>KM502564-parapoxvirus_red_deer</v>
      </c>
      <c r="J568">
        <f>INDEX(Genomes!$A:$A,(MATCH(AllProteins!H568,Genomes!$B:$B,0)))</f>
        <v>42</v>
      </c>
      <c r="K568" t="str">
        <f>INDEX(Genomes!$J:$J,(MATCH(AllProteins!H568,Genomes!$B:$B,0)))</f>
        <v>Y</v>
      </c>
    </row>
    <row r="569" spans="1:11" x14ac:dyDescent="0.2">
      <c r="A569">
        <f>INDEX(CoreProteinGroups!A:A,MATCH(B569,CoreProteinGroups!B:B,0))</f>
        <v>12</v>
      </c>
      <c r="B569" s="1" t="s">
        <v>949</v>
      </c>
      <c r="C569" t="str">
        <f>VLOOKUP(B569,CoreProteinGroups!$B:$C,2,FALSE)</f>
        <v>large capping enzyme</v>
      </c>
      <c r="D569" t="s">
        <v>1026</v>
      </c>
      <c r="E569" s="6" t="str">
        <f t="shared" si="8"/>
        <v>PROT:ADC53965.1</v>
      </c>
      <c r="F569" t="s">
        <v>1023</v>
      </c>
      <c r="G569" t="s">
        <v>121</v>
      </c>
      <c r="H569" t="s">
        <v>2679</v>
      </c>
      <c r="I569" t="str">
        <f>INDEX(Genomes!$I:$I,(MATCH(AllProteins!H569,Genomes!$B:$B,0)))</f>
        <v>GQ329670-pseudocowpox_virus</v>
      </c>
      <c r="J569">
        <f>INDEX(Genomes!$A:$A,(MATCH(AllProteins!H569,Genomes!$B:$B,0)))</f>
        <v>37</v>
      </c>
      <c r="K569" t="str">
        <f>INDEX(Genomes!$J:$J,(MATCH(AllProteins!H569,Genomes!$B:$B,0)))</f>
        <v>Y</v>
      </c>
    </row>
    <row r="570" spans="1:11" x14ac:dyDescent="0.2">
      <c r="A570">
        <f>INDEX(CoreProteinGroups!A:A,MATCH(B570,CoreProteinGroups!B:B,0))</f>
        <v>12</v>
      </c>
      <c r="B570" s="1" t="s">
        <v>949</v>
      </c>
      <c r="C570" t="str">
        <f>VLOOKUP(B570,CoreProteinGroups!$B:$C,2,FALSE)</f>
        <v>large capping enzyme</v>
      </c>
      <c r="D570" t="s">
        <v>1027</v>
      </c>
      <c r="E570" s="6" t="str">
        <f t="shared" si="8"/>
        <v>PROT:AAL69815.1</v>
      </c>
      <c r="F570" t="s">
        <v>1028</v>
      </c>
      <c r="G570" t="s">
        <v>124</v>
      </c>
      <c r="H570" t="s">
        <v>2690</v>
      </c>
      <c r="I570" t="str">
        <f>INDEX(Genomes!$I:$I,(MATCH(AllProteins!H570,Genomes!$B:$B,0)))</f>
        <v>AF410153-swinepox_virus</v>
      </c>
      <c r="J570">
        <f>INDEX(Genomes!$A:$A,(MATCH(AllProteins!H570,Genomes!$B:$B,0)))</f>
        <v>49</v>
      </c>
      <c r="K570" t="str">
        <f>INDEX(Genomes!$J:$J,(MATCH(AllProteins!H570,Genomes!$B:$B,0)))</f>
        <v>Y</v>
      </c>
    </row>
    <row r="571" spans="1:11" x14ac:dyDescent="0.2">
      <c r="A571">
        <f>INDEX(CoreProteinGroups!A:A,MATCH(B571,CoreProteinGroups!B:B,0))</f>
        <v>12</v>
      </c>
      <c r="B571" s="1" t="s">
        <v>949</v>
      </c>
      <c r="C571" t="str">
        <f>VLOOKUP(B571,CoreProteinGroups!$B:$C,2,FALSE)</f>
        <v>large capping enzyme</v>
      </c>
      <c r="D571" t="s">
        <v>1029</v>
      </c>
      <c r="E571" s="6" t="str">
        <f t="shared" si="8"/>
        <v>PROT:CAC21317.1</v>
      </c>
      <c r="F571" t="s">
        <v>1030</v>
      </c>
      <c r="G571" t="s">
        <v>127</v>
      </c>
      <c r="H571" t="s">
        <v>2699</v>
      </c>
      <c r="I571" t="str">
        <f>INDEX(Genomes!$I:$I,(MATCH(AllProteins!H571,Genomes!$B:$B,0)))</f>
        <v>AJ293568-tanapox_virus</v>
      </c>
      <c r="J571">
        <f>INDEX(Genomes!$A:$A,(MATCH(AllProteins!H571,Genomes!$B:$B,0)))</f>
        <v>58</v>
      </c>
      <c r="K571" t="str">
        <f>INDEX(Genomes!$J:$J,(MATCH(AllProteins!H571,Genomes!$B:$B,0)))</f>
        <v>Y</v>
      </c>
    </row>
    <row r="572" spans="1:11" x14ac:dyDescent="0.2">
      <c r="A572">
        <f>INDEX(CoreProteinGroups!A:A,MATCH(B572,CoreProteinGroups!B:B,0))</f>
        <v>12</v>
      </c>
      <c r="B572" s="1" t="s">
        <v>949</v>
      </c>
      <c r="C572" t="str">
        <f>VLOOKUP(B572,CoreProteinGroups!$B:$C,2,FALSE)</f>
        <v>large capping enzyme</v>
      </c>
      <c r="D572" t="s">
        <v>1031</v>
      </c>
      <c r="E572" s="6" t="str">
        <f t="shared" si="8"/>
        <v>PROT:AAR07435.1</v>
      </c>
      <c r="F572" t="s">
        <v>1032</v>
      </c>
      <c r="G572" t="s">
        <v>130</v>
      </c>
      <c r="H572" t="s">
        <v>2700</v>
      </c>
      <c r="I572" t="str">
        <f>INDEX(Genomes!$I:$I,(MATCH(AllProteins!H572,Genomes!$B:$B,0)))</f>
        <v>AY386371-Yaba_monkey_tumor_virus</v>
      </c>
      <c r="J572">
        <f>INDEX(Genomes!$A:$A,(MATCH(AllProteins!H572,Genomes!$B:$B,0)))</f>
        <v>59</v>
      </c>
      <c r="K572" t="str">
        <f>INDEX(Genomes!$J:$J,(MATCH(AllProteins!H572,Genomes!$B:$B,0)))</f>
        <v>Y</v>
      </c>
    </row>
    <row r="573" spans="1:11" x14ac:dyDescent="0.2">
      <c r="A573">
        <f>INDEX(CoreProteinGroups!A:A,MATCH(B573,CoreProteinGroups!B:B,0))</f>
        <v>12</v>
      </c>
      <c r="B573" s="1" t="s">
        <v>949</v>
      </c>
      <c r="C573" t="str">
        <f>VLOOKUP(B573,CoreProteinGroups!$B:$C,2,FALSE)</f>
        <v>large capping enzyme</v>
      </c>
      <c r="D573" t="s">
        <v>1033</v>
      </c>
      <c r="E573" s="6" t="str">
        <f t="shared" si="8"/>
        <v>PROT:AAC97815.1</v>
      </c>
      <c r="F573" t="s">
        <v>1034</v>
      </c>
      <c r="G573" t="s">
        <v>133</v>
      </c>
      <c r="H573" t="s">
        <v>2674</v>
      </c>
      <c r="I573" t="str">
        <f>INDEX(Genomes!$I:$I,(MATCH(AllProteins!H573,Genomes!$B:$B,0)))</f>
        <v>AF063866-Melanoplus_sanguinipes_entomopoxvirus</v>
      </c>
      <c r="J573">
        <f>INDEX(Genomes!$A:$A,(MATCH(AllProteins!H573,Genomes!$B:$B,0)))</f>
        <v>30</v>
      </c>
      <c r="K573" t="str">
        <f>INDEX(Genomes!$J:$J,(MATCH(AllProteins!H573,Genomes!$B:$B,0)))</f>
        <v>Y</v>
      </c>
    </row>
    <row r="574" spans="1:11" x14ac:dyDescent="0.2">
      <c r="A574">
        <f>INDEX(CoreProteinGroups!A:A,MATCH(B574,CoreProteinGroups!B:B,0))</f>
        <v>12</v>
      </c>
      <c r="B574" s="1" t="s">
        <v>949</v>
      </c>
      <c r="C574" t="str">
        <f>VLOOKUP(B574,CoreProteinGroups!$B:$C,2,FALSE)</f>
        <v>large capping enzyme</v>
      </c>
      <c r="D574" t="s">
        <v>1035</v>
      </c>
      <c r="E574" s="6" t="str">
        <f t="shared" si="8"/>
        <v>PROT:BAO49500.1</v>
      </c>
      <c r="F574" t="s">
        <v>1025</v>
      </c>
      <c r="G574" t="s">
        <v>136</v>
      </c>
      <c r="H574" t="s">
        <v>2648</v>
      </c>
      <c r="I574" t="str">
        <f>INDEX(Genomes!$I:$I,(MATCH(AllProteins!H574,Genomes!$B:$B,0)))</f>
        <v>AP013055-Anomala_cuprea_entomopoxvirus</v>
      </c>
      <c r="J574">
        <f>INDEX(Genomes!$A:$A,(MATCH(AllProteins!H574,Genomes!$B:$B,0)))</f>
        <v>2</v>
      </c>
      <c r="K574" t="str">
        <f>INDEX(Genomes!$J:$J,(MATCH(AllProteins!H574,Genomes!$B:$B,0)))</f>
        <v>Y</v>
      </c>
    </row>
    <row r="575" spans="1:11" x14ac:dyDescent="0.2">
      <c r="A575">
        <f>INDEX(CoreProteinGroups!A:A,MATCH(B575,CoreProteinGroups!B:B,0))</f>
        <v>12</v>
      </c>
      <c r="B575" s="1" t="s">
        <v>949</v>
      </c>
      <c r="C575" t="str">
        <f>VLOOKUP(B575,CoreProteinGroups!$B:$C,2,FALSE)</f>
        <v>large capping enzyme</v>
      </c>
      <c r="D575" t="s">
        <v>1036</v>
      </c>
      <c r="E575" s="6" t="str">
        <f t="shared" si="8"/>
        <v>PROT:CCU55511.1</v>
      </c>
      <c r="F575" t="s">
        <v>952</v>
      </c>
      <c r="G575" t="s">
        <v>138</v>
      </c>
      <c r="H575" t="s">
        <v>2649</v>
      </c>
      <c r="I575" t="str">
        <f>INDEX(Genomes!$I:$I,(MATCH(AllProteins!H575,Genomes!$B:$B,0)))</f>
        <v>HF679131-Adoxophyes_honmai_entomopoxvirus</v>
      </c>
      <c r="J575">
        <f>INDEX(Genomes!$A:$A,(MATCH(AllProteins!H575,Genomes!$B:$B,0)))</f>
        <v>3</v>
      </c>
      <c r="K575" t="str">
        <f>INDEX(Genomes!$J:$J,(MATCH(AllProteins!H575,Genomes!$B:$B,0)))</f>
        <v>Y</v>
      </c>
    </row>
    <row r="576" spans="1:11" x14ac:dyDescent="0.2">
      <c r="A576">
        <f>INDEX(CoreProteinGroups!A:A,MATCH(B576,CoreProteinGroups!B:B,0))</f>
        <v>12</v>
      </c>
      <c r="B576" s="1" t="s">
        <v>949</v>
      </c>
      <c r="C576" t="str">
        <f>VLOOKUP(B576,CoreProteinGroups!$B:$C,2,FALSE)</f>
        <v>large capping enzyme</v>
      </c>
      <c r="D576" t="s">
        <v>1037</v>
      </c>
      <c r="E576" s="6" t="str">
        <f t="shared" si="8"/>
        <v>PROT:AAG02841.1</v>
      </c>
      <c r="F576" t="s">
        <v>1038</v>
      </c>
      <c r="G576" t="s">
        <v>141</v>
      </c>
      <c r="H576" t="s">
        <v>2651</v>
      </c>
      <c r="I576" t="str">
        <f>INDEX(Genomes!$I:$I,(MATCH(AllProteins!H576,Genomes!$B:$B,0)))</f>
        <v>AF250284-Amsacta_moorei_entomopoxvirus</v>
      </c>
      <c r="J576">
        <f>INDEX(Genomes!$A:$A,(MATCH(AllProteins!H576,Genomes!$B:$B,0)))</f>
        <v>5</v>
      </c>
      <c r="K576" t="str">
        <f>INDEX(Genomes!$J:$J,(MATCH(AllProteins!H576,Genomes!$B:$B,0)))</f>
        <v>Y</v>
      </c>
    </row>
    <row r="577" spans="1:11" x14ac:dyDescent="0.2">
      <c r="A577">
        <f>INDEX(CoreProteinGroups!A:A,MATCH(B577,CoreProteinGroups!B:B,0))</f>
        <v>12</v>
      </c>
      <c r="B577" s="1" t="s">
        <v>949</v>
      </c>
      <c r="C577" t="str">
        <f>VLOOKUP(B577,CoreProteinGroups!$B:$C,2,FALSE)</f>
        <v>large capping enzyme</v>
      </c>
      <c r="D577" t="s">
        <v>1039</v>
      </c>
      <c r="E577" s="6" t="str">
        <f t="shared" si="8"/>
        <v>PROT:CCU55754.1</v>
      </c>
      <c r="F577" t="s">
        <v>952</v>
      </c>
      <c r="G577" t="s">
        <v>143</v>
      </c>
      <c r="H577" t="s">
        <v>2656</v>
      </c>
      <c r="I577" t="str">
        <f>INDEX(Genomes!$I:$I,(MATCH(AllProteins!H577,Genomes!$B:$B,0)))</f>
        <v>HF679132-Choristoneura_biennis_entomopoxvirus</v>
      </c>
      <c r="J577">
        <f>INDEX(Genomes!$A:$A,(MATCH(AllProteins!H577,Genomes!$B:$B,0)))</f>
        <v>10</v>
      </c>
      <c r="K577" t="str">
        <f>INDEX(Genomes!$J:$J,(MATCH(AllProteins!H577,Genomes!$B:$B,0)))</f>
        <v>Y</v>
      </c>
    </row>
    <row r="578" spans="1:11" x14ac:dyDescent="0.2">
      <c r="A578">
        <f>INDEX(CoreProteinGroups!A:A,MATCH(B578,CoreProteinGroups!B:B,0))</f>
        <v>12</v>
      </c>
      <c r="B578" s="1" t="s">
        <v>949</v>
      </c>
      <c r="C578" t="str">
        <f>VLOOKUP(B578,CoreProteinGroups!$B:$C,2,FALSE)</f>
        <v>large capping enzyme</v>
      </c>
      <c r="D578" t="s">
        <v>1040</v>
      </c>
      <c r="E578" s="6" t="str">
        <f t="shared" ref="E578:E641" si="9">HYPERLINK(_xlfn.CONCAT("https://www.ncbi.nlm.nih.gov/protein/",D578),_xlfn.CONCAT("PROT:",D578))</f>
        <v>PROT:CCU56056.1</v>
      </c>
      <c r="F578" t="s">
        <v>952</v>
      </c>
      <c r="G578" t="s">
        <v>145</v>
      </c>
      <c r="H578" t="s">
        <v>2660</v>
      </c>
      <c r="I578" t="str">
        <f>INDEX(Genomes!$I:$I,(MATCH(AllProteins!H578,Genomes!$B:$B,0)))</f>
        <v>HF679133-Choristoneura_rosaceana_entomopoxvirus</v>
      </c>
      <c r="J578">
        <f>INDEX(Genomes!$A:$A,(MATCH(AllProteins!H578,Genomes!$B:$B,0)))</f>
        <v>14</v>
      </c>
      <c r="K578" t="str">
        <f>INDEX(Genomes!$J:$J,(MATCH(AllProteins!H578,Genomes!$B:$B,0)))</f>
        <v>Y</v>
      </c>
    </row>
    <row r="579" spans="1:11" x14ac:dyDescent="0.2">
      <c r="A579">
        <f>INDEX(CoreProteinGroups!A:A,MATCH(B579,CoreProteinGroups!B:B,0))</f>
        <v>12</v>
      </c>
      <c r="B579" s="1" t="s">
        <v>949</v>
      </c>
      <c r="C579" t="str">
        <f>VLOOKUP(B579,CoreProteinGroups!$B:$C,2,FALSE)</f>
        <v>large capping enzyme</v>
      </c>
      <c r="D579" t="s">
        <v>1041</v>
      </c>
      <c r="E579" s="6" t="str">
        <f t="shared" si="9"/>
        <v>PROT:CCU56376.1</v>
      </c>
      <c r="F579" t="s">
        <v>952</v>
      </c>
      <c r="G579" t="s">
        <v>147</v>
      </c>
      <c r="H579" t="s">
        <v>2675</v>
      </c>
      <c r="I579" t="str">
        <f>INDEX(Genomes!$I:$I,(MATCH(AllProteins!H579,Genomes!$B:$B,0)))</f>
        <v>HF679134-Mythimna_separata_entomopoxvirus</v>
      </c>
      <c r="J579">
        <f>INDEX(Genomes!$A:$A,(MATCH(AllProteins!H579,Genomes!$B:$B,0)))</f>
        <v>31</v>
      </c>
      <c r="K579" t="str">
        <f>INDEX(Genomes!$J:$J,(MATCH(AllProteins!H579,Genomes!$B:$B,0)))</f>
        <v>Y</v>
      </c>
    </row>
    <row r="580" spans="1:11" x14ac:dyDescent="0.2">
      <c r="A580">
        <f>INDEX(CoreProteinGroups!A:A,MATCH(B580,CoreProteinGroups!B:B,0))</f>
        <v>12</v>
      </c>
      <c r="B580" s="1" t="s">
        <v>949</v>
      </c>
      <c r="C580" t="str">
        <f>VLOOKUP(B580,CoreProteinGroups!$B:$C,2,FALSE)</f>
        <v>large capping enzyme</v>
      </c>
      <c r="D580" t="s">
        <v>1042</v>
      </c>
      <c r="E580" s="6" t="str">
        <f t="shared" si="9"/>
        <v>PROT:NP_659651.1</v>
      </c>
      <c r="F580" t="s">
        <v>968</v>
      </c>
      <c r="G580" t="s">
        <v>150</v>
      </c>
      <c r="H580" t="s">
        <v>2620</v>
      </c>
      <c r="I580" t="str">
        <f>INDEX(Genomes!$I:$I,(MATCH(AllProteins!H580,Genomes!$B:$B,0)))</f>
        <v>NC_004002-sheeppox_virus</v>
      </c>
      <c r="J580">
        <f>INDEX(Genomes!$A:$A,(MATCH(AllProteins!H580,Genomes!$B:$B,0)))</f>
        <v>44</v>
      </c>
      <c r="K580" t="str">
        <f>INDEX(Genomes!$J:$J,(MATCH(AllProteins!H580,Genomes!$B:$B,0)))</f>
        <v>Y</v>
      </c>
    </row>
    <row r="581" spans="1:11" x14ac:dyDescent="0.2">
      <c r="A581">
        <f>INDEX(CoreProteinGroups!A:A,MATCH(B581,CoreProteinGroups!B:B,0))</f>
        <v>12</v>
      </c>
      <c r="B581" s="1" t="s">
        <v>949</v>
      </c>
      <c r="C581" t="str">
        <f>VLOOKUP(B581,CoreProteinGroups!$B:$C,2,FALSE)</f>
        <v>large capping enzyme</v>
      </c>
      <c r="D581" t="s">
        <v>1043</v>
      </c>
      <c r="E581" s="6" t="str">
        <f t="shared" si="9"/>
        <v>PROT:YP_001293270.1</v>
      </c>
      <c r="F581" t="s">
        <v>1044</v>
      </c>
      <c r="G581" t="s">
        <v>153</v>
      </c>
      <c r="H581" t="s">
        <v>2644</v>
      </c>
      <c r="I581" t="str">
        <f>INDEX(Genomes!$I:$I,(MATCH(AllProteins!H581,Genomes!$B:$B,0)))</f>
        <v>NC_004003-goatpox_virus</v>
      </c>
      <c r="J581">
        <f>INDEX(Genomes!$A:$A,(MATCH(AllProteins!H581,Genomes!$B:$B,0)))</f>
        <v>23</v>
      </c>
      <c r="K581" t="str">
        <f>INDEX(Genomes!$J:$J,(MATCH(AllProteins!H581,Genomes!$B:$B,0)))</f>
        <v>Y</v>
      </c>
    </row>
    <row r="582" spans="1:11" x14ac:dyDescent="0.2">
      <c r="A582">
        <f>INDEX(CoreProteinGroups!A:A,MATCH(B582,CoreProteinGroups!B:B,0))</f>
        <v>10</v>
      </c>
      <c r="B582" s="1" t="s">
        <v>1045</v>
      </c>
      <c r="C582" t="str">
        <f>VLOOKUP(B582,CoreProteinGroups!$B:$C,2,FALSE)</f>
        <v>NPH-I</v>
      </c>
      <c r="D582" t="s">
        <v>1047</v>
      </c>
      <c r="E582" s="6" t="str">
        <f t="shared" si="9"/>
        <v>PROT:ATI21197.1</v>
      </c>
      <c r="F582" t="s">
        <v>1048</v>
      </c>
      <c r="G582" t="s">
        <v>11</v>
      </c>
      <c r="H582" t="s">
        <v>2663</v>
      </c>
      <c r="I582" t="str">
        <f>INDEX(Genomes!$I:$I,(MATCH(AllProteins!H582,Genomes!$B:$B,0)))</f>
        <v>MF467281-Eastern_grey_kangaroopox_virus</v>
      </c>
      <c r="J582">
        <f>INDEX(Genomes!$A:$A,(MATCH(AllProteins!H582,Genomes!$B:$B,0)))</f>
        <v>18</v>
      </c>
      <c r="K582" t="str">
        <f>INDEX(Genomes!$J:$J,(MATCH(AllProteins!H582,Genomes!$B:$B,0)))</f>
        <v>Y</v>
      </c>
    </row>
    <row r="583" spans="1:11" x14ac:dyDescent="0.2">
      <c r="A583">
        <f>INDEX(CoreProteinGroups!A:A,MATCH(B583,CoreProteinGroups!B:B,0))</f>
        <v>10</v>
      </c>
      <c r="B583" s="1" t="s">
        <v>1045</v>
      </c>
      <c r="C583" t="str">
        <f>VLOOKUP(B583,CoreProteinGroups!$B:$C,2,FALSE)</f>
        <v>NPH-I</v>
      </c>
      <c r="D583" t="s">
        <v>1049</v>
      </c>
      <c r="E583" s="6" t="str">
        <f t="shared" si="9"/>
        <v>PROT:AWU47131.1</v>
      </c>
      <c r="F583" t="s">
        <v>781</v>
      </c>
      <c r="G583" t="s">
        <v>13</v>
      </c>
      <c r="H583" t="s">
        <v>2688</v>
      </c>
      <c r="I583" t="str">
        <f>INDEX(Genomes!$I:$I,(MATCH(AllProteins!H583,Genomes!$B:$B,0)))</f>
        <v>MH427217-sea_otter_poxvirus</v>
      </c>
      <c r="J583">
        <f>INDEX(Genomes!$A:$A,(MATCH(AllProteins!H583,Genomes!$B:$B,0)))</f>
        <v>47</v>
      </c>
      <c r="K583" t="str">
        <f>INDEX(Genomes!$J:$J,(MATCH(AllProteins!H583,Genomes!$B:$B,0)))</f>
        <v>Y</v>
      </c>
    </row>
    <row r="584" spans="1:11" x14ac:dyDescent="0.2">
      <c r="A584">
        <f>INDEX(CoreProteinGroups!A:A,MATCH(B584,CoreProteinGroups!B:B,0))</f>
        <v>10</v>
      </c>
      <c r="B584" s="1" t="s">
        <v>1045</v>
      </c>
      <c r="C584" t="str">
        <f>VLOOKUP(B584,CoreProteinGroups!$B:$C,2,FALSE)</f>
        <v>NPH-I</v>
      </c>
      <c r="D584" t="s">
        <v>1050</v>
      </c>
      <c r="E584" s="6" t="str">
        <f t="shared" si="9"/>
        <v>PROT:APG58306.1</v>
      </c>
      <c r="F584" t="s">
        <v>1051</v>
      </c>
      <c r="G584" t="s">
        <v>16</v>
      </c>
      <c r="H584" t="s">
        <v>2653</v>
      </c>
      <c r="I584" t="str">
        <f>INDEX(Genomes!$I:$I,(MATCH(AllProteins!H584,Genomes!$B:$B,0)))</f>
        <v>KY094066-BeAn_58058_virus</v>
      </c>
      <c r="J584">
        <f>INDEX(Genomes!$A:$A,(MATCH(AllProteins!H584,Genomes!$B:$B,0)))</f>
        <v>7</v>
      </c>
      <c r="K584" t="str">
        <f>INDEX(Genomes!$J:$J,(MATCH(AllProteins!H584,Genomes!$B:$B,0)))</f>
        <v>N</v>
      </c>
    </row>
    <row r="585" spans="1:11" x14ac:dyDescent="0.2">
      <c r="A585">
        <f>INDEX(CoreProteinGroups!A:A,MATCH(B585,CoreProteinGroups!B:B,0))</f>
        <v>10</v>
      </c>
      <c r="B585" s="1" t="s">
        <v>1045</v>
      </c>
      <c r="C585" t="str">
        <f>VLOOKUP(B585,CoreProteinGroups!$B:$C,2,FALSE)</f>
        <v>NPH-I</v>
      </c>
      <c r="D585" t="s">
        <v>1052</v>
      </c>
      <c r="E585" s="6" t="str">
        <f t="shared" si="9"/>
        <v>PROT:ADT91117.1</v>
      </c>
      <c r="F585" t="s">
        <v>1046</v>
      </c>
      <c r="G585" t="s">
        <v>19</v>
      </c>
      <c r="H585" t="s">
        <v>2658</v>
      </c>
      <c r="I585" t="str">
        <f>INDEX(Genomes!$I:$I,(MATCH(AllProteins!H585,Genomes!$B:$B,0)))</f>
        <v>HQ647181-Cotia_virus</v>
      </c>
      <c r="J585">
        <f>INDEX(Genomes!$A:$A,(MATCH(AllProteins!H585,Genomes!$B:$B,0)))</f>
        <v>12</v>
      </c>
      <c r="K585" t="str">
        <f>INDEX(Genomes!$J:$J,(MATCH(AllProteins!H585,Genomes!$B:$B,0)))</f>
        <v>Y</v>
      </c>
    </row>
    <row r="586" spans="1:11" x14ac:dyDescent="0.2">
      <c r="A586">
        <f>INDEX(CoreProteinGroups!A:A,MATCH(B586,CoreProteinGroups!B:B,0))</f>
        <v>10</v>
      </c>
      <c r="B586" s="1" t="s">
        <v>1045</v>
      </c>
      <c r="C586" t="str">
        <f>VLOOKUP(B586,CoreProteinGroups!$B:$C,2,FALSE)</f>
        <v>NPH-I</v>
      </c>
      <c r="D586" t="s">
        <v>1053</v>
      </c>
      <c r="E586" s="6" t="str">
        <f t="shared" si="9"/>
        <v>PROT:ANS71175.1</v>
      </c>
      <c r="F586" t="s">
        <v>781</v>
      </c>
      <c r="G586" t="s">
        <v>21</v>
      </c>
      <c r="H586" t="s">
        <v>2682</v>
      </c>
      <c r="I586" t="str">
        <f>INDEX(Genomes!$I:$I,(MATCH(AllProteins!H586,Genomes!$B:$B,0)))</f>
        <v>KU980965-pteropox_virus</v>
      </c>
      <c r="J586">
        <f>INDEX(Genomes!$A:$A,(MATCH(AllProteins!H586,Genomes!$B:$B,0)))</f>
        <v>40</v>
      </c>
      <c r="K586" t="str">
        <f>INDEX(Genomes!$J:$J,(MATCH(AllProteins!H586,Genomes!$B:$B,0)))</f>
        <v>Y</v>
      </c>
    </row>
    <row r="587" spans="1:11" x14ac:dyDescent="0.2">
      <c r="A587">
        <f>INDEX(CoreProteinGroups!A:A,MATCH(B587,CoreProteinGroups!B:B,0))</f>
        <v>10</v>
      </c>
      <c r="B587" s="1" t="s">
        <v>1045</v>
      </c>
      <c r="C587" t="str">
        <f>VLOOKUP(B587,CoreProteinGroups!$B:$C,2,FALSE)</f>
        <v>NPH-I</v>
      </c>
      <c r="D587" t="s">
        <v>1054</v>
      </c>
      <c r="E587" s="6" t="str">
        <f t="shared" si="9"/>
        <v>PROT:AKR04262.1</v>
      </c>
      <c r="F587" t="s">
        <v>1055</v>
      </c>
      <c r="G587" t="s">
        <v>24</v>
      </c>
      <c r="H587" t="s">
        <v>2687</v>
      </c>
      <c r="I587" t="str">
        <f>INDEX(Genomes!$I:$I,(MATCH(AllProteins!H587,Genomes!$B:$B,0)))</f>
        <v>KT159937-salmon_gill_poxvirus</v>
      </c>
      <c r="J587">
        <f>INDEX(Genomes!$A:$A,(MATCH(AllProteins!H587,Genomes!$B:$B,0)))</f>
        <v>46</v>
      </c>
      <c r="K587" t="str">
        <f>INDEX(Genomes!$J:$J,(MATCH(AllProteins!H587,Genomes!$B:$B,0)))</f>
        <v>Y</v>
      </c>
    </row>
    <row r="588" spans="1:11" x14ac:dyDescent="0.2">
      <c r="A588">
        <f>INDEX(CoreProteinGroups!A:A,MATCH(B588,CoreProteinGroups!B:B,0))</f>
        <v>10</v>
      </c>
      <c r="B588" s="1" t="s">
        <v>1045</v>
      </c>
      <c r="C588" t="str">
        <f>VLOOKUP(B588,CoreProteinGroups!$B:$C,2,FALSE)</f>
        <v>NPH-I</v>
      </c>
      <c r="D588" t="s">
        <v>1056</v>
      </c>
      <c r="E588" s="6" t="str">
        <f t="shared" si="9"/>
        <v>PROT:CCD83265.1</v>
      </c>
      <c r="F588" t="s">
        <v>1057</v>
      </c>
      <c r="G588" t="s">
        <v>27</v>
      </c>
      <c r="H588" t="s">
        <v>2689</v>
      </c>
      <c r="I588" t="str">
        <f>INDEX(Genomes!$I:$I,(MATCH(AllProteins!H588,Genomes!$B:$B,0)))</f>
        <v>HE601899-squirrelpox_virus</v>
      </c>
      <c r="J588">
        <f>INDEX(Genomes!$A:$A,(MATCH(AllProteins!H588,Genomes!$B:$B,0)))</f>
        <v>48</v>
      </c>
      <c r="K588" t="str">
        <f>INDEX(Genomes!$J:$J,(MATCH(AllProteins!H588,Genomes!$B:$B,0)))</f>
        <v>Y</v>
      </c>
    </row>
    <row r="589" spans="1:11" x14ac:dyDescent="0.2">
      <c r="A589">
        <f>INDEX(CoreProteinGroups!A:A,MATCH(B589,CoreProteinGroups!B:B,0))</f>
        <v>10</v>
      </c>
      <c r="B589" s="1" t="s">
        <v>1045</v>
      </c>
      <c r="C589" t="str">
        <f>VLOOKUP(B589,CoreProteinGroups!$B:$C,2,FALSE)</f>
        <v>NPH-I</v>
      </c>
      <c r="D589" t="s">
        <v>1058</v>
      </c>
      <c r="E589" s="6" t="str">
        <f t="shared" si="9"/>
        <v>PROT:ASK51294.1</v>
      </c>
      <c r="F589" t="s">
        <v>1059</v>
      </c>
      <c r="G589" t="s">
        <v>30</v>
      </c>
      <c r="H589" t="s">
        <v>2664</v>
      </c>
      <c r="I589" t="str">
        <f>INDEX(Genomes!$I:$I,(MATCH(AllProteins!H589,Genomes!$B:$B,0)))</f>
        <v>KY747497-eptesipox_virus</v>
      </c>
      <c r="J589">
        <f>INDEX(Genomes!$A:$A,(MATCH(AllProteins!H589,Genomes!$B:$B,0)))</f>
        <v>19</v>
      </c>
      <c r="K589" t="str">
        <f>INDEX(Genomes!$J:$J,(MATCH(AllProteins!H589,Genomes!$B:$B,0)))</f>
        <v>Y</v>
      </c>
    </row>
    <row r="590" spans="1:11" x14ac:dyDescent="0.2">
      <c r="A590">
        <f>INDEX(CoreProteinGroups!A:A,MATCH(B590,CoreProteinGroups!B:B,0))</f>
        <v>10</v>
      </c>
      <c r="B590" s="1" t="s">
        <v>1045</v>
      </c>
      <c r="C590" t="str">
        <f>VLOOKUP(B590,CoreProteinGroups!$B:$C,2,FALSE)</f>
        <v>NPH-I</v>
      </c>
      <c r="D590" t="s">
        <v>1060</v>
      </c>
      <c r="E590" s="6" t="str">
        <f t="shared" si="9"/>
        <v>PROT:AUD40154.1</v>
      </c>
      <c r="F590" t="s">
        <v>1061</v>
      </c>
      <c r="G590" t="s">
        <v>32</v>
      </c>
      <c r="H590" t="s">
        <v>2665</v>
      </c>
      <c r="I590" t="str">
        <f>INDEX(Genomes!$I:$I,(MATCH(AllProteins!H590,Genomes!$B:$B,0)))</f>
        <v>MF678796-flamingopox_virus</v>
      </c>
      <c r="J590">
        <f>INDEX(Genomes!$A:$A,(MATCH(AllProteins!H590,Genomes!$B:$B,0)))</f>
        <v>20</v>
      </c>
      <c r="K590" t="str">
        <f>INDEX(Genomes!$J:$J,(MATCH(AllProteins!H590,Genomes!$B:$B,0)))</f>
        <v>Y</v>
      </c>
    </row>
    <row r="591" spans="1:11" x14ac:dyDescent="0.2">
      <c r="A591">
        <f>INDEX(CoreProteinGroups!A:A,MATCH(B591,CoreProteinGroups!B:B,0))</f>
        <v>10</v>
      </c>
      <c r="B591" s="1" t="s">
        <v>1045</v>
      </c>
      <c r="C591" t="str">
        <f>VLOOKUP(B591,CoreProteinGroups!$B:$C,2,FALSE)</f>
        <v>NPH-I</v>
      </c>
      <c r="D591" t="s">
        <v>1062</v>
      </c>
      <c r="E591" s="6" t="str">
        <f t="shared" si="9"/>
        <v>PROT:AID46794.1</v>
      </c>
      <c r="F591" t="s">
        <v>1061</v>
      </c>
      <c r="G591" t="s">
        <v>34</v>
      </c>
      <c r="H591" t="s">
        <v>2681</v>
      </c>
      <c r="I591" t="str">
        <f>INDEX(Genomes!$I:$I,(MATCH(AllProteins!H591,Genomes!$B:$B,0)))</f>
        <v>KJ859677-penguinpox_virus</v>
      </c>
      <c r="J591">
        <f>INDEX(Genomes!$A:$A,(MATCH(AllProteins!H591,Genomes!$B:$B,0)))</f>
        <v>39</v>
      </c>
      <c r="K591" t="str">
        <f>INDEX(Genomes!$J:$J,(MATCH(AllProteins!H591,Genomes!$B:$B,0)))</f>
        <v>Y</v>
      </c>
    </row>
    <row r="592" spans="1:11" x14ac:dyDescent="0.2">
      <c r="A592">
        <f>INDEX(CoreProteinGroups!A:A,MATCH(B592,CoreProteinGroups!B:B,0))</f>
        <v>10</v>
      </c>
      <c r="B592" s="1" t="s">
        <v>1045</v>
      </c>
      <c r="C592" t="str">
        <f>VLOOKUP(B592,CoreProteinGroups!$B:$C,2,FALSE)</f>
        <v>NPH-I</v>
      </c>
      <c r="D592" t="s">
        <v>1063</v>
      </c>
      <c r="E592" s="6" t="str">
        <f t="shared" si="9"/>
        <v>PROT:AID46565.1</v>
      </c>
      <c r="F592" t="s">
        <v>1061</v>
      </c>
      <c r="G592" t="s">
        <v>36</v>
      </c>
      <c r="H592" t="s">
        <v>2680</v>
      </c>
      <c r="I592" t="str">
        <f>INDEX(Genomes!$I:$I,(MATCH(AllProteins!H592,Genomes!$B:$B,0)))</f>
        <v>KJ801920-pigeonpox_virus</v>
      </c>
      <c r="J592">
        <f>INDEX(Genomes!$A:$A,(MATCH(AllProteins!H592,Genomes!$B:$B,0)))</f>
        <v>38</v>
      </c>
      <c r="K592" t="str">
        <f>INDEX(Genomes!$J:$J,(MATCH(AllProteins!H592,Genomes!$B:$B,0)))</f>
        <v>Y</v>
      </c>
    </row>
    <row r="593" spans="1:11" x14ac:dyDescent="0.2">
      <c r="A593">
        <f>INDEX(CoreProteinGroups!A:A,MATCH(B593,CoreProteinGroups!B:B,0))</f>
        <v>10</v>
      </c>
      <c r="B593" s="1" t="s">
        <v>1045</v>
      </c>
      <c r="C593" t="str">
        <f>VLOOKUP(B593,CoreProteinGroups!$B:$C,2,FALSE)</f>
        <v>NPH-I</v>
      </c>
      <c r="D593" t="s">
        <v>1064</v>
      </c>
      <c r="E593" s="6" t="str">
        <f t="shared" si="9"/>
        <v>PROT:ALA62404.1</v>
      </c>
      <c r="F593" t="s">
        <v>1065</v>
      </c>
      <c r="G593" t="s">
        <v>39</v>
      </c>
      <c r="H593" t="s">
        <v>2692</v>
      </c>
      <c r="I593" t="str">
        <f>INDEX(Genomes!$I:$I,(MATCH(AllProteins!H593,Genomes!$B:$B,0)))</f>
        <v>KP728110-turkeypox_virus</v>
      </c>
      <c r="J593">
        <f>INDEX(Genomes!$A:$A,(MATCH(AllProteins!H593,Genomes!$B:$B,0)))</f>
        <v>51</v>
      </c>
      <c r="K593" t="str">
        <f>INDEX(Genomes!$J:$J,(MATCH(AllProteins!H593,Genomes!$B:$B,0)))</f>
        <v>Y</v>
      </c>
    </row>
    <row r="594" spans="1:11" x14ac:dyDescent="0.2">
      <c r="A594">
        <f>INDEX(CoreProteinGroups!A:A,MATCH(B594,CoreProteinGroups!B:B,0))</f>
        <v>10</v>
      </c>
      <c r="B594" s="1" t="s">
        <v>1045</v>
      </c>
      <c r="C594" t="str">
        <f>VLOOKUP(B594,CoreProteinGroups!$B:$C,2,FALSE)</f>
        <v>NPH-I</v>
      </c>
      <c r="D594" t="s">
        <v>1066</v>
      </c>
      <c r="E594" s="6" t="str">
        <f t="shared" si="9"/>
        <v>PROT:AAR83420.1</v>
      </c>
      <c r="F594" t="s">
        <v>1067</v>
      </c>
      <c r="G594" t="s">
        <v>42</v>
      </c>
      <c r="H594" t="s">
        <v>2657</v>
      </c>
      <c r="I594" t="str">
        <f>INDEX(Genomes!$I:$I,(MATCH(AllProteins!H594,Genomes!$B:$B,0)))</f>
        <v>AY318871-canarypox_virus</v>
      </c>
      <c r="J594">
        <f>INDEX(Genomes!$A:$A,(MATCH(AllProteins!H594,Genomes!$B:$B,0)))</f>
        <v>11</v>
      </c>
      <c r="K594" t="str">
        <f>INDEX(Genomes!$J:$J,(MATCH(AllProteins!H594,Genomes!$B:$B,0)))</f>
        <v>Y</v>
      </c>
    </row>
    <row r="595" spans="1:11" x14ac:dyDescent="0.2">
      <c r="A595">
        <f>INDEX(CoreProteinGroups!A:A,MATCH(B595,CoreProteinGroups!B:B,0))</f>
        <v>10</v>
      </c>
      <c r="B595" s="1" t="s">
        <v>1045</v>
      </c>
      <c r="C595" t="str">
        <f>VLOOKUP(B595,CoreProteinGroups!$B:$C,2,FALSE)</f>
        <v>NPH-I</v>
      </c>
      <c r="D595" t="s">
        <v>1068</v>
      </c>
      <c r="E595" s="6" t="str">
        <f t="shared" si="9"/>
        <v>PROT:AAF44396.1</v>
      </c>
      <c r="F595" t="s">
        <v>1069</v>
      </c>
      <c r="G595" t="s">
        <v>45</v>
      </c>
      <c r="H595" t="s">
        <v>2666</v>
      </c>
      <c r="I595" t="str">
        <f>INDEX(Genomes!$I:$I,(MATCH(AllProteins!H595,Genomes!$B:$B,0)))</f>
        <v>AF198100-fowlpox_virus</v>
      </c>
      <c r="J595">
        <f>INDEX(Genomes!$A:$A,(MATCH(AllProteins!H595,Genomes!$B:$B,0)))</f>
        <v>21</v>
      </c>
      <c r="K595" t="str">
        <f>INDEX(Genomes!$J:$J,(MATCH(AllProteins!H595,Genomes!$B:$B,0)))</f>
        <v>Y</v>
      </c>
    </row>
    <row r="596" spans="1:11" x14ac:dyDescent="0.2">
      <c r="A596">
        <f>INDEX(CoreProteinGroups!A:A,MATCH(B596,CoreProteinGroups!B:B,0))</f>
        <v>10</v>
      </c>
      <c r="B596" s="1" t="s">
        <v>1045</v>
      </c>
      <c r="C596" t="str">
        <f>VLOOKUP(B596,CoreProteinGroups!$B:$C,2,FALSE)</f>
        <v>NPH-I</v>
      </c>
      <c r="D596" t="s">
        <v>1070</v>
      </c>
      <c r="E596" s="6" t="str">
        <f t="shared" si="9"/>
        <v>PROT:YP_001293279.1</v>
      </c>
      <c r="F596" t="s">
        <v>1071</v>
      </c>
      <c r="G596" t="s">
        <v>153</v>
      </c>
      <c r="H596" t="s">
        <v>2644</v>
      </c>
      <c r="I596" t="str">
        <f>INDEX(Genomes!$I:$I,(MATCH(AllProteins!H596,Genomes!$B:$B,0)))</f>
        <v>NC_004003-goatpox_virus</v>
      </c>
      <c r="J596">
        <f>INDEX(Genomes!$A:$A,(MATCH(AllProteins!H596,Genomes!$B:$B,0)))</f>
        <v>23</v>
      </c>
      <c r="K596" t="str">
        <f>INDEX(Genomes!$J:$J,(MATCH(AllProteins!H596,Genomes!$B:$B,0)))</f>
        <v>Y</v>
      </c>
    </row>
    <row r="597" spans="1:11" x14ac:dyDescent="0.2">
      <c r="A597">
        <f>INDEX(CoreProteinGroups!A:A,MATCH(B597,CoreProteinGroups!B:B,0))</f>
        <v>10</v>
      </c>
      <c r="B597" s="1" t="s">
        <v>1045</v>
      </c>
      <c r="C597" t="str">
        <f>VLOOKUP(B597,CoreProteinGroups!$B:$C,2,FALSE)</f>
        <v>NPH-I</v>
      </c>
      <c r="D597" t="s">
        <v>1072</v>
      </c>
      <c r="E597" s="6" t="str">
        <f t="shared" si="9"/>
        <v>PROT:AAK85049.1</v>
      </c>
      <c r="F597" t="s">
        <v>1073</v>
      </c>
      <c r="G597" t="s">
        <v>48</v>
      </c>
      <c r="H597" t="s">
        <v>2669</v>
      </c>
      <c r="I597" t="str">
        <f>INDEX(Genomes!$I:$I,(MATCH(AllProteins!H597,Genomes!$B:$B,0)))</f>
        <v>AF325528-lumpy_skin_disease_virus</v>
      </c>
      <c r="J597">
        <f>INDEX(Genomes!$A:$A,(MATCH(AllProteins!H597,Genomes!$B:$B,0)))</f>
        <v>25</v>
      </c>
      <c r="K597" t="str">
        <f>INDEX(Genomes!$J:$J,(MATCH(AllProteins!H597,Genomes!$B:$B,0)))</f>
        <v>Y</v>
      </c>
    </row>
    <row r="598" spans="1:11" x14ac:dyDescent="0.2">
      <c r="A598">
        <f>INDEX(CoreProteinGroups!A:A,MATCH(B598,CoreProteinGroups!B:B,0))</f>
        <v>10</v>
      </c>
      <c r="B598" s="1" t="s">
        <v>1045</v>
      </c>
      <c r="C598" t="str">
        <f>VLOOKUP(B598,CoreProteinGroups!$B:$C,2,FALSE)</f>
        <v>NPH-I</v>
      </c>
      <c r="D598" t="s">
        <v>1074</v>
      </c>
      <c r="E598" s="6" t="str">
        <f t="shared" si="9"/>
        <v>PROT:NP_659660.1</v>
      </c>
      <c r="F598" t="s">
        <v>1075</v>
      </c>
      <c r="G598" t="s">
        <v>150</v>
      </c>
      <c r="H598" t="s">
        <v>2620</v>
      </c>
      <c r="I598" t="str">
        <f>INDEX(Genomes!$I:$I,(MATCH(AllProteins!H598,Genomes!$B:$B,0)))</f>
        <v>NC_004002-sheeppox_virus</v>
      </c>
      <c r="J598">
        <f>INDEX(Genomes!$A:$A,(MATCH(AllProteins!H598,Genomes!$B:$B,0)))</f>
        <v>44</v>
      </c>
      <c r="K598" t="str">
        <f>INDEX(Genomes!$J:$J,(MATCH(AllProteins!H598,Genomes!$B:$B,0)))</f>
        <v>Y</v>
      </c>
    </row>
    <row r="599" spans="1:11" x14ac:dyDescent="0.2">
      <c r="A599">
        <f>INDEX(CoreProteinGroups!A:A,MATCH(B599,CoreProteinGroups!B:B,0))</f>
        <v>10</v>
      </c>
      <c r="B599" s="1" t="s">
        <v>1045</v>
      </c>
      <c r="C599" t="str">
        <f>VLOOKUP(B599,CoreProteinGroups!$B:$C,2,FALSE)</f>
        <v>NPH-I</v>
      </c>
      <c r="D599" t="s">
        <v>1076</v>
      </c>
      <c r="E599" s="6" t="str">
        <f t="shared" si="9"/>
        <v>PROT:AST09307.1</v>
      </c>
      <c r="F599" t="s">
        <v>1077</v>
      </c>
      <c r="G599" t="s">
        <v>50</v>
      </c>
      <c r="H599" t="s">
        <v>2671</v>
      </c>
      <c r="I599" t="str">
        <f>INDEX(Genomes!$I:$I,(MATCH(AllProteins!H599,Genomes!$B:$B,0)))</f>
        <v>MF001304-Murmansk_poxvirus</v>
      </c>
      <c r="J599">
        <f>INDEX(Genomes!$A:$A,(MATCH(AllProteins!H599,Genomes!$B:$B,0)))</f>
        <v>27</v>
      </c>
      <c r="K599" t="str">
        <f>INDEX(Genomes!$J:$J,(MATCH(AllProteins!H599,Genomes!$B:$B,0)))</f>
        <v>Y</v>
      </c>
    </row>
    <row r="600" spans="1:11" x14ac:dyDescent="0.2">
      <c r="A600">
        <f>INDEX(CoreProteinGroups!A:A,MATCH(B600,CoreProteinGroups!B:B,0))</f>
        <v>10</v>
      </c>
      <c r="B600" s="1" t="s">
        <v>1045</v>
      </c>
      <c r="C600" t="str">
        <f>VLOOKUP(B600,CoreProteinGroups!$B:$C,2,FALSE)</f>
        <v>NPH-I</v>
      </c>
      <c r="D600" t="s">
        <v>1078</v>
      </c>
      <c r="E600" s="6" t="str">
        <f t="shared" si="9"/>
        <v>PROT:AEN03686.1</v>
      </c>
      <c r="F600" t="s">
        <v>1077</v>
      </c>
      <c r="G600" t="s">
        <v>52</v>
      </c>
      <c r="H600" t="s">
        <v>2698</v>
      </c>
      <c r="I600" t="str">
        <f>INDEX(Genomes!$I:$I,(MATCH(AllProteins!H600,Genomes!$B:$B,0)))</f>
        <v>HQ849551-yokapox_virus</v>
      </c>
      <c r="J600">
        <f>INDEX(Genomes!$A:$A,(MATCH(AllProteins!H600,Genomes!$B:$B,0)))</f>
        <v>57</v>
      </c>
      <c r="K600" t="str">
        <f>INDEX(Genomes!$J:$J,(MATCH(AllProteins!H600,Genomes!$B:$B,0)))</f>
        <v>Y</v>
      </c>
    </row>
    <row r="601" spans="1:11" x14ac:dyDescent="0.2">
      <c r="A601">
        <f>INDEX(CoreProteinGroups!A:A,MATCH(B601,CoreProteinGroups!B:B,0))</f>
        <v>10</v>
      </c>
      <c r="B601" s="1" t="s">
        <v>1045</v>
      </c>
      <c r="C601" t="str">
        <f>VLOOKUP(B601,CoreProteinGroups!$B:$C,2,FALSE)</f>
        <v>NPH-I</v>
      </c>
      <c r="D601" t="s">
        <v>1079</v>
      </c>
      <c r="E601" s="6" t="str">
        <f t="shared" si="9"/>
        <v>PROT:ABI99252.1</v>
      </c>
      <c r="F601" t="s">
        <v>1065</v>
      </c>
      <c r="G601" t="s">
        <v>54</v>
      </c>
      <c r="H601" t="s">
        <v>2661</v>
      </c>
      <c r="I601" t="str">
        <f>INDEX(Genomes!$I:$I,(MATCH(AllProteins!H601,Genomes!$B:$B,0)))</f>
        <v>AY689436-mule_deerpox_virus</v>
      </c>
      <c r="J601">
        <f>INDEX(Genomes!$A:$A,(MATCH(AllProteins!H601,Genomes!$B:$B,0)))</f>
        <v>15</v>
      </c>
      <c r="K601" t="str">
        <f>INDEX(Genomes!$J:$J,(MATCH(AllProteins!H601,Genomes!$B:$B,0)))</f>
        <v>Y</v>
      </c>
    </row>
    <row r="602" spans="1:11" x14ac:dyDescent="0.2">
      <c r="A602">
        <f>INDEX(CoreProteinGroups!A:A,MATCH(B602,CoreProteinGroups!B:B,0))</f>
        <v>10</v>
      </c>
      <c r="B602" s="1" t="s">
        <v>1045</v>
      </c>
      <c r="C602" t="str">
        <f>VLOOKUP(B602,CoreProteinGroups!$B:$C,2,FALSE)</f>
        <v>NPH-I</v>
      </c>
      <c r="D602" t="s">
        <v>1080</v>
      </c>
      <c r="E602" s="6" t="str">
        <f t="shared" si="9"/>
        <v>PROT:ABJ09009.1</v>
      </c>
      <c r="F602" t="s">
        <v>1081</v>
      </c>
      <c r="G602" t="s">
        <v>56</v>
      </c>
      <c r="H602" t="s">
        <v>2677</v>
      </c>
      <c r="I602" t="str">
        <f>INDEX(Genomes!$I:$I,(MATCH(AllProteins!H602,Genomes!$B:$B,0)))</f>
        <v>DQ356948-Nile_crocodilepox_virus</v>
      </c>
      <c r="J602">
        <f>INDEX(Genomes!$A:$A,(MATCH(AllProteins!H602,Genomes!$B:$B,0)))</f>
        <v>34</v>
      </c>
      <c r="K602" t="str">
        <f>INDEX(Genomes!$J:$J,(MATCH(AllProteins!H602,Genomes!$B:$B,0)))</f>
        <v>Y</v>
      </c>
    </row>
    <row r="603" spans="1:11" x14ac:dyDescent="0.2">
      <c r="A603">
        <f>INDEX(CoreProteinGroups!A:A,MATCH(B603,CoreProteinGroups!B:B,0))</f>
        <v>10</v>
      </c>
      <c r="B603" s="1" t="s">
        <v>1045</v>
      </c>
      <c r="C603" t="str">
        <f>VLOOKUP(B603,CoreProteinGroups!$B:$C,2,FALSE)</f>
        <v>NPH-I</v>
      </c>
      <c r="D603" t="s">
        <v>1082</v>
      </c>
      <c r="E603" s="6" t="str">
        <f t="shared" si="9"/>
        <v>PROT:AAF14974.1</v>
      </c>
      <c r="F603" t="s">
        <v>1083</v>
      </c>
      <c r="G603" t="s">
        <v>2584</v>
      </c>
      <c r="H603" t="s">
        <v>2676</v>
      </c>
      <c r="I603" t="str">
        <f>INDEX(Genomes!$I:$I,(MATCH(AllProteins!H603,Genomes!$B:$B,0)))</f>
        <v>AF170726-myxoma_virus</v>
      </c>
      <c r="J603">
        <f>INDEX(Genomes!$A:$A,(MATCH(AllProteins!H603,Genomes!$B:$B,0)))</f>
        <v>32</v>
      </c>
      <c r="K603" t="str">
        <f>INDEX(Genomes!$J:$J,(MATCH(AllProteins!H603,Genomes!$B:$B,0)))</f>
        <v>Y</v>
      </c>
    </row>
    <row r="604" spans="1:11" x14ac:dyDescent="0.2">
      <c r="A604">
        <f>INDEX(CoreProteinGroups!A:A,MATCH(B604,CoreProteinGroups!B:B,0))</f>
        <v>10</v>
      </c>
      <c r="B604" s="1" t="s">
        <v>1045</v>
      </c>
      <c r="C604" t="str">
        <f>VLOOKUP(B604,CoreProteinGroups!$B:$C,2,FALSE)</f>
        <v>NPH-I</v>
      </c>
      <c r="D604" t="s">
        <v>1084</v>
      </c>
      <c r="E604" s="6" t="str">
        <f t="shared" si="9"/>
        <v>PROT:AFU77350.1</v>
      </c>
      <c r="F604" t="s">
        <v>1083</v>
      </c>
      <c r="G604" t="s">
        <v>2553</v>
      </c>
      <c r="H604" t="s">
        <v>2646</v>
      </c>
      <c r="I604" t="str">
        <f>INDEX(Genomes!$I:$I,(MATCH(AllProteins!H604,Genomes!$B:$B,0)))</f>
        <v>JX565564-myxoma_virus_isolate_BRK_897</v>
      </c>
      <c r="J604">
        <f>INDEX(Genomes!$A:$A,(MATCH(AllProteins!H604,Genomes!$B:$B,0)))</f>
        <v>33</v>
      </c>
      <c r="K604" t="str">
        <f>INDEX(Genomes!$J:$J,(MATCH(AllProteins!H604,Genomes!$B:$B,0)))</f>
        <v>N</v>
      </c>
    </row>
    <row r="605" spans="1:11" x14ac:dyDescent="0.2">
      <c r="A605">
        <f>INDEX(CoreProteinGroups!A:A,MATCH(B605,CoreProteinGroups!B:B,0))</f>
        <v>10</v>
      </c>
      <c r="B605" s="1" t="s">
        <v>1045</v>
      </c>
      <c r="C605" t="str">
        <f>VLOOKUP(B605,CoreProteinGroups!$B:$C,2,FALSE)</f>
        <v>NPH-I</v>
      </c>
      <c r="D605" t="s">
        <v>1085</v>
      </c>
      <c r="E605" s="6" t="str">
        <f t="shared" si="9"/>
        <v>PROT:AAF17970.1</v>
      </c>
      <c r="F605" t="s">
        <v>1086</v>
      </c>
      <c r="G605" t="s">
        <v>62</v>
      </c>
      <c r="H605" t="s">
        <v>2685</v>
      </c>
      <c r="I605" t="str">
        <f>INDEX(Genomes!$I:$I,(MATCH(AllProteins!H605,Genomes!$B:$B,0)))</f>
        <v>AF170722-rabbit_fibroma_virus</v>
      </c>
      <c r="J605">
        <f>INDEX(Genomes!$A:$A,(MATCH(AllProteins!H605,Genomes!$B:$B,0)))</f>
        <v>43</v>
      </c>
      <c r="K605" t="str">
        <f>INDEX(Genomes!$J:$J,(MATCH(AllProteins!H605,Genomes!$B:$B,0)))</f>
        <v>Y</v>
      </c>
    </row>
    <row r="606" spans="1:11" x14ac:dyDescent="0.2">
      <c r="A606">
        <f>INDEX(CoreProteinGroups!A:A,MATCH(B606,CoreProteinGroups!B:B,0))</f>
        <v>10</v>
      </c>
      <c r="B606" s="1" t="s">
        <v>1045</v>
      </c>
      <c r="C606" t="str">
        <f>VLOOKUP(B606,CoreProteinGroups!$B:$C,2,FALSE)</f>
        <v>NPH-I</v>
      </c>
      <c r="D606" t="s">
        <v>1087</v>
      </c>
      <c r="E606" s="6" t="str">
        <f t="shared" si="9"/>
        <v>PROT:AAC55228.1</v>
      </c>
      <c r="F606" t="s">
        <v>1088</v>
      </c>
      <c r="G606" t="s">
        <v>65</v>
      </c>
      <c r="H606" t="s">
        <v>2670</v>
      </c>
      <c r="I606" t="str">
        <f>INDEX(Genomes!$I:$I,(MATCH(AllProteins!H606,Genomes!$B:$B,0)))</f>
        <v>U60315-molluscum_contagiosum_virus</v>
      </c>
      <c r="J606">
        <f>INDEX(Genomes!$A:$A,(MATCH(AllProteins!H606,Genomes!$B:$B,0)))</f>
        <v>26</v>
      </c>
      <c r="K606" t="str">
        <f>INDEX(Genomes!$J:$J,(MATCH(AllProteins!H606,Genomes!$B:$B,0)))</f>
        <v>Y</v>
      </c>
    </row>
    <row r="607" spans="1:11" x14ac:dyDescent="0.2">
      <c r="A607">
        <f>INDEX(CoreProteinGroups!A:A,MATCH(B607,CoreProteinGroups!B:B,0))</f>
        <v>10</v>
      </c>
      <c r="B607" s="1" t="s">
        <v>1045</v>
      </c>
      <c r="C607" t="str">
        <f>VLOOKUP(B607,CoreProteinGroups!$B:$C,2,FALSE)</f>
        <v>NPH-I</v>
      </c>
      <c r="D607" t="s">
        <v>1089</v>
      </c>
      <c r="E607" s="6" t="str">
        <f t="shared" si="9"/>
        <v>PROT:AYN64682.1</v>
      </c>
      <c r="F607" t="s">
        <v>1090</v>
      </c>
      <c r="G607" t="s">
        <v>68</v>
      </c>
      <c r="H607" t="s">
        <v>2647</v>
      </c>
      <c r="I607" t="str">
        <f>INDEX(Genomes!$I:$I,(MATCH(AllProteins!H607,Genomes!$B:$B,0)))</f>
        <v>MH816996-orthopoxvirus_abatino</v>
      </c>
      <c r="J607">
        <f>INDEX(Genomes!$A:$A,(MATCH(AllProteins!H607,Genomes!$B:$B,0)))</f>
        <v>1</v>
      </c>
      <c r="K607" t="str">
        <f>INDEX(Genomes!$J:$J,(MATCH(AllProteins!H607,Genomes!$B:$B,0)))</f>
        <v>Y</v>
      </c>
    </row>
    <row r="608" spans="1:11" x14ac:dyDescent="0.2">
      <c r="A608">
        <f>INDEX(CoreProteinGroups!A:A,MATCH(B608,CoreProteinGroups!B:B,0))</f>
        <v>10</v>
      </c>
      <c r="B608" s="1" t="s">
        <v>1045</v>
      </c>
      <c r="C608" t="str">
        <f>VLOOKUP(B608,CoreProteinGroups!$B:$C,2,FALSE)</f>
        <v>NPH-I</v>
      </c>
      <c r="D608" t="s">
        <v>1091</v>
      </c>
      <c r="E608" s="6" t="str">
        <f t="shared" si="9"/>
        <v>PROT:AXN74910.1</v>
      </c>
      <c r="F608" t="s">
        <v>1092</v>
      </c>
      <c r="G608" t="s">
        <v>70</v>
      </c>
      <c r="H608" t="s">
        <v>2650</v>
      </c>
      <c r="I608" t="str">
        <f>INDEX(Genomes!$I:$I,(MATCH(AllProteins!H608,Genomes!$B:$B,0)))</f>
        <v>MH607141-Akhmeta_virus</v>
      </c>
      <c r="J608">
        <f>INDEX(Genomes!$A:$A,(MATCH(AllProteins!H608,Genomes!$B:$B,0)))</f>
        <v>4</v>
      </c>
      <c r="K608" t="str">
        <f>INDEX(Genomes!$J:$J,(MATCH(AllProteins!H608,Genomes!$B:$B,0)))</f>
        <v>Y</v>
      </c>
    </row>
    <row r="609" spans="1:11" x14ac:dyDescent="0.2">
      <c r="A609">
        <f>INDEX(CoreProteinGroups!A:A,MATCH(B609,CoreProteinGroups!B:B,0))</f>
        <v>10</v>
      </c>
      <c r="B609" s="1" t="s">
        <v>1045</v>
      </c>
      <c r="C609" t="str">
        <f>VLOOKUP(B609,CoreProteinGroups!$B:$C,2,FALSE)</f>
        <v>NPH-I</v>
      </c>
      <c r="D609" t="s">
        <v>1093</v>
      </c>
      <c r="E609" s="6" t="str">
        <f t="shared" si="9"/>
        <v>PROT:ABH08223.1</v>
      </c>
      <c r="F609" t="s">
        <v>1094</v>
      </c>
      <c r="G609" t="s">
        <v>73</v>
      </c>
      <c r="H609" t="s">
        <v>2668</v>
      </c>
      <c r="I609" t="str">
        <f>INDEX(Genomes!$I:$I,(MATCH(AllProteins!H609,Genomes!$B:$B,0)))</f>
        <v>DQ792504-horsepox_virus</v>
      </c>
      <c r="J609">
        <f>INDEX(Genomes!$A:$A,(MATCH(AllProteins!H609,Genomes!$B:$B,0)))</f>
        <v>24</v>
      </c>
      <c r="K609" t="str">
        <f>INDEX(Genomes!$J:$J,(MATCH(AllProteins!H609,Genomes!$B:$B,0)))</f>
        <v>Y</v>
      </c>
    </row>
    <row r="610" spans="1:11" x14ac:dyDescent="0.2">
      <c r="A610">
        <f>INDEX(CoreProteinGroups!A:A,MATCH(B610,CoreProteinGroups!B:B,0))</f>
        <v>10</v>
      </c>
      <c r="B610" s="1" t="s">
        <v>1045</v>
      </c>
      <c r="C610" t="str">
        <f>VLOOKUP(B610,CoreProteinGroups!$B:$C,2,FALSE)</f>
        <v>NPH-I</v>
      </c>
      <c r="D610" t="s">
        <v>1095</v>
      </c>
      <c r="E610" s="6" t="str">
        <f t="shared" si="9"/>
        <v>PROT:AAL73821.1</v>
      </c>
      <c r="F610" t="s">
        <v>1096</v>
      </c>
      <c r="G610" t="s">
        <v>79</v>
      </c>
      <c r="H610" t="s">
        <v>2654</v>
      </c>
      <c r="I610" t="str">
        <f>INDEX(Genomes!$I:$I,(MATCH(AllProteins!H610,Genomes!$B:$B,0)))</f>
        <v>AF438165-camelpox_virus</v>
      </c>
      <c r="J610">
        <f>INDEX(Genomes!$A:$A,(MATCH(AllProteins!H610,Genomes!$B:$B,0)))</f>
        <v>8</v>
      </c>
      <c r="K610" t="str">
        <f>INDEX(Genomes!$J:$J,(MATCH(AllProteins!H610,Genomes!$B:$B,0)))</f>
        <v>Y</v>
      </c>
    </row>
    <row r="611" spans="1:11" x14ac:dyDescent="0.2">
      <c r="A611">
        <f>INDEX(CoreProteinGroups!A:A,MATCH(B611,CoreProteinGroups!B:B,0))</f>
        <v>10</v>
      </c>
      <c r="B611" s="1" t="s">
        <v>1045</v>
      </c>
      <c r="C611" t="str">
        <f>VLOOKUP(B611,CoreProteinGroups!$B:$C,2,FALSE)</f>
        <v>NPH-I</v>
      </c>
      <c r="D611" t="s">
        <v>1097</v>
      </c>
      <c r="E611" s="6" t="str">
        <f t="shared" si="9"/>
        <v>PROT:AAG37591.1</v>
      </c>
      <c r="F611" t="s">
        <v>1098</v>
      </c>
      <c r="G611" t="s">
        <v>76</v>
      </c>
      <c r="H611" t="s">
        <v>2655</v>
      </c>
      <c r="I611" t="str">
        <f>INDEX(Genomes!$I:$I,(MATCH(AllProteins!H611,Genomes!$B:$B,0)))</f>
        <v>AY009089-camelpox_virus_CMS</v>
      </c>
      <c r="J611">
        <f>INDEX(Genomes!$A:$A,(MATCH(AllProteins!H611,Genomes!$B:$B,0)))</f>
        <v>9</v>
      </c>
      <c r="K611" t="str">
        <f>INDEX(Genomes!$J:$J,(MATCH(AllProteins!H611,Genomes!$B:$B,0)))</f>
        <v>N</v>
      </c>
    </row>
    <row r="612" spans="1:11" x14ac:dyDescent="0.2">
      <c r="A612">
        <f>INDEX(CoreProteinGroups!A:A,MATCH(B612,CoreProteinGroups!B:B,0))</f>
        <v>10</v>
      </c>
      <c r="B612" s="1" t="s">
        <v>1045</v>
      </c>
      <c r="C612" t="str">
        <f>VLOOKUP(B612,CoreProteinGroups!$B:$C,2,FALSE)</f>
        <v>NPH-I</v>
      </c>
      <c r="D612" t="s">
        <v>1099</v>
      </c>
      <c r="E612" s="6" t="str">
        <f t="shared" si="9"/>
        <v>PROT:AAM13570.1</v>
      </c>
      <c r="F612" t="s">
        <v>1100</v>
      </c>
      <c r="G612" t="s">
        <v>82</v>
      </c>
      <c r="H612" t="s">
        <v>2659</v>
      </c>
      <c r="I612" t="str">
        <f>INDEX(Genomes!$I:$I,(MATCH(AllProteins!H612,Genomes!$B:$B,0)))</f>
        <v>AF482758-cowpox_virus</v>
      </c>
      <c r="J612">
        <f>INDEX(Genomes!$A:$A,(MATCH(AllProteins!H612,Genomes!$B:$B,0)))</f>
        <v>13</v>
      </c>
      <c r="K612" t="str">
        <f>INDEX(Genomes!$J:$J,(MATCH(AllProteins!H612,Genomes!$B:$B,0)))</f>
        <v>Y</v>
      </c>
    </row>
    <row r="613" spans="1:11" x14ac:dyDescent="0.2">
      <c r="A613">
        <f>INDEX(CoreProteinGroups!A:A,MATCH(B613,CoreProteinGroups!B:B,0))</f>
        <v>10</v>
      </c>
      <c r="B613" s="1" t="s">
        <v>1045</v>
      </c>
      <c r="C613" t="str">
        <f>VLOOKUP(B613,CoreProteinGroups!$B:$C,2,FALSE)</f>
        <v>NPH-I</v>
      </c>
      <c r="D613" t="s">
        <v>1101</v>
      </c>
      <c r="E613" s="6" t="str">
        <f t="shared" si="9"/>
        <v>PROT:AAM92404.1</v>
      </c>
      <c r="F613" t="s">
        <v>1102</v>
      </c>
      <c r="G613" t="s">
        <v>85</v>
      </c>
      <c r="H613" t="s">
        <v>2662</v>
      </c>
      <c r="I613" t="str">
        <f>INDEX(Genomes!$I:$I,(MATCH(AllProteins!H613,Genomes!$B:$B,0)))</f>
        <v>AF012825-ectromelia_virus</v>
      </c>
      <c r="J613">
        <f>INDEX(Genomes!$A:$A,(MATCH(AllProteins!H613,Genomes!$B:$B,0)))</f>
        <v>16</v>
      </c>
      <c r="K613" t="str">
        <f>INDEX(Genomes!$J:$J,(MATCH(AllProteins!H613,Genomes!$B:$B,0)))</f>
        <v>Y</v>
      </c>
    </row>
    <row r="614" spans="1:11" x14ac:dyDescent="0.2">
      <c r="A614">
        <f>INDEX(CoreProteinGroups!A:A,MATCH(B614,CoreProteinGroups!B:B,0))</f>
        <v>10</v>
      </c>
      <c r="B614" s="1" t="s">
        <v>1045</v>
      </c>
      <c r="C614" t="str">
        <f>VLOOKUP(B614,CoreProteinGroups!$B:$C,2,FALSE)</f>
        <v>NPH-I</v>
      </c>
      <c r="D614" t="s">
        <v>1103</v>
      </c>
      <c r="E614" s="6" t="str">
        <f t="shared" si="9"/>
        <v>PROT:AFH54663.1</v>
      </c>
      <c r="F614" t="s">
        <v>1104</v>
      </c>
      <c r="G614" t="s">
        <v>87</v>
      </c>
      <c r="H614" t="s">
        <v>2619</v>
      </c>
      <c r="I614" t="str">
        <f>INDEX(Genomes!$I:$I,(MATCH(AllProteins!H614,Genomes!$B:$B,0)))</f>
        <v>JQ410350-ectromelia_virus_strain_ERPV</v>
      </c>
      <c r="J614">
        <f>INDEX(Genomes!$A:$A,(MATCH(AllProteins!H614,Genomes!$B:$B,0)))</f>
        <v>17</v>
      </c>
      <c r="K614" t="str">
        <f>INDEX(Genomes!$J:$J,(MATCH(AllProteins!H614,Genomes!$B:$B,0)))</f>
        <v>N</v>
      </c>
    </row>
    <row r="615" spans="1:11" x14ac:dyDescent="0.2">
      <c r="A615">
        <f>INDEX(CoreProteinGroups!A:A,MATCH(B615,CoreProteinGroups!B:B,0))</f>
        <v>10</v>
      </c>
      <c r="B615" s="1" t="s">
        <v>1045</v>
      </c>
      <c r="C615" t="str">
        <f>VLOOKUP(B615,CoreProteinGroups!$B:$C,2,FALSE)</f>
        <v>NPH-I</v>
      </c>
      <c r="D615" t="s">
        <v>1105</v>
      </c>
      <c r="E615" s="6" t="str">
        <f t="shared" si="9"/>
        <v>PROT:AAL40566.1</v>
      </c>
      <c r="F615" t="s">
        <v>1106</v>
      </c>
      <c r="G615" t="s">
        <v>90</v>
      </c>
      <c r="H615" t="s">
        <v>2673</v>
      </c>
      <c r="I615" t="str">
        <f>INDEX(Genomes!$I:$I,(MATCH(AllProteins!H615,Genomes!$B:$B,0)))</f>
        <v>AF380138-monkeypox_virus_(clade_I)</v>
      </c>
      <c r="J615">
        <f>INDEX(Genomes!$A:$A,(MATCH(AllProteins!H615,Genomes!$B:$B,0)))</f>
        <v>29</v>
      </c>
      <c r="K615" t="str">
        <f>INDEX(Genomes!$J:$J,(MATCH(AllProteins!H615,Genomes!$B:$B,0)))</f>
        <v>Y</v>
      </c>
    </row>
    <row r="616" spans="1:11" x14ac:dyDescent="0.2">
      <c r="A616">
        <f>INDEX(CoreProteinGroups!A:A,MATCH(B616,CoreProteinGroups!B:B,0))</f>
        <v>10</v>
      </c>
      <c r="B616" s="1" t="s">
        <v>1045</v>
      </c>
      <c r="C616" t="str">
        <f>VLOOKUP(B616,CoreProteinGroups!$B:$C,2,FALSE)</f>
        <v>NPH-I</v>
      </c>
      <c r="D616" t="s">
        <v>1107</v>
      </c>
      <c r="E616" s="6" t="str">
        <f t="shared" si="9"/>
        <v>PROT:AAX09203.1</v>
      </c>
      <c r="F616" t="s">
        <v>1108</v>
      </c>
      <c r="G616" t="s">
        <v>93</v>
      </c>
      <c r="H616" t="s">
        <v>2672</v>
      </c>
      <c r="I616" t="str">
        <f>INDEX(Genomes!$I:$I,(MATCH(AllProteins!H616,Genomes!$B:$B,0)))</f>
        <v>AY753185-monkeypox_virus_(clade_IIa)</v>
      </c>
      <c r="J616">
        <f>INDEX(Genomes!$A:$A,(MATCH(AllProteins!H616,Genomes!$B:$B,0)))</f>
        <v>28</v>
      </c>
      <c r="K616" t="str">
        <f>INDEX(Genomes!$J:$J,(MATCH(AllProteins!H616,Genomes!$B:$B,0)))</f>
        <v>Y</v>
      </c>
    </row>
    <row r="617" spans="1:11" x14ac:dyDescent="0.2">
      <c r="A617">
        <f>INDEX(CoreProteinGroups!A:A,MATCH(B617,CoreProteinGroups!B:B,0))</f>
        <v>10</v>
      </c>
      <c r="B617" s="1" t="s">
        <v>1045</v>
      </c>
      <c r="C617" t="str">
        <f>VLOOKUP(B617,CoreProteinGroups!$B:$C,2,FALSE)</f>
        <v>NPH-I</v>
      </c>
      <c r="D617" t="s">
        <v>1109</v>
      </c>
      <c r="E617" s="6" t="str">
        <f t="shared" si="9"/>
        <v>PROT:AKJ93745.1</v>
      </c>
      <c r="F617" t="s">
        <v>1110</v>
      </c>
      <c r="G617" t="s">
        <v>95</v>
      </c>
      <c r="H617" t="s">
        <v>2683</v>
      </c>
      <c r="I617" t="str">
        <f>INDEX(Genomes!$I:$I,(MATCH(AllProteins!H617,Genomes!$B:$B,0)))</f>
        <v>KP143769-raccoonpox_virus</v>
      </c>
      <c r="J617">
        <f>INDEX(Genomes!$A:$A,(MATCH(AllProteins!H617,Genomes!$B:$B,0)))</f>
        <v>41</v>
      </c>
      <c r="K617" t="str">
        <f>INDEX(Genomes!$J:$J,(MATCH(AllProteins!H617,Genomes!$B:$B,0)))</f>
        <v>Y</v>
      </c>
    </row>
    <row r="618" spans="1:11" x14ac:dyDescent="0.2">
      <c r="A618">
        <f>INDEX(CoreProteinGroups!A:A,MATCH(B618,CoreProteinGroups!B:B,0))</f>
        <v>10</v>
      </c>
      <c r="B618" s="1" t="s">
        <v>1045</v>
      </c>
      <c r="C618" t="str">
        <f>VLOOKUP(B618,CoreProteinGroups!$B:$C,2,FALSE)</f>
        <v>NPH-I</v>
      </c>
      <c r="D618" t="s">
        <v>1111</v>
      </c>
      <c r="E618" s="6" t="str">
        <f t="shared" si="9"/>
        <v>PROT:AOP31594.1</v>
      </c>
      <c r="F618" t="s">
        <v>781</v>
      </c>
      <c r="G618" t="s">
        <v>97</v>
      </c>
      <c r="H618" t="s">
        <v>2686</v>
      </c>
      <c r="I618" t="str">
        <f>INDEX(Genomes!$I:$I,(MATCH(AllProteins!H618,Genomes!$B:$B,0)))</f>
        <v>KU749310-skunkpox_virus</v>
      </c>
      <c r="J618">
        <f>INDEX(Genomes!$A:$A,(MATCH(AllProteins!H618,Genomes!$B:$B,0)))</f>
        <v>45</v>
      </c>
      <c r="K618" t="str">
        <f>INDEX(Genomes!$J:$J,(MATCH(AllProteins!H618,Genomes!$B:$B,0)))</f>
        <v>Y</v>
      </c>
    </row>
    <row r="619" spans="1:11" x14ac:dyDescent="0.2">
      <c r="A619">
        <f>INDEX(CoreProteinGroups!A:A,MATCH(B619,CoreProteinGroups!B:B,0))</f>
        <v>10</v>
      </c>
      <c r="B619" s="1" t="s">
        <v>1045</v>
      </c>
      <c r="C619" t="str">
        <f>VLOOKUP(B619,CoreProteinGroups!$B:$C,2,FALSE)</f>
        <v>NPH-I</v>
      </c>
      <c r="D619" t="s">
        <v>1112</v>
      </c>
      <c r="E619" s="6" t="str">
        <f t="shared" si="9"/>
        <v>PROT:ABD97684.1</v>
      </c>
      <c r="F619" t="s">
        <v>781</v>
      </c>
      <c r="G619" t="s">
        <v>99</v>
      </c>
      <c r="H619" t="s">
        <v>2691</v>
      </c>
      <c r="I619" t="str">
        <f>INDEX(Genomes!$I:$I,(MATCH(AllProteins!H619,Genomes!$B:$B,0)))</f>
        <v>DQ437594-taterapox_virus</v>
      </c>
      <c r="J619">
        <f>INDEX(Genomes!$A:$A,(MATCH(AllProteins!H619,Genomes!$B:$B,0)))</f>
        <v>50</v>
      </c>
      <c r="K619" t="str">
        <f>INDEX(Genomes!$J:$J,(MATCH(AllProteins!H619,Genomes!$B:$B,0)))</f>
        <v>Y</v>
      </c>
    </row>
    <row r="620" spans="1:11" x14ac:dyDescent="0.2">
      <c r="A620">
        <f>INDEX(CoreProteinGroups!A:A,MATCH(B620,CoreProteinGroups!B:B,0))</f>
        <v>10</v>
      </c>
      <c r="B620" s="1" t="s">
        <v>1045</v>
      </c>
      <c r="C620" t="str">
        <f>VLOOKUP(B620,CoreProteinGroups!$B:$C,2,FALSE)</f>
        <v>NPH-I</v>
      </c>
      <c r="D620" t="s">
        <v>1113</v>
      </c>
      <c r="E620" s="6" t="str">
        <f t="shared" si="9"/>
        <v>PROT:AAO89395.1</v>
      </c>
      <c r="F620" t="s">
        <v>1114</v>
      </c>
      <c r="G620" t="s">
        <v>101</v>
      </c>
      <c r="H620" t="s">
        <v>2693</v>
      </c>
      <c r="I620" t="str">
        <f>INDEX(Genomes!$I:$I,(MATCH(AllProteins!H620,Genomes!$B:$B,0)))</f>
        <v>AY243312-vaccinia_virus</v>
      </c>
      <c r="J620">
        <f>INDEX(Genomes!$A:$A,(MATCH(AllProteins!H620,Genomes!$B:$B,0)))</f>
        <v>52</v>
      </c>
      <c r="K620" t="str">
        <f>INDEX(Genomes!$J:$J,(MATCH(AllProteins!H620,Genomes!$B:$B,0)))</f>
        <v>Y</v>
      </c>
    </row>
    <row r="621" spans="1:11" x14ac:dyDescent="0.2">
      <c r="A621">
        <f>INDEX(CoreProteinGroups!A:A,MATCH(B621,CoreProteinGroups!B:B,0))</f>
        <v>10</v>
      </c>
      <c r="B621" s="1" t="s">
        <v>1045</v>
      </c>
      <c r="C621" t="str">
        <f>VLOOKUP(B621,CoreProteinGroups!$B:$C,2,FALSE)</f>
        <v>NPH-I</v>
      </c>
      <c r="D621" t="s">
        <v>1115</v>
      </c>
      <c r="E621" s="6" t="str">
        <f t="shared" si="9"/>
        <v>PROT:CAA49042.1</v>
      </c>
      <c r="F621" t="s">
        <v>1116</v>
      </c>
      <c r="G621" t="s">
        <v>2585</v>
      </c>
      <c r="H621" t="s">
        <v>2694</v>
      </c>
      <c r="I621" t="str">
        <f>INDEX(Genomes!$I:$I,(MATCH(AllProteins!H621,Genomes!$B:$B,0)))</f>
        <v>X69198-variola_major_virus</v>
      </c>
      <c r="J621">
        <f>INDEX(Genomes!$A:$A,(MATCH(AllProteins!H621,Genomes!$B:$B,0)))</f>
        <v>53</v>
      </c>
      <c r="K621" t="str">
        <f>INDEX(Genomes!$J:$J,(MATCH(AllProteins!H621,Genomes!$B:$B,0)))</f>
        <v>Y</v>
      </c>
    </row>
    <row r="622" spans="1:11" x14ac:dyDescent="0.2">
      <c r="A622">
        <f>INDEX(CoreProteinGroups!A:A,MATCH(B622,CoreProteinGroups!B:B,0))</f>
        <v>10</v>
      </c>
      <c r="B622" s="1" t="s">
        <v>1045</v>
      </c>
      <c r="C622" t="str">
        <f>VLOOKUP(B622,CoreProteinGroups!$B:$C,2,FALSE)</f>
        <v>NPH-I</v>
      </c>
      <c r="D622" t="s">
        <v>1117</v>
      </c>
      <c r="E622" s="6" t="str">
        <f t="shared" si="9"/>
        <v>PROT:CAB54701.1</v>
      </c>
      <c r="F622" t="s">
        <v>1118</v>
      </c>
      <c r="G622" t="s">
        <v>106</v>
      </c>
      <c r="H622" t="s">
        <v>2695</v>
      </c>
      <c r="I622" t="str">
        <f>INDEX(Genomes!$I:$I,(MATCH(AllProteins!H622,Genomes!$B:$B,0)))</f>
        <v>Y16780-variola_minor_virus</v>
      </c>
      <c r="J622">
        <f>INDEX(Genomes!$A:$A,(MATCH(AllProteins!H622,Genomes!$B:$B,0)))</f>
        <v>54</v>
      </c>
      <c r="K622" t="str">
        <f>INDEX(Genomes!$J:$J,(MATCH(AllProteins!H622,Genomes!$B:$B,0)))</f>
        <v>Y</v>
      </c>
    </row>
    <row r="623" spans="1:11" x14ac:dyDescent="0.2">
      <c r="A623">
        <f>INDEX(CoreProteinGroups!A:A,MATCH(B623,CoreProteinGroups!B:B,0))</f>
        <v>10</v>
      </c>
      <c r="B623" s="1" t="s">
        <v>1045</v>
      </c>
      <c r="C623" t="str">
        <f>VLOOKUP(B623,CoreProteinGroups!$B:$C,2,FALSE)</f>
        <v>NPH-I</v>
      </c>
      <c r="D623" t="s">
        <v>1119</v>
      </c>
      <c r="E623" s="6" t="str">
        <f t="shared" si="9"/>
        <v>PROT:AOP31805.1</v>
      </c>
      <c r="F623" t="s">
        <v>781</v>
      </c>
      <c r="G623" t="s">
        <v>108</v>
      </c>
      <c r="H623" t="s">
        <v>2696</v>
      </c>
      <c r="I623" t="str">
        <f>INDEX(Genomes!$I:$I,(MATCH(AllProteins!H623,Genomes!$B:$B,0)))</f>
        <v>KU749311-volepox_virus</v>
      </c>
      <c r="J623">
        <f>INDEX(Genomes!$A:$A,(MATCH(AllProteins!H623,Genomes!$B:$B,0)))</f>
        <v>55</v>
      </c>
      <c r="K623" t="str">
        <f>INDEX(Genomes!$J:$J,(MATCH(AllProteins!H623,Genomes!$B:$B,0)))</f>
        <v>Y</v>
      </c>
    </row>
    <row r="624" spans="1:11" x14ac:dyDescent="0.2">
      <c r="A624">
        <f>INDEX(CoreProteinGroups!A:A,MATCH(B624,CoreProteinGroups!B:B,0))</f>
        <v>10</v>
      </c>
      <c r="B624" s="1" t="s">
        <v>1045</v>
      </c>
      <c r="C624" t="str">
        <f>VLOOKUP(B624,CoreProteinGroups!$B:$C,2,FALSE)</f>
        <v>NPH-I</v>
      </c>
      <c r="D624" t="s">
        <v>1120</v>
      </c>
      <c r="E624" s="6" t="str">
        <f t="shared" si="9"/>
        <v>PROT:ASC55568.1</v>
      </c>
      <c r="F624" t="s">
        <v>1121</v>
      </c>
      <c r="G624" t="s">
        <v>111</v>
      </c>
      <c r="H624" t="s">
        <v>2667</v>
      </c>
      <c r="I624" t="str">
        <f>INDEX(Genomes!$I:$I,(MATCH(AllProteins!H624,Genomes!$B:$B,0)))</f>
        <v>KY382358-seal_parapoxvirus</v>
      </c>
      <c r="J624">
        <f>INDEX(Genomes!$A:$A,(MATCH(AllProteins!H624,Genomes!$B:$B,0)))</f>
        <v>22</v>
      </c>
      <c r="K624" t="str">
        <f>INDEX(Genomes!$J:$J,(MATCH(AllProteins!H624,Genomes!$B:$B,0)))</f>
        <v>Y</v>
      </c>
    </row>
    <row r="625" spans="1:11" x14ac:dyDescent="0.2">
      <c r="A625">
        <f>INDEX(CoreProteinGroups!A:A,MATCH(B625,CoreProteinGroups!B:B,0))</f>
        <v>10</v>
      </c>
      <c r="B625" s="1" t="s">
        <v>1045</v>
      </c>
      <c r="C625" t="str">
        <f>VLOOKUP(B625,CoreProteinGroups!$B:$C,2,FALSE)</f>
        <v>NPH-I</v>
      </c>
      <c r="D625" t="s">
        <v>1122</v>
      </c>
      <c r="E625" s="6" t="str">
        <f t="shared" si="9"/>
        <v>PROT:AAR98429.1</v>
      </c>
      <c r="F625" t="s">
        <v>1065</v>
      </c>
      <c r="G625" t="s">
        <v>114</v>
      </c>
      <c r="H625" t="s">
        <v>2652</v>
      </c>
      <c r="I625" t="str">
        <f>INDEX(Genomes!$I:$I,(MATCH(AllProteins!H625,Genomes!$B:$B,0)))</f>
        <v>AY386265-bovine_papular_stomatitis_virus</v>
      </c>
      <c r="J625">
        <f>INDEX(Genomes!$A:$A,(MATCH(AllProteins!H625,Genomes!$B:$B,0)))</f>
        <v>6</v>
      </c>
      <c r="K625" t="str">
        <f>INDEX(Genomes!$J:$J,(MATCH(AllProteins!H625,Genomes!$B:$B,0)))</f>
        <v>Y</v>
      </c>
    </row>
    <row r="626" spans="1:11" x14ac:dyDescent="0.2">
      <c r="A626">
        <f>INDEX(CoreProteinGroups!A:A,MATCH(B626,CoreProteinGroups!B:B,0))</f>
        <v>10</v>
      </c>
      <c r="B626" s="1" t="s">
        <v>1045</v>
      </c>
      <c r="C626" t="str">
        <f>VLOOKUP(B626,CoreProteinGroups!$B:$C,2,FALSE)</f>
        <v>NPH-I</v>
      </c>
      <c r="D626" t="s">
        <v>1123</v>
      </c>
      <c r="E626" s="6" t="str">
        <f t="shared" si="9"/>
        <v>PROT:AAR98297.1</v>
      </c>
      <c r="F626" t="s">
        <v>1124</v>
      </c>
      <c r="G626" t="s">
        <v>2702</v>
      </c>
      <c r="H626" t="s">
        <v>2678</v>
      </c>
      <c r="I626" t="str">
        <f>INDEX(Genomes!$I:$I,(MATCH(AllProteins!H626,Genomes!$B:$B,0)))</f>
        <v>AY386264-orf_virus</v>
      </c>
      <c r="J626">
        <f>INDEX(Genomes!$A:$A,(MATCH(AllProteins!H626,Genomes!$B:$B,0)))</f>
        <v>35</v>
      </c>
      <c r="K626" t="str">
        <f>INDEX(Genomes!$J:$J,(MATCH(AllProteins!H626,Genomes!$B:$B,0)))</f>
        <v>Y</v>
      </c>
    </row>
    <row r="627" spans="1:11" x14ac:dyDescent="0.2">
      <c r="A627">
        <f>INDEX(CoreProteinGroups!A:A,MATCH(B627,CoreProteinGroups!B:B,0))</f>
        <v>10</v>
      </c>
      <c r="B627" s="1" t="s">
        <v>1045</v>
      </c>
      <c r="C627" t="str">
        <f>VLOOKUP(B627,CoreProteinGroups!$B:$C,2,FALSE)</f>
        <v>NPH-I</v>
      </c>
      <c r="D627" t="s">
        <v>1125</v>
      </c>
      <c r="E627" s="6" t="str">
        <f t="shared" si="9"/>
        <v>PROT:ABA00589.1</v>
      </c>
      <c r="F627" t="s">
        <v>1081</v>
      </c>
      <c r="G627" t="s">
        <v>2555</v>
      </c>
      <c r="H627" t="s">
        <v>2645</v>
      </c>
      <c r="I627" t="str">
        <f>INDEX(Genomes!$I:$I,(MATCH(AllProteins!H627,Genomes!$B:$B,0)))</f>
        <v>DQ184476-orf_virus_strain_NZ2</v>
      </c>
      <c r="J627">
        <f>INDEX(Genomes!$A:$A,(MATCH(AllProteins!H627,Genomes!$B:$B,0)))</f>
        <v>36</v>
      </c>
      <c r="K627" t="str">
        <f>INDEX(Genomes!$J:$J,(MATCH(AllProteins!H627,Genomes!$B:$B,0)))</f>
        <v>N</v>
      </c>
    </row>
    <row r="628" spans="1:11" x14ac:dyDescent="0.2">
      <c r="A628">
        <f>INDEX(CoreProteinGroups!A:A,MATCH(B628,CoreProteinGroups!B:B,0))</f>
        <v>10</v>
      </c>
      <c r="B628" s="1" t="s">
        <v>1045</v>
      </c>
      <c r="C628" t="str">
        <f>VLOOKUP(B628,CoreProteinGroups!$B:$C,2,FALSE)</f>
        <v>NPH-I</v>
      </c>
      <c r="D628" t="s">
        <v>1126</v>
      </c>
      <c r="E628" s="6" t="str">
        <f t="shared" si="9"/>
        <v>PROT:AIZ77323.1</v>
      </c>
      <c r="F628" t="s">
        <v>1127</v>
      </c>
      <c r="G628" t="s">
        <v>119</v>
      </c>
      <c r="H628" t="s">
        <v>2684</v>
      </c>
      <c r="I628" t="str">
        <f>INDEX(Genomes!$I:$I,(MATCH(AllProteins!H628,Genomes!$B:$B,0)))</f>
        <v>KM502564-parapoxvirus_red_deer</v>
      </c>
      <c r="J628">
        <f>INDEX(Genomes!$A:$A,(MATCH(AllProteins!H628,Genomes!$B:$B,0)))</f>
        <v>42</v>
      </c>
      <c r="K628" t="str">
        <f>INDEX(Genomes!$J:$J,(MATCH(AllProteins!H628,Genomes!$B:$B,0)))</f>
        <v>Y</v>
      </c>
    </row>
    <row r="629" spans="1:11" x14ac:dyDescent="0.2">
      <c r="A629">
        <f>INDEX(CoreProteinGroups!A:A,MATCH(B629,CoreProteinGroups!B:B,0))</f>
        <v>10</v>
      </c>
      <c r="B629" s="1" t="s">
        <v>1045</v>
      </c>
      <c r="C629" t="str">
        <f>VLOOKUP(B629,CoreProteinGroups!$B:$C,2,FALSE)</f>
        <v>NPH-I</v>
      </c>
      <c r="D629" t="s">
        <v>1128</v>
      </c>
      <c r="E629" s="6" t="str">
        <f t="shared" si="9"/>
        <v>PROT:ADC53973.1</v>
      </c>
      <c r="F629" t="s">
        <v>1081</v>
      </c>
      <c r="G629" t="s">
        <v>121</v>
      </c>
      <c r="H629" t="s">
        <v>2679</v>
      </c>
      <c r="I629" t="str">
        <f>INDEX(Genomes!$I:$I,(MATCH(AllProteins!H629,Genomes!$B:$B,0)))</f>
        <v>GQ329670-pseudocowpox_virus</v>
      </c>
      <c r="J629">
        <f>INDEX(Genomes!$A:$A,(MATCH(AllProteins!H629,Genomes!$B:$B,0)))</f>
        <v>37</v>
      </c>
      <c r="K629" t="str">
        <f>INDEX(Genomes!$J:$J,(MATCH(AllProteins!H629,Genomes!$B:$B,0)))</f>
        <v>Y</v>
      </c>
    </row>
    <row r="630" spans="1:11" x14ac:dyDescent="0.2">
      <c r="A630">
        <f>INDEX(CoreProteinGroups!A:A,MATCH(B630,CoreProteinGroups!B:B,0))</f>
        <v>10</v>
      </c>
      <c r="B630" s="1" t="s">
        <v>1045</v>
      </c>
      <c r="C630" t="str">
        <f>VLOOKUP(B630,CoreProteinGroups!$B:$C,2,FALSE)</f>
        <v>NPH-I</v>
      </c>
      <c r="D630" t="s">
        <v>1129</v>
      </c>
      <c r="E630" s="6" t="str">
        <f t="shared" si="9"/>
        <v>PROT:AAL69824.1</v>
      </c>
      <c r="F630" t="s">
        <v>1130</v>
      </c>
      <c r="G630" t="s">
        <v>124</v>
      </c>
      <c r="H630" t="s">
        <v>2690</v>
      </c>
      <c r="I630" t="str">
        <f>INDEX(Genomes!$I:$I,(MATCH(AllProteins!H630,Genomes!$B:$B,0)))</f>
        <v>AF410153-swinepox_virus</v>
      </c>
      <c r="J630">
        <f>INDEX(Genomes!$A:$A,(MATCH(AllProteins!H630,Genomes!$B:$B,0)))</f>
        <v>49</v>
      </c>
      <c r="K630" t="str">
        <f>INDEX(Genomes!$J:$J,(MATCH(AllProteins!H630,Genomes!$B:$B,0)))</f>
        <v>Y</v>
      </c>
    </row>
    <row r="631" spans="1:11" x14ac:dyDescent="0.2">
      <c r="A631">
        <f>INDEX(CoreProteinGroups!A:A,MATCH(B631,CoreProteinGroups!B:B,0))</f>
        <v>10</v>
      </c>
      <c r="B631" s="1" t="s">
        <v>1045</v>
      </c>
      <c r="C631" t="str">
        <f>VLOOKUP(B631,CoreProteinGroups!$B:$C,2,FALSE)</f>
        <v>NPH-I</v>
      </c>
      <c r="D631" t="s">
        <v>1131</v>
      </c>
      <c r="E631" s="6" t="str">
        <f t="shared" si="9"/>
        <v>PROT:CAC21326.1</v>
      </c>
      <c r="F631" t="s">
        <v>1132</v>
      </c>
      <c r="G631" t="s">
        <v>127</v>
      </c>
      <c r="H631" t="s">
        <v>2699</v>
      </c>
      <c r="I631" t="str">
        <f>INDEX(Genomes!$I:$I,(MATCH(AllProteins!H631,Genomes!$B:$B,0)))</f>
        <v>AJ293568-tanapox_virus</v>
      </c>
      <c r="J631">
        <f>INDEX(Genomes!$A:$A,(MATCH(AllProteins!H631,Genomes!$B:$B,0)))</f>
        <v>58</v>
      </c>
      <c r="K631" t="str">
        <f>INDEX(Genomes!$J:$J,(MATCH(AllProteins!H631,Genomes!$B:$B,0)))</f>
        <v>Y</v>
      </c>
    </row>
    <row r="632" spans="1:11" x14ac:dyDescent="0.2">
      <c r="A632">
        <f>INDEX(CoreProteinGroups!A:A,MATCH(B632,CoreProteinGroups!B:B,0))</f>
        <v>10</v>
      </c>
      <c r="B632" s="1" t="s">
        <v>1045</v>
      </c>
      <c r="C632" t="str">
        <f>VLOOKUP(B632,CoreProteinGroups!$B:$C,2,FALSE)</f>
        <v>NPH-I</v>
      </c>
      <c r="D632" t="s">
        <v>1133</v>
      </c>
      <c r="E632" s="6" t="str">
        <f t="shared" si="9"/>
        <v>PROT:AAR07444.1</v>
      </c>
      <c r="F632" t="s">
        <v>1134</v>
      </c>
      <c r="G632" t="s">
        <v>130</v>
      </c>
      <c r="H632" t="s">
        <v>2700</v>
      </c>
      <c r="I632" t="str">
        <f>INDEX(Genomes!$I:$I,(MATCH(AllProteins!H632,Genomes!$B:$B,0)))</f>
        <v>AY386371-Yaba_monkey_tumor_virus</v>
      </c>
      <c r="J632">
        <f>INDEX(Genomes!$A:$A,(MATCH(AllProteins!H632,Genomes!$B:$B,0)))</f>
        <v>59</v>
      </c>
      <c r="K632" t="str">
        <f>INDEX(Genomes!$J:$J,(MATCH(AllProteins!H632,Genomes!$B:$B,0)))</f>
        <v>Y</v>
      </c>
    </row>
    <row r="633" spans="1:11" x14ac:dyDescent="0.2">
      <c r="A633">
        <f>INDEX(CoreProteinGroups!A:A,MATCH(B633,CoreProteinGroups!B:B,0))</f>
        <v>10</v>
      </c>
      <c r="B633" s="1" t="s">
        <v>1045</v>
      </c>
      <c r="C633" t="str">
        <f>VLOOKUP(B633,CoreProteinGroups!$B:$C,2,FALSE)</f>
        <v>NPH-I</v>
      </c>
      <c r="D633" t="s">
        <v>1135</v>
      </c>
      <c r="E633" s="6" t="str">
        <f t="shared" si="9"/>
        <v>PROT:AAC97824.1</v>
      </c>
      <c r="F633" t="s">
        <v>1136</v>
      </c>
      <c r="G633" t="s">
        <v>133</v>
      </c>
      <c r="H633" t="s">
        <v>2674</v>
      </c>
      <c r="I633" t="str">
        <f>INDEX(Genomes!$I:$I,(MATCH(AllProteins!H633,Genomes!$B:$B,0)))</f>
        <v>AF063866-Melanoplus_sanguinipes_entomopoxvirus</v>
      </c>
      <c r="J633">
        <f>INDEX(Genomes!$A:$A,(MATCH(AllProteins!H633,Genomes!$B:$B,0)))</f>
        <v>30</v>
      </c>
      <c r="K633" t="str">
        <f>INDEX(Genomes!$J:$J,(MATCH(AllProteins!H633,Genomes!$B:$B,0)))</f>
        <v>Y</v>
      </c>
    </row>
    <row r="634" spans="1:11" x14ac:dyDescent="0.2">
      <c r="A634">
        <f>INDEX(CoreProteinGroups!A:A,MATCH(B634,CoreProteinGroups!B:B,0))</f>
        <v>10</v>
      </c>
      <c r="B634" s="1" t="s">
        <v>1045</v>
      </c>
      <c r="C634" t="str">
        <f>VLOOKUP(B634,CoreProteinGroups!$B:$C,2,FALSE)</f>
        <v>NPH-I</v>
      </c>
      <c r="D634" t="s">
        <v>1137</v>
      </c>
      <c r="E634" s="6" t="str">
        <f t="shared" si="9"/>
        <v>PROT:BAO49434.1</v>
      </c>
      <c r="F634" t="s">
        <v>1138</v>
      </c>
      <c r="G634" t="s">
        <v>136</v>
      </c>
      <c r="H634" t="s">
        <v>2648</v>
      </c>
      <c r="I634" t="str">
        <f>INDEX(Genomes!$I:$I,(MATCH(AllProteins!H634,Genomes!$B:$B,0)))</f>
        <v>AP013055-Anomala_cuprea_entomopoxvirus</v>
      </c>
      <c r="J634">
        <f>INDEX(Genomes!$A:$A,(MATCH(AllProteins!H634,Genomes!$B:$B,0)))</f>
        <v>2</v>
      </c>
      <c r="K634" t="str">
        <f>INDEX(Genomes!$J:$J,(MATCH(AllProteins!H634,Genomes!$B:$B,0)))</f>
        <v>Y</v>
      </c>
    </row>
    <row r="635" spans="1:11" x14ac:dyDescent="0.2">
      <c r="A635">
        <f>INDEX(CoreProteinGroups!A:A,MATCH(B635,CoreProteinGroups!B:B,0))</f>
        <v>10</v>
      </c>
      <c r="B635" s="1" t="s">
        <v>1045</v>
      </c>
      <c r="C635" t="str">
        <f>VLOOKUP(B635,CoreProteinGroups!$B:$C,2,FALSE)</f>
        <v>NPH-I</v>
      </c>
      <c r="D635" t="s">
        <v>1139</v>
      </c>
      <c r="E635" s="6" t="str">
        <f t="shared" si="9"/>
        <v>PROT:CCU55471.1</v>
      </c>
      <c r="F635" t="s">
        <v>1059</v>
      </c>
      <c r="G635" t="s">
        <v>138</v>
      </c>
      <c r="H635" t="s">
        <v>2649</v>
      </c>
      <c r="I635" t="str">
        <f>INDEX(Genomes!$I:$I,(MATCH(AllProteins!H635,Genomes!$B:$B,0)))</f>
        <v>HF679131-Adoxophyes_honmai_entomopoxvirus</v>
      </c>
      <c r="J635">
        <f>INDEX(Genomes!$A:$A,(MATCH(AllProteins!H635,Genomes!$B:$B,0)))</f>
        <v>3</v>
      </c>
      <c r="K635" t="str">
        <f>INDEX(Genomes!$J:$J,(MATCH(AllProteins!H635,Genomes!$B:$B,0)))</f>
        <v>Y</v>
      </c>
    </row>
    <row r="636" spans="1:11" x14ac:dyDescent="0.2">
      <c r="A636">
        <f>INDEX(CoreProteinGroups!A:A,MATCH(B636,CoreProteinGroups!B:B,0))</f>
        <v>10</v>
      </c>
      <c r="B636" s="1" t="s">
        <v>1045</v>
      </c>
      <c r="C636" t="str">
        <f>VLOOKUP(B636,CoreProteinGroups!$B:$C,2,FALSE)</f>
        <v>NPH-I</v>
      </c>
      <c r="D636" t="s">
        <v>1140</v>
      </c>
      <c r="E636" s="6" t="str">
        <f t="shared" si="9"/>
        <v>PROT:AAG02898.1</v>
      </c>
      <c r="F636" t="s">
        <v>1141</v>
      </c>
      <c r="G636" t="s">
        <v>141</v>
      </c>
      <c r="H636" t="s">
        <v>2651</v>
      </c>
      <c r="I636" t="str">
        <f>INDEX(Genomes!$I:$I,(MATCH(AllProteins!H636,Genomes!$B:$B,0)))</f>
        <v>AF250284-Amsacta_moorei_entomopoxvirus</v>
      </c>
      <c r="J636">
        <f>INDEX(Genomes!$A:$A,(MATCH(AllProteins!H636,Genomes!$B:$B,0)))</f>
        <v>5</v>
      </c>
      <c r="K636" t="str">
        <f>INDEX(Genomes!$J:$J,(MATCH(AllProteins!H636,Genomes!$B:$B,0)))</f>
        <v>Y</v>
      </c>
    </row>
    <row r="637" spans="1:11" x14ac:dyDescent="0.2">
      <c r="A637">
        <f>INDEX(CoreProteinGroups!A:A,MATCH(B637,CoreProteinGroups!B:B,0))</f>
        <v>10</v>
      </c>
      <c r="B637" s="1" t="s">
        <v>1045</v>
      </c>
      <c r="C637" t="str">
        <f>VLOOKUP(B637,CoreProteinGroups!$B:$C,2,FALSE)</f>
        <v>NPH-I</v>
      </c>
      <c r="D637" t="s">
        <v>1142</v>
      </c>
      <c r="E637" s="6" t="str">
        <f t="shared" si="9"/>
        <v>PROT:CCU55796.1</v>
      </c>
      <c r="F637" t="s">
        <v>1059</v>
      </c>
      <c r="G637" t="s">
        <v>143</v>
      </c>
      <c r="H637" t="s">
        <v>2656</v>
      </c>
      <c r="I637" t="str">
        <f>INDEX(Genomes!$I:$I,(MATCH(AllProteins!H637,Genomes!$B:$B,0)))</f>
        <v>HF679132-Choristoneura_biennis_entomopoxvirus</v>
      </c>
      <c r="J637">
        <f>INDEX(Genomes!$A:$A,(MATCH(AllProteins!H637,Genomes!$B:$B,0)))</f>
        <v>10</v>
      </c>
      <c r="K637" t="str">
        <f>INDEX(Genomes!$J:$J,(MATCH(AllProteins!H637,Genomes!$B:$B,0)))</f>
        <v>Y</v>
      </c>
    </row>
    <row r="638" spans="1:11" x14ac:dyDescent="0.2">
      <c r="A638">
        <f>INDEX(CoreProteinGroups!A:A,MATCH(B638,CoreProteinGroups!B:B,0))</f>
        <v>10</v>
      </c>
      <c r="B638" s="1" t="s">
        <v>1045</v>
      </c>
      <c r="C638" t="str">
        <f>VLOOKUP(B638,CoreProteinGroups!$B:$C,2,FALSE)</f>
        <v>NPH-I</v>
      </c>
      <c r="D638" t="s">
        <v>1143</v>
      </c>
      <c r="E638" s="6" t="str">
        <f t="shared" si="9"/>
        <v>PROT:CCU56098.1</v>
      </c>
      <c r="F638" t="s">
        <v>1059</v>
      </c>
      <c r="G638" t="s">
        <v>145</v>
      </c>
      <c r="H638" t="s">
        <v>2660</v>
      </c>
      <c r="I638" t="str">
        <f>INDEX(Genomes!$I:$I,(MATCH(AllProteins!H638,Genomes!$B:$B,0)))</f>
        <v>HF679133-Choristoneura_rosaceana_entomopoxvirus</v>
      </c>
      <c r="J638">
        <f>INDEX(Genomes!$A:$A,(MATCH(AllProteins!H638,Genomes!$B:$B,0)))</f>
        <v>14</v>
      </c>
      <c r="K638" t="str">
        <f>INDEX(Genomes!$J:$J,(MATCH(AllProteins!H638,Genomes!$B:$B,0)))</f>
        <v>Y</v>
      </c>
    </row>
    <row r="639" spans="1:11" x14ac:dyDescent="0.2">
      <c r="A639">
        <f>INDEX(CoreProteinGroups!A:A,MATCH(B639,CoreProteinGroups!B:B,0))</f>
        <v>10</v>
      </c>
      <c r="B639" s="1" t="s">
        <v>1045</v>
      </c>
      <c r="C639" t="str">
        <f>VLOOKUP(B639,CoreProteinGroups!$B:$C,2,FALSE)</f>
        <v>NPH-I</v>
      </c>
      <c r="D639" t="s">
        <v>1144</v>
      </c>
      <c r="E639" s="6" t="str">
        <f t="shared" si="9"/>
        <v>PROT:CCU56420.1</v>
      </c>
      <c r="F639" t="s">
        <v>1059</v>
      </c>
      <c r="G639" t="s">
        <v>147</v>
      </c>
      <c r="H639" t="s">
        <v>2675</v>
      </c>
      <c r="I639" t="str">
        <f>INDEX(Genomes!$I:$I,(MATCH(AllProteins!H639,Genomes!$B:$B,0)))</f>
        <v>HF679134-Mythimna_separata_entomopoxvirus</v>
      </c>
      <c r="J639">
        <f>INDEX(Genomes!$A:$A,(MATCH(AllProteins!H639,Genomes!$B:$B,0)))</f>
        <v>31</v>
      </c>
      <c r="K639" t="str">
        <f>INDEX(Genomes!$J:$J,(MATCH(AllProteins!H639,Genomes!$B:$B,0)))</f>
        <v>Y</v>
      </c>
    </row>
    <row r="640" spans="1:11" x14ac:dyDescent="0.2">
      <c r="A640">
        <f>INDEX(CoreProteinGroups!A:A,MATCH(B640,CoreProteinGroups!B:B,0))</f>
        <v>11</v>
      </c>
      <c r="B640" s="1" t="s">
        <v>1145</v>
      </c>
      <c r="C640" t="str">
        <f>VLOOKUP(B640,CoreProteinGroups!$B:$C,2,FALSE)</f>
        <v>small capping enzyme</v>
      </c>
      <c r="D640" t="s">
        <v>1147</v>
      </c>
      <c r="E640" s="6" t="str">
        <f t="shared" si="9"/>
        <v>PROT:ATI21198.1</v>
      </c>
      <c r="F640" t="s">
        <v>1148</v>
      </c>
      <c r="G640" t="s">
        <v>11</v>
      </c>
      <c r="H640" t="s">
        <v>2663</v>
      </c>
      <c r="I640" t="str">
        <f>INDEX(Genomes!$I:$I,(MATCH(AllProteins!H640,Genomes!$B:$B,0)))</f>
        <v>MF467281-Eastern_grey_kangaroopox_virus</v>
      </c>
      <c r="J640">
        <f>INDEX(Genomes!$A:$A,(MATCH(AllProteins!H640,Genomes!$B:$B,0)))</f>
        <v>18</v>
      </c>
      <c r="K640" t="str">
        <f>INDEX(Genomes!$J:$J,(MATCH(AllProteins!H640,Genomes!$B:$B,0)))</f>
        <v>Y</v>
      </c>
    </row>
    <row r="641" spans="1:11" x14ac:dyDescent="0.2">
      <c r="A641">
        <f>INDEX(CoreProteinGroups!A:A,MATCH(B641,CoreProteinGroups!B:B,0))</f>
        <v>11</v>
      </c>
      <c r="B641" s="1" t="s">
        <v>1145</v>
      </c>
      <c r="C641" t="str">
        <f>VLOOKUP(B641,CoreProteinGroups!$B:$C,2,FALSE)</f>
        <v>small capping enzyme</v>
      </c>
      <c r="D641" t="s">
        <v>1149</v>
      </c>
      <c r="E641" s="6" t="str">
        <f t="shared" si="9"/>
        <v>PROT:AWU47132.1</v>
      </c>
      <c r="F641" t="s">
        <v>954</v>
      </c>
      <c r="G641" t="s">
        <v>13</v>
      </c>
      <c r="H641" t="s">
        <v>2688</v>
      </c>
      <c r="I641" t="str">
        <f>INDEX(Genomes!$I:$I,(MATCH(AllProteins!H641,Genomes!$B:$B,0)))</f>
        <v>MH427217-sea_otter_poxvirus</v>
      </c>
      <c r="J641">
        <f>INDEX(Genomes!$A:$A,(MATCH(AllProteins!H641,Genomes!$B:$B,0)))</f>
        <v>47</v>
      </c>
      <c r="K641" t="str">
        <f>INDEX(Genomes!$J:$J,(MATCH(AllProteins!H641,Genomes!$B:$B,0)))</f>
        <v>Y</v>
      </c>
    </row>
    <row r="642" spans="1:11" x14ac:dyDescent="0.2">
      <c r="A642">
        <f>INDEX(CoreProteinGroups!A:A,MATCH(B642,CoreProteinGroups!B:B,0))</f>
        <v>11</v>
      </c>
      <c r="B642" s="1" t="s">
        <v>1145</v>
      </c>
      <c r="C642" t="str">
        <f>VLOOKUP(B642,CoreProteinGroups!$B:$C,2,FALSE)</f>
        <v>small capping enzyme</v>
      </c>
      <c r="D642" t="s">
        <v>1150</v>
      </c>
      <c r="E642" s="6" t="str">
        <f t="shared" ref="E642:E705" si="10">HYPERLINK(_xlfn.CONCAT("https://www.ncbi.nlm.nih.gov/protein/",D642),_xlfn.CONCAT("PROT:",D642))</f>
        <v>PROT:APG58308.1</v>
      </c>
      <c r="F642" t="s">
        <v>1151</v>
      </c>
      <c r="G642" t="s">
        <v>16</v>
      </c>
      <c r="H642" t="s">
        <v>2653</v>
      </c>
      <c r="I642" t="str">
        <f>INDEX(Genomes!$I:$I,(MATCH(AllProteins!H642,Genomes!$B:$B,0)))</f>
        <v>KY094066-BeAn_58058_virus</v>
      </c>
      <c r="J642">
        <f>INDEX(Genomes!$A:$A,(MATCH(AllProteins!H642,Genomes!$B:$B,0)))</f>
        <v>7</v>
      </c>
      <c r="K642" t="str">
        <f>INDEX(Genomes!$J:$J,(MATCH(AllProteins!H642,Genomes!$B:$B,0)))</f>
        <v>N</v>
      </c>
    </row>
    <row r="643" spans="1:11" x14ac:dyDescent="0.2">
      <c r="A643">
        <f>INDEX(CoreProteinGroups!A:A,MATCH(B643,CoreProteinGroups!B:B,0))</f>
        <v>11</v>
      </c>
      <c r="B643" s="1" t="s">
        <v>1145</v>
      </c>
      <c r="C643" t="str">
        <f>VLOOKUP(B643,CoreProteinGroups!$B:$C,2,FALSE)</f>
        <v>small capping enzyme</v>
      </c>
      <c r="D643" t="s">
        <v>1152</v>
      </c>
      <c r="E643" s="6" t="str">
        <f t="shared" si="10"/>
        <v>PROT:ADT91118.1</v>
      </c>
      <c r="F643" t="s">
        <v>1153</v>
      </c>
      <c r="G643" t="s">
        <v>19</v>
      </c>
      <c r="H643" t="s">
        <v>2658</v>
      </c>
      <c r="I643" t="str">
        <f>INDEX(Genomes!$I:$I,(MATCH(AllProteins!H643,Genomes!$B:$B,0)))</f>
        <v>HQ647181-Cotia_virus</v>
      </c>
      <c r="J643">
        <f>INDEX(Genomes!$A:$A,(MATCH(AllProteins!H643,Genomes!$B:$B,0)))</f>
        <v>12</v>
      </c>
      <c r="K643" t="str">
        <f>INDEX(Genomes!$J:$J,(MATCH(AllProteins!H643,Genomes!$B:$B,0)))</f>
        <v>Y</v>
      </c>
    </row>
    <row r="644" spans="1:11" x14ac:dyDescent="0.2">
      <c r="A644">
        <f>INDEX(CoreProteinGroups!A:A,MATCH(B644,CoreProteinGroups!B:B,0))</f>
        <v>11</v>
      </c>
      <c r="B644" s="1" t="s">
        <v>1145</v>
      </c>
      <c r="C644" t="str">
        <f>VLOOKUP(B644,CoreProteinGroups!$B:$C,2,FALSE)</f>
        <v>small capping enzyme</v>
      </c>
      <c r="D644" t="s">
        <v>1154</v>
      </c>
      <c r="E644" s="6" t="str">
        <f t="shared" si="10"/>
        <v>PROT:ANS71176.1</v>
      </c>
      <c r="F644" t="s">
        <v>1155</v>
      </c>
      <c r="G644" t="s">
        <v>21</v>
      </c>
      <c r="H644" t="s">
        <v>2682</v>
      </c>
      <c r="I644" t="str">
        <f>INDEX(Genomes!$I:$I,(MATCH(AllProteins!H644,Genomes!$B:$B,0)))</f>
        <v>KU980965-pteropox_virus</v>
      </c>
      <c r="J644">
        <f>INDEX(Genomes!$A:$A,(MATCH(AllProteins!H644,Genomes!$B:$B,0)))</f>
        <v>40</v>
      </c>
      <c r="K644" t="str">
        <f>INDEX(Genomes!$J:$J,(MATCH(AllProteins!H644,Genomes!$B:$B,0)))</f>
        <v>Y</v>
      </c>
    </row>
    <row r="645" spans="1:11" x14ac:dyDescent="0.2">
      <c r="A645">
        <f>INDEX(CoreProteinGroups!A:A,MATCH(B645,CoreProteinGroups!B:B,0))</f>
        <v>11</v>
      </c>
      <c r="B645" s="1" t="s">
        <v>1145</v>
      </c>
      <c r="C645" t="str">
        <f>VLOOKUP(B645,CoreProteinGroups!$B:$C,2,FALSE)</f>
        <v>small capping enzyme</v>
      </c>
      <c r="D645" t="s">
        <v>1156</v>
      </c>
      <c r="E645" s="6" t="str">
        <f t="shared" si="10"/>
        <v>PROT:AKR04264.1</v>
      </c>
      <c r="F645" t="s">
        <v>1157</v>
      </c>
      <c r="G645" t="s">
        <v>24</v>
      </c>
      <c r="H645" t="s">
        <v>2687</v>
      </c>
      <c r="I645" t="str">
        <f>INDEX(Genomes!$I:$I,(MATCH(AllProteins!H645,Genomes!$B:$B,0)))</f>
        <v>KT159937-salmon_gill_poxvirus</v>
      </c>
      <c r="J645">
        <f>INDEX(Genomes!$A:$A,(MATCH(AllProteins!H645,Genomes!$B:$B,0)))</f>
        <v>46</v>
      </c>
      <c r="K645" t="str">
        <f>INDEX(Genomes!$J:$J,(MATCH(AllProteins!H645,Genomes!$B:$B,0)))</f>
        <v>Y</v>
      </c>
    </row>
    <row r="646" spans="1:11" x14ac:dyDescent="0.2">
      <c r="A646">
        <f>INDEX(CoreProteinGroups!A:A,MATCH(B646,CoreProteinGroups!B:B,0))</f>
        <v>11</v>
      </c>
      <c r="B646" s="1" t="s">
        <v>1145</v>
      </c>
      <c r="C646" t="str">
        <f>VLOOKUP(B646,CoreProteinGroups!$B:$C,2,FALSE)</f>
        <v>small capping enzyme</v>
      </c>
      <c r="D646" t="s">
        <v>1158</v>
      </c>
      <c r="E646" s="6" t="str">
        <f t="shared" si="10"/>
        <v>PROT:CCD83269.1</v>
      </c>
      <c r="F646" t="s">
        <v>1159</v>
      </c>
      <c r="G646" t="s">
        <v>27</v>
      </c>
      <c r="H646" t="s">
        <v>2689</v>
      </c>
      <c r="I646" t="str">
        <f>INDEX(Genomes!$I:$I,(MATCH(AllProteins!H646,Genomes!$B:$B,0)))</f>
        <v>HE601899-squirrelpox_virus</v>
      </c>
      <c r="J646">
        <f>INDEX(Genomes!$A:$A,(MATCH(AllProteins!H646,Genomes!$B:$B,0)))</f>
        <v>48</v>
      </c>
      <c r="K646" t="str">
        <f>INDEX(Genomes!$J:$J,(MATCH(AllProteins!H646,Genomes!$B:$B,0)))</f>
        <v>Y</v>
      </c>
    </row>
    <row r="647" spans="1:11" x14ac:dyDescent="0.2">
      <c r="A647">
        <f>INDEX(CoreProteinGroups!A:A,MATCH(B647,CoreProteinGroups!B:B,0))</f>
        <v>11</v>
      </c>
      <c r="B647" s="1" t="s">
        <v>1145</v>
      </c>
      <c r="C647" t="str">
        <f>VLOOKUP(B647,CoreProteinGroups!$B:$C,2,FALSE)</f>
        <v>small capping enzyme</v>
      </c>
      <c r="D647" t="s">
        <v>1160</v>
      </c>
      <c r="E647" s="6" t="str">
        <f t="shared" si="10"/>
        <v>PROT:ASK51295.1</v>
      </c>
      <c r="F647" t="s">
        <v>1148</v>
      </c>
      <c r="G647" t="s">
        <v>30</v>
      </c>
      <c r="H647" t="s">
        <v>2664</v>
      </c>
      <c r="I647" t="str">
        <f>INDEX(Genomes!$I:$I,(MATCH(AllProteins!H647,Genomes!$B:$B,0)))</f>
        <v>KY747497-eptesipox_virus</v>
      </c>
      <c r="J647">
        <f>INDEX(Genomes!$A:$A,(MATCH(AllProteins!H647,Genomes!$B:$B,0)))</f>
        <v>19</v>
      </c>
      <c r="K647" t="str">
        <f>INDEX(Genomes!$J:$J,(MATCH(AllProteins!H647,Genomes!$B:$B,0)))</f>
        <v>Y</v>
      </c>
    </row>
    <row r="648" spans="1:11" x14ac:dyDescent="0.2">
      <c r="A648">
        <f>INDEX(CoreProteinGroups!A:A,MATCH(B648,CoreProteinGroups!B:B,0))</f>
        <v>11</v>
      </c>
      <c r="B648" s="1" t="s">
        <v>1145</v>
      </c>
      <c r="C648" t="str">
        <f>VLOOKUP(B648,CoreProteinGroups!$B:$C,2,FALSE)</f>
        <v>small capping enzyme</v>
      </c>
      <c r="D648" t="s">
        <v>1161</v>
      </c>
      <c r="E648" s="6" t="str">
        <f t="shared" si="10"/>
        <v>PROT:AUD40153.1</v>
      </c>
      <c r="F648" t="s">
        <v>1148</v>
      </c>
      <c r="G648" t="s">
        <v>32</v>
      </c>
      <c r="H648" t="s">
        <v>2665</v>
      </c>
      <c r="I648" t="str">
        <f>INDEX(Genomes!$I:$I,(MATCH(AllProteins!H648,Genomes!$B:$B,0)))</f>
        <v>MF678796-flamingopox_virus</v>
      </c>
      <c r="J648">
        <f>INDEX(Genomes!$A:$A,(MATCH(AllProteins!H648,Genomes!$B:$B,0)))</f>
        <v>20</v>
      </c>
      <c r="K648" t="str">
        <f>INDEX(Genomes!$J:$J,(MATCH(AllProteins!H648,Genomes!$B:$B,0)))</f>
        <v>Y</v>
      </c>
    </row>
    <row r="649" spans="1:11" x14ac:dyDescent="0.2">
      <c r="A649">
        <f>INDEX(CoreProteinGroups!A:A,MATCH(B649,CoreProteinGroups!B:B,0))</f>
        <v>11</v>
      </c>
      <c r="B649" s="1" t="s">
        <v>1145</v>
      </c>
      <c r="C649" t="str">
        <f>VLOOKUP(B649,CoreProteinGroups!$B:$C,2,FALSE)</f>
        <v>small capping enzyme</v>
      </c>
      <c r="D649" t="s">
        <v>1162</v>
      </c>
      <c r="E649" s="6" t="str">
        <f t="shared" si="10"/>
        <v>PROT:AID46793.1</v>
      </c>
      <c r="F649" t="s">
        <v>954</v>
      </c>
      <c r="G649" t="s">
        <v>34</v>
      </c>
      <c r="H649" t="s">
        <v>2681</v>
      </c>
      <c r="I649" t="str">
        <f>INDEX(Genomes!$I:$I,(MATCH(AllProteins!H649,Genomes!$B:$B,0)))</f>
        <v>KJ859677-penguinpox_virus</v>
      </c>
      <c r="J649">
        <f>INDEX(Genomes!$A:$A,(MATCH(AllProteins!H649,Genomes!$B:$B,0)))</f>
        <v>39</v>
      </c>
      <c r="K649" t="str">
        <f>INDEX(Genomes!$J:$J,(MATCH(AllProteins!H649,Genomes!$B:$B,0)))</f>
        <v>Y</v>
      </c>
    </row>
    <row r="650" spans="1:11" x14ac:dyDescent="0.2">
      <c r="A650">
        <f>INDEX(CoreProteinGroups!A:A,MATCH(B650,CoreProteinGroups!B:B,0))</f>
        <v>11</v>
      </c>
      <c r="B650" s="1" t="s">
        <v>1145</v>
      </c>
      <c r="C650" t="str">
        <f>VLOOKUP(B650,CoreProteinGroups!$B:$C,2,FALSE)</f>
        <v>small capping enzyme</v>
      </c>
      <c r="D650" t="s">
        <v>1163</v>
      </c>
      <c r="E650" s="6" t="str">
        <f t="shared" si="10"/>
        <v>PROT:AID46564.1</v>
      </c>
      <c r="F650" t="s">
        <v>954</v>
      </c>
      <c r="G650" t="s">
        <v>36</v>
      </c>
      <c r="H650" t="s">
        <v>2680</v>
      </c>
      <c r="I650" t="str">
        <f>INDEX(Genomes!$I:$I,(MATCH(AllProteins!H650,Genomes!$B:$B,0)))</f>
        <v>KJ801920-pigeonpox_virus</v>
      </c>
      <c r="J650">
        <f>INDEX(Genomes!$A:$A,(MATCH(AllProteins!H650,Genomes!$B:$B,0)))</f>
        <v>38</v>
      </c>
      <c r="K650" t="str">
        <f>INDEX(Genomes!$J:$J,(MATCH(AllProteins!H650,Genomes!$B:$B,0)))</f>
        <v>Y</v>
      </c>
    </row>
    <row r="651" spans="1:11" x14ac:dyDescent="0.2">
      <c r="A651">
        <f>INDEX(CoreProteinGroups!A:A,MATCH(B651,CoreProteinGroups!B:B,0))</f>
        <v>11</v>
      </c>
      <c r="B651" s="1" t="s">
        <v>1145</v>
      </c>
      <c r="C651" t="str">
        <f>VLOOKUP(B651,CoreProteinGroups!$B:$C,2,FALSE)</f>
        <v>small capping enzyme</v>
      </c>
      <c r="D651" t="s">
        <v>1164</v>
      </c>
      <c r="E651" s="6" t="str">
        <f t="shared" si="10"/>
        <v>PROT:ALA62403.1</v>
      </c>
      <c r="F651" t="s">
        <v>1151</v>
      </c>
      <c r="G651" t="s">
        <v>39</v>
      </c>
      <c r="H651" t="s">
        <v>2692</v>
      </c>
      <c r="I651" t="str">
        <f>INDEX(Genomes!$I:$I,(MATCH(AllProteins!H651,Genomes!$B:$B,0)))</f>
        <v>KP728110-turkeypox_virus</v>
      </c>
      <c r="J651">
        <f>INDEX(Genomes!$A:$A,(MATCH(AllProteins!H651,Genomes!$B:$B,0)))</f>
        <v>51</v>
      </c>
      <c r="K651" t="str">
        <f>INDEX(Genomes!$J:$J,(MATCH(AllProteins!H651,Genomes!$B:$B,0)))</f>
        <v>Y</v>
      </c>
    </row>
    <row r="652" spans="1:11" x14ac:dyDescent="0.2">
      <c r="A652">
        <f>INDEX(CoreProteinGroups!A:A,MATCH(B652,CoreProteinGroups!B:B,0))</f>
        <v>11</v>
      </c>
      <c r="B652" s="1" t="s">
        <v>1145</v>
      </c>
      <c r="C652" t="str">
        <f>VLOOKUP(B652,CoreProteinGroups!$B:$C,2,FALSE)</f>
        <v>small capping enzyme</v>
      </c>
      <c r="D652" t="s">
        <v>1165</v>
      </c>
      <c r="E652" s="6" t="str">
        <f t="shared" si="10"/>
        <v>PROT:AAR83417.1</v>
      </c>
      <c r="F652" t="s">
        <v>1166</v>
      </c>
      <c r="G652" t="s">
        <v>42</v>
      </c>
      <c r="H652" t="s">
        <v>2657</v>
      </c>
      <c r="I652" t="str">
        <f>INDEX(Genomes!$I:$I,(MATCH(AllProteins!H652,Genomes!$B:$B,0)))</f>
        <v>AY318871-canarypox_virus</v>
      </c>
      <c r="J652">
        <f>INDEX(Genomes!$A:$A,(MATCH(AllProteins!H652,Genomes!$B:$B,0)))</f>
        <v>11</v>
      </c>
      <c r="K652" t="str">
        <f>INDEX(Genomes!$J:$J,(MATCH(AllProteins!H652,Genomes!$B:$B,0)))</f>
        <v>Y</v>
      </c>
    </row>
    <row r="653" spans="1:11" x14ac:dyDescent="0.2">
      <c r="A653">
        <f>INDEX(CoreProteinGroups!A:A,MATCH(B653,CoreProteinGroups!B:B,0))</f>
        <v>11</v>
      </c>
      <c r="B653" s="1" t="s">
        <v>1145</v>
      </c>
      <c r="C653" t="str">
        <f>VLOOKUP(B653,CoreProteinGroups!$B:$C,2,FALSE)</f>
        <v>small capping enzyme</v>
      </c>
      <c r="D653" t="s">
        <v>1167</v>
      </c>
      <c r="E653" s="6" t="str">
        <f t="shared" si="10"/>
        <v>PROT:AAF44395.1</v>
      </c>
      <c r="F653" t="s">
        <v>1168</v>
      </c>
      <c r="G653" t="s">
        <v>45</v>
      </c>
      <c r="H653" t="s">
        <v>2666</v>
      </c>
      <c r="I653" t="str">
        <f>INDEX(Genomes!$I:$I,(MATCH(AllProteins!H653,Genomes!$B:$B,0)))</f>
        <v>AF198100-fowlpox_virus</v>
      </c>
      <c r="J653">
        <f>INDEX(Genomes!$A:$A,(MATCH(AllProteins!H653,Genomes!$B:$B,0)))</f>
        <v>21</v>
      </c>
      <c r="K653" t="str">
        <f>INDEX(Genomes!$J:$J,(MATCH(AllProteins!H653,Genomes!$B:$B,0)))</f>
        <v>Y</v>
      </c>
    </row>
    <row r="654" spans="1:11" x14ac:dyDescent="0.2">
      <c r="A654">
        <f>INDEX(CoreProteinGroups!A:A,MATCH(B654,CoreProteinGroups!B:B,0))</f>
        <v>11</v>
      </c>
      <c r="B654" s="1" t="s">
        <v>1145</v>
      </c>
      <c r="C654" t="str">
        <f>VLOOKUP(B654,CoreProteinGroups!$B:$C,2,FALSE)</f>
        <v>small capping enzyme</v>
      </c>
      <c r="D654" t="s">
        <v>1169</v>
      </c>
      <c r="E654" s="6" t="str">
        <f t="shared" si="10"/>
        <v>PROT:YP_001293280.1</v>
      </c>
      <c r="F654" t="s">
        <v>1170</v>
      </c>
      <c r="G654" t="s">
        <v>153</v>
      </c>
      <c r="H654" t="s">
        <v>2644</v>
      </c>
      <c r="I654" t="str">
        <f>INDEX(Genomes!$I:$I,(MATCH(AllProteins!H654,Genomes!$B:$B,0)))</f>
        <v>NC_004003-goatpox_virus</v>
      </c>
      <c r="J654">
        <f>INDEX(Genomes!$A:$A,(MATCH(AllProteins!H654,Genomes!$B:$B,0)))</f>
        <v>23</v>
      </c>
      <c r="K654" t="str">
        <f>INDEX(Genomes!$J:$J,(MATCH(AllProteins!H654,Genomes!$B:$B,0)))</f>
        <v>Y</v>
      </c>
    </row>
    <row r="655" spans="1:11" x14ac:dyDescent="0.2">
      <c r="A655">
        <f>INDEX(CoreProteinGroups!A:A,MATCH(B655,CoreProteinGroups!B:B,0))</f>
        <v>11</v>
      </c>
      <c r="B655" s="1" t="s">
        <v>1145</v>
      </c>
      <c r="C655" t="str">
        <f>VLOOKUP(B655,CoreProteinGroups!$B:$C,2,FALSE)</f>
        <v>small capping enzyme</v>
      </c>
      <c r="D655" t="s">
        <v>1171</v>
      </c>
      <c r="E655" s="6" t="str">
        <f t="shared" si="10"/>
        <v>PROT:AAK85050.1</v>
      </c>
      <c r="F655" t="s">
        <v>1172</v>
      </c>
      <c r="G655" t="s">
        <v>48</v>
      </c>
      <c r="H655" t="s">
        <v>2669</v>
      </c>
      <c r="I655" t="str">
        <f>INDEX(Genomes!$I:$I,(MATCH(AllProteins!H655,Genomes!$B:$B,0)))</f>
        <v>AF325528-lumpy_skin_disease_virus</v>
      </c>
      <c r="J655">
        <f>INDEX(Genomes!$A:$A,(MATCH(AllProteins!H655,Genomes!$B:$B,0)))</f>
        <v>25</v>
      </c>
      <c r="K655" t="str">
        <f>INDEX(Genomes!$J:$J,(MATCH(AllProteins!H655,Genomes!$B:$B,0)))</f>
        <v>Y</v>
      </c>
    </row>
    <row r="656" spans="1:11" x14ac:dyDescent="0.2">
      <c r="A656">
        <f>INDEX(CoreProteinGroups!A:A,MATCH(B656,CoreProteinGroups!B:B,0))</f>
        <v>11</v>
      </c>
      <c r="B656" s="1" t="s">
        <v>1145</v>
      </c>
      <c r="C656" t="str">
        <f>VLOOKUP(B656,CoreProteinGroups!$B:$C,2,FALSE)</f>
        <v>small capping enzyme</v>
      </c>
      <c r="D656" t="s">
        <v>1173</v>
      </c>
      <c r="E656" s="6" t="str">
        <f t="shared" si="10"/>
        <v>PROT:NP_659661.1</v>
      </c>
      <c r="F656" t="s">
        <v>1157</v>
      </c>
      <c r="G656" t="s">
        <v>150</v>
      </c>
      <c r="H656" t="s">
        <v>2620</v>
      </c>
      <c r="I656" t="str">
        <f>INDEX(Genomes!$I:$I,(MATCH(AllProteins!H656,Genomes!$B:$B,0)))</f>
        <v>NC_004002-sheeppox_virus</v>
      </c>
      <c r="J656">
        <f>INDEX(Genomes!$A:$A,(MATCH(AllProteins!H656,Genomes!$B:$B,0)))</f>
        <v>44</v>
      </c>
      <c r="K656" t="str">
        <f>INDEX(Genomes!$J:$J,(MATCH(AllProteins!H656,Genomes!$B:$B,0)))</f>
        <v>Y</v>
      </c>
    </row>
    <row r="657" spans="1:11" x14ac:dyDescent="0.2">
      <c r="A657">
        <f>INDEX(CoreProteinGroups!A:A,MATCH(B657,CoreProteinGroups!B:B,0))</f>
        <v>11</v>
      </c>
      <c r="B657" s="1" t="s">
        <v>1145</v>
      </c>
      <c r="C657" t="str">
        <f>VLOOKUP(B657,CoreProteinGroups!$B:$C,2,FALSE)</f>
        <v>small capping enzyme</v>
      </c>
      <c r="D657" t="s">
        <v>1174</v>
      </c>
      <c r="E657" s="6" t="str">
        <f t="shared" si="10"/>
        <v>PROT:AST09308.1</v>
      </c>
      <c r="F657" t="s">
        <v>1148</v>
      </c>
      <c r="G657" t="s">
        <v>50</v>
      </c>
      <c r="H657" t="s">
        <v>2671</v>
      </c>
      <c r="I657" t="str">
        <f>INDEX(Genomes!$I:$I,(MATCH(AllProteins!H657,Genomes!$B:$B,0)))</f>
        <v>MF001304-Murmansk_poxvirus</v>
      </c>
      <c r="J657">
        <f>INDEX(Genomes!$A:$A,(MATCH(AllProteins!H657,Genomes!$B:$B,0)))</f>
        <v>27</v>
      </c>
      <c r="K657" t="str">
        <f>INDEX(Genomes!$J:$J,(MATCH(AllProteins!H657,Genomes!$B:$B,0)))</f>
        <v>Y</v>
      </c>
    </row>
    <row r="658" spans="1:11" x14ac:dyDescent="0.2">
      <c r="A658">
        <f>INDEX(CoreProteinGroups!A:A,MATCH(B658,CoreProteinGroups!B:B,0))</f>
        <v>11</v>
      </c>
      <c r="B658" s="1" t="s">
        <v>1145</v>
      </c>
      <c r="C658" t="str">
        <f>VLOOKUP(B658,CoreProteinGroups!$B:$C,2,FALSE)</f>
        <v>small capping enzyme</v>
      </c>
      <c r="D658" t="s">
        <v>1175</v>
      </c>
      <c r="E658" s="6" t="str">
        <f t="shared" si="10"/>
        <v>PROT:AEN03688.1</v>
      </c>
      <c r="F658" t="s">
        <v>1176</v>
      </c>
      <c r="G658" t="s">
        <v>52</v>
      </c>
      <c r="H658" t="s">
        <v>2698</v>
      </c>
      <c r="I658" t="str">
        <f>INDEX(Genomes!$I:$I,(MATCH(AllProteins!H658,Genomes!$B:$B,0)))</f>
        <v>HQ849551-yokapox_virus</v>
      </c>
      <c r="J658">
        <f>INDEX(Genomes!$A:$A,(MATCH(AllProteins!H658,Genomes!$B:$B,0)))</f>
        <v>57</v>
      </c>
      <c r="K658" t="str">
        <f>INDEX(Genomes!$J:$J,(MATCH(AllProteins!H658,Genomes!$B:$B,0)))</f>
        <v>Y</v>
      </c>
    </row>
    <row r="659" spans="1:11" x14ac:dyDescent="0.2">
      <c r="A659">
        <f>INDEX(CoreProteinGroups!A:A,MATCH(B659,CoreProteinGroups!B:B,0))</f>
        <v>11</v>
      </c>
      <c r="B659" s="1" t="s">
        <v>1145</v>
      </c>
      <c r="C659" t="str">
        <f>VLOOKUP(B659,CoreProteinGroups!$B:$C,2,FALSE)</f>
        <v>small capping enzyme</v>
      </c>
      <c r="D659" t="s">
        <v>1177</v>
      </c>
      <c r="E659" s="6" t="str">
        <f t="shared" si="10"/>
        <v>PROT:ABI99253.1</v>
      </c>
      <c r="F659" t="s">
        <v>1178</v>
      </c>
      <c r="G659" t="s">
        <v>54</v>
      </c>
      <c r="H659" t="s">
        <v>2661</v>
      </c>
      <c r="I659" t="str">
        <f>INDEX(Genomes!$I:$I,(MATCH(AllProteins!H659,Genomes!$B:$B,0)))</f>
        <v>AY689436-mule_deerpox_virus</v>
      </c>
      <c r="J659">
        <f>INDEX(Genomes!$A:$A,(MATCH(AllProteins!H659,Genomes!$B:$B,0)))</f>
        <v>15</v>
      </c>
      <c r="K659" t="str">
        <f>INDEX(Genomes!$J:$J,(MATCH(AllProteins!H659,Genomes!$B:$B,0)))</f>
        <v>Y</v>
      </c>
    </row>
    <row r="660" spans="1:11" x14ac:dyDescent="0.2">
      <c r="A660">
        <f>INDEX(CoreProteinGroups!A:A,MATCH(B660,CoreProteinGroups!B:B,0))</f>
        <v>11</v>
      </c>
      <c r="B660" s="1" t="s">
        <v>1145</v>
      </c>
      <c r="C660" t="str">
        <f>VLOOKUP(B660,CoreProteinGroups!$B:$C,2,FALSE)</f>
        <v>small capping enzyme</v>
      </c>
      <c r="D660" t="s">
        <v>1179</v>
      </c>
      <c r="E660" s="6" t="str">
        <f t="shared" si="10"/>
        <v>PROT:ABJ09010.1</v>
      </c>
      <c r="F660" t="s">
        <v>1148</v>
      </c>
      <c r="G660" t="s">
        <v>56</v>
      </c>
      <c r="H660" t="s">
        <v>2677</v>
      </c>
      <c r="I660" t="str">
        <f>INDEX(Genomes!$I:$I,(MATCH(AllProteins!H660,Genomes!$B:$B,0)))</f>
        <v>DQ356948-Nile_crocodilepox_virus</v>
      </c>
      <c r="J660">
        <f>INDEX(Genomes!$A:$A,(MATCH(AllProteins!H660,Genomes!$B:$B,0)))</f>
        <v>34</v>
      </c>
      <c r="K660" t="str">
        <f>INDEX(Genomes!$J:$J,(MATCH(AllProteins!H660,Genomes!$B:$B,0)))</f>
        <v>Y</v>
      </c>
    </row>
    <row r="661" spans="1:11" x14ac:dyDescent="0.2">
      <c r="A661">
        <f>INDEX(CoreProteinGroups!A:A,MATCH(B661,CoreProteinGroups!B:B,0))</f>
        <v>11</v>
      </c>
      <c r="B661" s="1" t="s">
        <v>1145</v>
      </c>
      <c r="C661" t="str">
        <f>VLOOKUP(B661,CoreProteinGroups!$B:$C,2,FALSE)</f>
        <v>small capping enzyme</v>
      </c>
      <c r="D661" t="s">
        <v>1180</v>
      </c>
      <c r="E661" s="6" t="str">
        <f t="shared" si="10"/>
        <v>PROT:AAF14975.1</v>
      </c>
      <c r="F661" t="s">
        <v>1181</v>
      </c>
      <c r="G661" t="s">
        <v>2584</v>
      </c>
      <c r="H661" t="s">
        <v>2676</v>
      </c>
      <c r="I661" t="str">
        <f>INDEX(Genomes!$I:$I,(MATCH(AllProteins!H661,Genomes!$B:$B,0)))</f>
        <v>AF170726-myxoma_virus</v>
      </c>
      <c r="J661">
        <f>INDEX(Genomes!$A:$A,(MATCH(AllProteins!H661,Genomes!$B:$B,0)))</f>
        <v>32</v>
      </c>
      <c r="K661" t="str">
        <f>INDEX(Genomes!$J:$J,(MATCH(AllProteins!H661,Genomes!$B:$B,0)))</f>
        <v>Y</v>
      </c>
    </row>
    <row r="662" spans="1:11" x14ac:dyDescent="0.2">
      <c r="A662">
        <f>INDEX(CoreProteinGroups!A:A,MATCH(B662,CoreProteinGroups!B:B,0))</f>
        <v>11</v>
      </c>
      <c r="B662" s="1" t="s">
        <v>1145</v>
      </c>
      <c r="C662" t="str">
        <f>VLOOKUP(B662,CoreProteinGroups!$B:$C,2,FALSE)</f>
        <v>small capping enzyme</v>
      </c>
      <c r="D662" t="s">
        <v>1182</v>
      </c>
      <c r="E662" s="6" t="str">
        <f t="shared" si="10"/>
        <v>PROT:AFU77351.1</v>
      </c>
      <c r="F662" t="s">
        <v>1181</v>
      </c>
      <c r="G662" t="s">
        <v>2553</v>
      </c>
      <c r="H662" t="s">
        <v>2646</v>
      </c>
      <c r="I662" t="str">
        <f>INDEX(Genomes!$I:$I,(MATCH(AllProteins!H662,Genomes!$B:$B,0)))</f>
        <v>JX565564-myxoma_virus_isolate_BRK_897</v>
      </c>
      <c r="J662">
        <f>INDEX(Genomes!$A:$A,(MATCH(AllProteins!H662,Genomes!$B:$B,0)))</f>
        <v>33</v>
      </c>
      <c r="K662" t="str">
        <f>INDEX(Genomes!$J:$J,(MATCH(AllProteins!H662,Genomes!$B:$B,0)))</f>
        <v>N</v>
      </c>
    </row>
    <row r="663" spans="1:11" x14ac:dyDescent="0.2">
      <c r="A663">
        <f>INDEX(CoreProteinGroups!A:A,MATCH(B663,CoreProteinGroups!B:B,0))</f>
        <v>11</v>
      </c>
      <c r="B663" s="1" t="s">
        <v>1145</v>
      </c>
      <c r="C663" t="str">
        <f>VLOOKUP(B663,CoreProteinGroups!$B:$C,2,FALSE)</f>
        <v>small capping enzyme</v>
      </c>
      <c r="D663" t="s">
        <v>1183</v>
      </c>
      <c r="E663" s="6" t="str">
        <f t="shared" si="10"/>
        <v>PROT:AAF17971.1</v>
      </c>
      <c r="F663" t="s">
        <v>1184</v>
      </c>
      <c r="G663" t="s">
        <v>62</v>
      </c>
      <c r="H663" t="s">
        <v>2685</v>
      </c>
      <c r="I663" t="str">
        <f>INDEX(Genomes!$I:$I,(MATCH(AllProteins!H663,Genomes!$B:$B,0)))</f>
        <v>AF170722-rabbit_fibroma_virus</v>
      </c>
      <c r="J663">
        <f>INDEX(Genomes!$A:$A,(MATCH(AllProteins!H663,Genomes!$B:$B,0)))</f>
        <v>43</v>
      </c>
      <c r="K663" t="str">
        <f>INDEX(Genomes!$J:$J,(MATCH(AllProteins!H663,Genomes!$B:$B,0)))</f>
        <v>Y</v>
      </c>
    </row>
    <row r="664" spans="1:11" x14ac:dyDescent="0.2">
      <c r="A664">
        <f>INDEX(CoreProteinGroups!A:A,MATCH(B664,CoreProteinGroups!B:B,0))</f>
        <v>11</v>
      </c>
      <c r="B664" s="1" t="s">
        <v>1145</v>
      </c>
      <c r="C664" t="str">
        <f>VLOOKUP(B664,CoreProteinGroups!$B:$C,2,FALSE)</f>
        <v>small capping enzyme</v>
      </c>
      <c r="D664" t="s">
        <v>1185</v>
      </c>
      <c r="E664" s="6" t="str">
        <f t="shared" si="10"/>
        <v>PROT:AAC55229.1</v>
      </c>
      <c r="F664" t="s">
        <v>1186</v>
      </c>
      <c r="G664" t="s">
        <v>65</v>
      </c>
      <c r="H664" t="s">
        <v>2670</v>
      </c>
      <c r="I664" t="str">
        <f>INDEX(Genomes!$I:$I,(MATCH(AllProteins!H664,Genomes!$B:$B,0)))</f>
        <v>U60315-molluscum_contagiosum_virus</v>
      </c>
      <c r="J664">
        <f>INDEX(Genomes!$A:$A,(MATCH(AllProteins!H664,Genomes!$B:$B,0)))</f>
        <v>26</v>
      </c>
      <c r="K664" t="str">
        <f>INDEX(Genomes!$J:$J,(MATCH(AllProteins!H664,Genomes!$B:$B,0)))</f>
        <v>Y</v>
      </c>
    </row>
    <row r="665" spans="1:11" x14ac:dyDescent="0.2">
      <c r="A665">
        <f>INDEX(CoreProteinGroups!A:A,MATCH(B665,CoreProteinGroups!B:B,0))</f>
        <v>11</v>
      </c>
      <c r="B665" s="1" t="s">
        <v>1145</v>
      </c>
      <c r="C665" t="str">
        <f>VLOOKUP(B665,CoreProteinGroups!$B:$C,2,FALSE)</f>
        <v>small capping enzyme</v>
      </c>
      <c r="D665" t="s">
        <v>1187</v>
      </c>
      <c r="E665" s="6" t="str">
        <f t="shared" si="10"/>
        <v>PROT:AYN64683.1</v>
      </c>
      <c r="F665" t="s">
        <v>1188</v>
      </c>
      <c r="G665" t="s">
        <v>68</v>
      </c>
      <c r="H665" t="s">
        <v>2647</v>
      </c>
      <c r="I665" t="str">
        <f>INDEX(Genomes!$I:$I,(MATCH(AllProteins!H665,Genomes!$B:$B,0)))</f>
        <v>MH816996-orthopoxvirus_abatino</v>
      </c>
      <c r="J665">
        <f>INDEX(Genomes!$A:$A,(MATCH(AllProteins!H665,Genomes!$B:$B,0)))</f>
        <v>1</v>
      </c>
      <c r="K665" t="str">
        <f>INDEX(Genomes!$J:$J,(MATCH(AllProteins!H665,Genomes!$B:$B,0)))</f>
        <v>Y</v>
      </c>
    </row>
    <row r="666" spans="1:11" x14ac:dyDescent="0.2">
      <c r="A666">
        <f>INDEX(CoreProteinGroups!A:A,MATCH(B666,CoreProteinGroups!B:B,0))</f>
        <v>11</v>
      </c>
      <c r="B666" s="1" t="s">
        <v>1145</v>
      </c>
      <c r="C666" t="str">
        <f>VLOOKUP(B666,CoreProteinGroups!$B:$C,2,FALSE)</f>
        <v>small capping enzyme</v>
      </c>
      <c r="D666" t="s">
        <v>1189</v>
      </c>
      <c r="E666" s="6" t="str">
        <f t="shared" si="10"/>
        <v>PROT:AXN74911.1</v>
      </c>
      <c r="F666" t="s">
        <v>1148</v>
      </c>
      <c r="G666" t="s">
        <v>70</v>
      </c>
      <c r="H666" t="s">
        <v>2650</v>
      </c>
      <c r="I666" t="str">
        <f>INDEX(Genomes!$I:$I,(MATCH(AllProteins!H666,Genomes!$B:$B,0)))</f>
        <v>MH607141-Akhmeta_virus</v>
      </c>
      <c r="J666">
        <f>INDEX(Genomes!$A:$A,(MATCH(AllProteins!H666,Genomes!$B:$B,0)))</f>
        <v>4</v>
      </c>
      <c r="K666" t="str">
        <f>INDEX(Genomes!$J:$J,(MATCH(AllProteins!H666,Genomes!$B:$B,0)))</f>
        <v>Y</v>
      </c>
    </row>
    <row r="667" spans="1:11" x14ac:dyDescent="0.2">
      <c r="A667">
        <f>INDEX(CoreProteinGroups!A:A,MATCH(B667,CoreProteinGroups!B:B,0))</f>
        <v>11</v>
      </c>
      <c r="B667" s="1" t="s">
        <v>1145</v>
      </c>
      <c r="C667" t="str">
        <f>VLOOKUP(B667,CoreProteinGroups!$B:$C,2,FALSE)</f>
        <v>small capping enzyme</v>
      </c>
      <c r="D667" t="s">
        <v>1190</v>
      </c>
      <c r="E667" s="6" t="str">
        <f t="shared" si="10"/>
        <v>PROT:ABH08224.1</v>
      </c>
      <c r="F667" t="s">
        <v>1191</v>
      </c>
      <c r="G667" t="s">
        <v>73</v>
      </c>
      <c r="H667" t="s">
        <v>2668</v>
      </c>
      <c r="I667" t="str">
        <f>INDEX(Genomes!$I:$I,(MATCH(AllProteins!H667,Genomes!$B:$B,0)))</f>
        <v>DQ792504-horsepox_virus</v>
      </c>
      <c r="J667">
        <f>INDEX(Genomes!$A:$A,(MATCH(AllProteins!H667,Genomes!$B:$B,0)))</f>
        <v>24</v>
      </c>
      <c r="K667" t="str">
        <f>INDEX(Genomes!$J:$J,(MATCH(AllProteins!H667,Genomes!$B:$B,0)))</f>
        <v>Y</v>
      </c>
    </row>
    <row r="668" spans="1:11" x14ac:dyDescent="0.2">
      <c r="A668">
        <f>INDEX(CoreProteinGroups!A:A,MATCH(B668,CoreProteinGroups!B:B,0))</f>
        <v>11</v>
      </c>
      <c r="B668" s="1" t="s">
        <v>1145</v>
      </c>
      <c r="C668" t="str">
        <f>VLOOKUP(B668,CoreProteinGroups!$B:$C,2,FALSE)</f>
        <v>small capping enzyme</v>
      </c>
      <c r="D668" t="s">
        <v>1192</v>
      </c>
      <c r="E668" s="6" t="str">
        <f t="shared" si="10"/>
        <v>PROT:AAL73822.1</v>
      </c>
      <c r="F668" t="s">
        <v>1148</v>
      </c>
      <c r="G668" t="s">
        <v>79</v>
      </c>
      <c r="H668" t="s">
        <v>2654</v>
      </c>
      <c r="I668" t="str">
        <f>INDEX(Genomes!$I:$I,(MATCH(AllProteins!H668,Genomes!$B:$B,0)))</f>
        <v>AF438165-camelpox_virus</v>
      </c>
      <c r="J668">
        <f>INDEX(Genomes!$A:$A,(MATCH(AllProteins!H668,Genomes!$B:$B,0)))</f>
        <v>8</v>
      </c>
      <c r="K668" t="str">
        <f>INDEX(Genomes!$J:$J,(MATCH(AllProteins!H668,Genomes!$B:$B,0)))</f>
        <v>Y</v>
      </c>
    </row>
    <row r="669" spans="1:11" x14ac:dyDescent="0.2">
      <c r="A669">
        <f>INDEX(CoreProteinGroups!A:A,MATCH(B669,CoreProteinGroups!B:B,0))</f>
        <v>11</v>
      </c>
      <c r="B669" s="1" t="s">
        <v>1145</v>
      </c>
      <c r="C669" t="str">
        <f>VLOOKUP(B669,CoreProteinGroups!$B:$C,2,FALSE)</f>
        <v>small capping enzyme</v>
      </c>
      <c r="D669" t="s">
        <v>1193</v>
      </c>
      <c r="E669" s="6" t="str">
        <f t="shared" si="10"/>
        <v>PROT:AAG37595.1</v>
      </c>
      <c r="F669" t="s">
        <v>1194</v>
      </c>
      <c r="G669" t="s">
        <v>76</v>
      </c>
      <c r="H669" t="s">
        <v>2655</v>
      </c>
      <c r="I669" t="str">
        <f>INDEX(Genomes!$I:$I,(MATCH(AllProteins!H669,Genomes!$B:$B,0)))</f>
        <v>AY009089-camelpox_virus_CMS</v>
      </c>
      <c r="J669">
        <f>INDEX(Genomes!$A:$A,(MATCH(AllProteins!H669,Genomes!$B:$B,0)))</f>
        <v>9</v>
      </c>
      <c r="K669" t="str">
        <f>INDEX(Genomes!$J:$J,(MATCH(AllProteins!H669,Genomes!$B:$B,0)))</f>
        <v>N</v>
      </c>
    </row>
    <row r="670" spans="1:11" x14ac:dyDescent="0.2">
      <c r="A670">
        <f>INDEX(CoreProteinGroups!A:A,MATCH(B670,CoreProteinGroups!B:B,0))</f>
        <v>11</v>
      </c>
      <c r="B670" s="1" t="s">
        <v>1145</v>
      </c>
      <c r="C670" t="str">
        <f>VLOOKUP(B670,CoreProteinGroups!$B:$C,2,FALSE)</f>
        <v>small capping enzyme</v>
      </c>
      <c r="D670" t="s">
        <v>1195</v>
      </c>
      <c r="E670" s="6" t="str">
        <f t="shared" si="10"/>
        <v>PROT:AAM13571.1</v>
      </c>
      <c r="F670" t="s">
        <v>1196</v>
      </c>
      <c r="G670" t="s">
        <v>82</v>
      </c>
      <c r="H670" t="s">
        <v>2659</v>
      </c>
      <c r="I670" t="str">
        <f>INDEX(Genomes!$I:$I,(MATCH(AllProteins!H670,Genomes!$B:$B,0)))</f>
        <v>AF482758-cowpox_virus</v>
      </c>
      <c r="J670">
        <f>INDEX(Genomes!$A:$A,(MATCH(AllProteins!H670,Genomes!$B:$B,0)))</f>
        <v>13</v>
      </c>
      <c r="K670" t="str">
        <f>INDEX(Genomes!$J:$J,(MATCH(AllProteins!H670,Genomes!$B:$B,0)))</f>
        <v>Y</v>
      </c>
    </row>
    <row r="671" spans="1:11" x14ac:dyDescent="0.2">
      <c r="A671">
        <f>INDEX(CoreProteinGroups!A:A,MATCH(B671,CoreProteinGroups!B:B,0))</f>
        <v>11</v>
      </c>
      <c r="B671" s="1" t="s">
        <v>1145</v>
      </c>
      <c r="C671" t="str">
        <f>VLOOKUP(B671,CoreProteinGroups!$B:$C,2,FALSE)</f>
        <v>small capping enzyme</v>
      </c>
      <c r="D671" t="s">
        <v>1197</v>
      </c>
      <c r="E671" s="6" t="str">
        <f t="shared" si="10"/>
        <v>PROT:AAM92405.1</v>
      </c>
      <c r="F671" t="s">
        <v>1198</v>
      </c>
      <c r="G671" t="s">
        <v>85</v>
      </c>
      <c r="H671" t="s">
        <v>2662</v>
      </c>
      <c r="I671" t="str">
        <f>INDEX(Genomes!$I:$I,(MATCH(AllProteins!H671,Genomes!$B:$B,0)))</f>
        <v>AF012825-ectromelia_virus</v>
      </c>
      <c r="J671">
        <f>INDEX(Genomes!$A:$A,(MATCH(AllProteins!H671,Genomes!$B:$B,0)))</f>
        <v>16</v>
      </c>
      <c r="K671" t="str">
        <f>INDEX(Genomes!$J:$J,(MATCH(AllProteins!H671,Genomes!$B:$B,0)))</f>
        <v>Y</v>
      </c>
    </row>
    <row r="672" spans="1:11" x14ac:dyDescent="0.2">
      <c r="A672">
        <f>INDEX(CoreProteinGroups!A:A,MATCH(B672,CoreProteinGroups!B:B,0))</f>
        <v>11</v>
      </c>
      <c r="B672" s="1" t="s">
        <v>1145</v>
      </c>
      <c r="C672" t="str">
        <f>VLOOKUP(B672,CoreProteinGroups!$B:$C,2,FALSE)</f>
        <v>small capping enzyme</v>
      </c>
      <c r="D672" t="s">
        <v>1199</v>
      </c>
      <c r="E672" s="6" t="str">
        <f t="shared" si="10"/>
        <v>PROT:AFH54664.1</v>
      </c>
      <c r="F672" t="s">
        <v>1146</v>
      </c>
      <c r="G672" t="s">
        <v>87</v>
      </c>
      <c r="H672" t="s">
        <v>2619</v>
      </c>
      <c r="I672" t="str">
        <f>INDEX(Genomes!$I:$I,(MATCH(AllProteins!H672,Genomes!$B:$B,0)))</f>
        <v>JQ410350-ectromelia_virus_strain_ERPV</v>
      </c>
      <c r="J672">
        <f>INDEX(Genomes!$A:$A,(MATCH(AllProteins!H672,Genomes!$B:$B,0)))</f>
        <v>17</v>
      </c>
      <c r="K672" t="str">
        <f>INDEX(Genomes!$J:$J,(MATCH(AllProteins!H672,Genomes!$B:$B,0)))</f>
        <v>N</v>
      </c>
    </row>
    <row r="673" spans="1:11" x14ac:dyDescent="0.2">
      <c r="A673">
        <f>INDEX(CoreProteinGroups!A:A,MATCH(B673,CoreProteinGroups!B:B,0))</f>
        <v>11</v>
      </c>
      <c r="B673" s="1" t="s">
        <v>1145</v>
      </c>
      <c r="C673" t="str">
        <f>VLOOKUP(B673,CoreProteinGroups!$B:$C,2,FALSE)</f>
        <v>small capping enzyme</v>
      </c>
      <c r="D673" t="s">
        <v>1200</v>
      </c>
      <c r="E673" s="6" t="str">
        <f t="shared" si="10"/>
        <v>PROT:AAL40567.1</v>
      </c>
      <c r="F673" t="s">
        <v>1201</v>
      </c>
      <c r="G673" t="s">
        <v>90</v>
      </c>
      <c r="H673" t="s">
        <v>2673</v>
      </c>
      <c r="I673" t="str">
        <f>INDEX(Genomes!$I:$I,(MATCH(AllProteins!H673,Genomes!$B:$B,0)))</f>
        <v>AF380138-monkeypox_virus_(clade_I)</v>
      </c>
      <c r="J673">
        <f>INDEX(Genomes!$A:$A,(MATCH(AllProteins!H673,Genomes!$B:$B,0)))</f>
        <v>29</v>
      </c>
      <c r="K673" t="str">
        <f>INDEX(Genomes!$J:$J,(MATCH(AllProteins!H673,Genomes!$B:$B,0)))</f>
        <v>Y</v>
      </c>
    </row>
    <row r="674" spans="1:11" x14ac:dyDescent="0.2">
      <c r="A674">
        <f>INDEX(CoreProteinGroups!A:A,MATCH(B674,CoreProteinGroups!B:B,0))</f>
        <v>11</v>
      </c>
      <c r="B674" s="1" t="s">
        <v>1145</v>
      </c>
      <c r="C674" t="str">
        <f>VLOOKUP(B674,CoreProteinGroups!$B:$C,2,FALSE)</f>
        <v>small capping enzyme</v>
      </c>
      <c r="D674" t="s">
        <v>1202</v>
      </c>
      <c r="E674" s="6" t="str">
        <f t="shared" si="10"/>
        <v>PROT:AAX09204.1</v>
      </c>
      <c r="F674" t="s">
        <v>1203</v>
      </c>
      <c r="G674" t="s">
        <v>93</v>
      </c>
      <c r="H674" t="s">
        <v>2672</v>
      </c>
      <c r="I674" t="str">
        <f>INDEX(Genomes!$I:$I,(MATCH(AllProteins!H674,Genomes!$B:$B,0)))</f>
        <v>AY753185-monkeypox_virus_(clade_IIa)</v>
      </c>
      <c r="J674">
        <f>INDEX(Genomes!$A:$A,(MATCH(AllProteins!H674,Genomes!$B:$B,0)))</f>
        <v>28</v>
      </c>
      <c r="K674" t="str">
        <f>INDEX(Genomes!$J:$J,(MATCH(AllProteins!H674,Genomes!$B:$B,0)))</f>
        <v>Y</v>
      </c>
    </row>
    <row r="675" spans="1:11" x14ac:dyDescent="0.2">
      <c r="A675">
        <f>INDEX(CoreProteinGroups!A:A,MATCH(B675,CoreProteinGroups!B:B,0))</f>
        <v>11</v>
      </c>
      <c r="B675" s="1" t="s">
        <v>1145</v>
      </c>
      <c r="C675" t="str">
        <f>VLOOKUP(B675,CoreProteinGroups!$B:$C,2,FALSE)</f>
        <v>small capping enzyme</v>
      </c>
      <c r="D675" t="s">
        <v>1204</v>
      </c>
      <c r="E675" s="6" t="str">
        <f t="shared" si="10"/>
        <v>PROT:AKJ93746.1</v>
      </c>
      <c r="F675" t="s">
        <v>1205</v>
      </c>
      <c r="G675" t="s">
        <v>95</v>
      </c>
      <c r="H675" t="s">
        <v>2683</v>
      </c>
      <c r="I675" t="str">
        <f>INDEX(Genomes!$I:$I,(MATCH(AllProteins!H675,Genomes!$B:$B,0)))</f>
        <v>KP143769-raccoonpox_virus</v>
      </c>
      <c r="J675">
        <f>INDEX(Genomes!$A:$A,(MATCH(AllProteins!H675,Genomes!$B:$B,0)))</f>
        <v>41</v>
      </c>
      <c r="K675" t="str">
        <f>INDEX(Genomes!$J:$J,(MATCH(AllProteins!H675,Genomes!$B:$B,0)))</f>
        <v>Y</v>
      </c>
    </row>
    <row r="676" spans="1:11" x14ac:dyDescent="0.2">
      <c r="A676">
        <f>INDEX(CoreProteinGroups!A:A,MATCH(B676,CoreProteinGroups!B:B,0))</f>
        <v>11</v>
      </c>
      <c r="B676" s="1" t="s">
        <v>1145</v>
      </c>
      <c r="C676" t="str">
        <f>VLOOKUP(B676,CoreProteinGroups!$B:$C,2,FALSE)</f>
        <v>small capping enzyme</v>
      </c>
      <c r="D676" t="s">
        <v>1206</v>
      </c>
      <c r="E676" s="6" t="str">
        <f t="shared" si="10"/>
        <v>PROT:AOP31595.1</v>
      </c>
      <c r="F676" t="s">
        <v>1148</v>
      </c>
      <c r="G676" t="s">
        <v>97</v>
      </c>
      <c r="H676" t="s">
        <v>2686</v>
      </c>
      <c r="I676" t="str">
        <f>INDEX(Genomes!$I:$I,(MATCH(AllProteins!H676,Genomes!$B:$B,0)))</f>
        <v>KU749310-skunkpox_virus</v>
      </c>
      <c r="J676">
        <f>INDEX(Genomes!$A:$A,(MATCH(AllProteins!H676,Genomes!$B:$B,0)))</f>
        <v>45</v>
      </c>
      <c r="K676" t="str">
        <f>INDEX(Genomes!$J:$J,(MATCH(AllProteins!H676,Genomes!$B:$B,0)))</f>
        <v>Y</v>
      </c>
    </row>
    <row r="677" spans="1:11" x14ac:dyDescent="0.2">
      <c r="A677">
        <f>INDEX(CoreProteinGroups!A:A,MATCH(B677,CoreProteinGroups!B:B,0))</f>
        <v>11</v>
      </c>
      <c r="B677" s="1" t="s">
        <v>1145</v>
      </c>
      <c r="C677" t="str">
        <f>VLOOKUP(B677,CoreProteinGroups!$B:$C,2,FALSE)</f>
        <v>small capping enzyme</v>
      </c>
      <c r="D677" t="s">
        <v>1207</v>
      </c>
      <c r="E677" s="6" t="str">
        <f t="shared" si="10"/>
        <v>PROT:ABD97685.1</v>
      </c>
      <c r="F677" t="s">
        <v>1176</v>
      </c>
      <c r="G677" t="s">
        <v>99</v>
      </c>
      <c r="H677" t="s">
        <v>2691</v>
      </c>
      <c r="I677" t="str">
        <f>INDEX(Genomes!$I:$I,(MATCH(AllProteins!H677,Genomes!$B:$B,0)))</f>
        <v>DQ437594-taterapox_virus</v>
      </c>
      <c r="J677">
        <f>INDEX(Genomes!$A:$A,(MATCH(AllProteins!H677,Genomes!$B:$B,0)))</f>
        <v>50</v>
      </c>
      <c r="K677" t="str">
        <f>INDEX(Genomes!$J:$J,(MATCH(AllProteins!H677,Genomes!$B:$B,0)))</f>
        <v>Y</v>
      </c>
    </row>
    <row r="678" spans="1:11" x14ac:dyDescent="0.2">
      <c r="A678">
        <f>INDEX(CoreProteinGroups!A:A,MATCH(B678,CoreProteinGroups!B:B,0))</f>
        <v>11</v>
      </c>
      <c r="B678" s="1" t="s">
        <v>1145</v>
      </c>
      <c r="C678" t="str">
        <f>VLOOKUP(B678,CoreProteinGroups!$B:$C,2,FALSE)</f>
        <v>small capping enzyme</v>
      </c>
      <c r="D678" t="s">
        <v>1208</v>
      </c>
      <c r="E678" s="6" t="str">
        <f t="shared" si="10"/>
        <v>PROT:AAO89396.1</v>
      </c>
      <c r="F678" t="s">
        <v>1176</v>
      </c>
      <c r="G678" t="s">
        <v>101</v>
      </c>
      <c r="H678" t="s">
        <v>2693</v>
      </c>
      <c r="I678" t="str">
        <f>INDEX(Genomes!$I:$I,(MATCH(AllProteins!H678,Genomes!$B:$B,0)))</f>
        <v>AY243312-vaccinia_virus</v>
      </c>
      <c r="J678">
        <f>INDEX(Genomes!$A:$A,(MATCH(AllProteins!H678,Genomes!$B:$B,0)))</f>
        <v>52</v>
      </c>
      <c r="K678" t="str">
        <f>INDEX(Genomes!$J:$J,(MATCH(AllProteins!H678,Genomes!$B:$B,0)))</f>
        <v>Y</v>
      </c>
    </row>
    <row r="679" spans="1:11" x14ac:dyDescent="0.2">
      <c r="A679">
        <f>INDEX(CoreProteinGroups!A:A,MATCH(B679,CoreProteinGroups!B:B,0))</f>
        <v>11</v>
      </c>
      <c r="B679" s="1" t="s">
        <v>1145</v>
      </c>
      <c r="C679" t="str">
        <f>VLOOKUP(B679,CoreProteinGroups!$B:$C,2,FALSE)</f>
        <v>small capping enzyme</v>
      </c>
      <c r="D679" t="s">
        <v>1209</v>
      </c>
      <c r="E679" s="6" t="str">
        <f t="shared" si="10"/>
        <v>PROT:CAA49043.1</v>
      </c>
      <c r="F679" t="s">
        <v>1210</v>
      </c>
      <c r="G679" t="s">
        <v>2585</v>
      </c>
      <c r="H679" t="s">
        <v>2694</v>
      </c>
      <c r="I679" t="str">
        <f>INDEX(Genomes!$I:$I,(MATCH(AllProteins!H679,Genomes!$B:$B,0)))</f>
        <v>X69198-variola_major_virus</v>
      </c>
      <c r="J679">
        <f>INDEX(Genomes!$A:$A,(MATCH(AllProteins!H679,Genomes!$B:$B,0)))</f>
        <v>53</v>
      </c>
      <c r="K679" t="str">
        <f>INDEX(Genomes!$J:$J,(MATCH(AllProteins!H679,Genomes!$B:$B,0)))</f>
        <v>Y</v>
      </c>
    </row>
    <row r="680" spans="1:11" x14ac:dyDescent="0.2">
      <c r="A680">
        <f>INDEX(CoreProteinGroups!A:A,MATCH(B680,CoreProteinGroups!B:B,0))</f>
        <v>11</v>
      </c>
      <c r="B680" s="1" t="s">
        <v>1145</v>
      </c>
      <c r="C680" t="str">
        <f>VLOOKUP(B680,CoreProteinGroups!$B:$C,2,FALSE)</f>
        <v>small capping enzyme</v>
      </c>
      <c r="D680" t="s">
        <v>1211</v>
      </c>
      <c r="E680" s="6" t="str">
        <f t="shared" si="10"/>
        <v>PROT:CAB54702.1</v>
      </c>
      <c r="F680" t="s">
        <v>1212</v>
      </c>
      <c r="G680" t="s">
        <v>106</v>
      </c>
      <c r="H680" t="s">
        <v>2695</v>
      </c>
      <c r="I680" t="str">
        <f>INDEX(Genomes!$I:$I,(MATCH(AllProteins!H680,Genomes!$B:$B,0)))</f>
        <v>Y16780-variola_minor_virus</v>
      </c>
      <c r="J680">
        <f>INDEX(Genomes!$A:$A,(MATCH(AllProteins!H680,Genomes!$B:$B,0)))</f>
        <v>54</v>
      </c>
      <c r="K680" t="str">
        <f>INDEX(Genomes!$J:$J,(MATCH(AllProteins!H680,Genomes!$B:$B,0)))</f>
        <v>Y</v>
      </c>
    </row>
    <row r="681" spans="1:11" x14ac:dyDescent="0.2">
      <c r="A681">
        <f>INDEX(CoreProteinGroups!A:A,MATCH(B681,CoreProteinGroups!B:B,0))</f>
        <v>11</v>
      </c>
      <c r="B681" s="1" t="s">
        <v>1145</v>
      </c>
      <c r="C681" t="str">
        <f>VLOOKUP(B681,CoreProteinGroups!$B:$C,2,FALSE)</f>
        <v>small capping enzyme</v>
      </c>
      <c r="D681" t="s">
        <v>1213</v>
      </c>
      <c r="E681" s="6" t="str">
        <f t="shared" si="10"/>
        <v>PROT:AOP31806.1</v>
      </c>
      <c r="F681" t="s">
        <v>1148</v>
      </c>
      <c r="G681" t="s">
        <v>108</v>
      </c>
      <c r="H681" t="s">
        <v>2696</v>
      </c>
      <c r="I681" t="str">
        <f>INDEX(Genomes!$I:$I,(MATCH(AllProteins!H681,Genomes!$B:$B,0)))</f>
        <v>KU749311-volepox_virus</v>
      </c>
      <c r="J681">
        <f>INDEX(Genomes!$A:$A,(MATCH(AllProteins!H681,Genomes!$B:$B,0)))</f>
        <v>55</v>
      </c>
      <c r="K681" t="str">
        <f>INDEX(Genomes!$J:$J,(MATCH(AllProteins!H681,Genomes!$B:$B,0)))</f>
        <v>Y</v>
      </c>
    </row>
    <row r="682" spans="1:11" x14ac:dyDescent="0.2">
      <c r="A682">
        <f>INDEX(CoreProteinGroups!A:A,MATCH(B682,CoreProteinGroups!B:B,0))</f>
        <v>11</v>
      </c>
      <c r="B682" s="1" t="s">
        <v>1145</v>
      </c>
      <c r="C682" t="str">
        <f>VLOOKUP(B682,CoreProteinGroups!$B:$C,2,FALSE)</f>
        <v>small capping enzyme</v>
      </c>
      <c r="D682" t="s">
        <v>1214</v>
      </c>
      <c r="E682" s="6" t="str">
        <f t="shared" si="10"/>
        <v>PROT:ASC55566.1</v>
      </c>
      <c r="F682" t="s">
        <v>1215</v>
      </c>
      <c r="G682" t="s">
        <v>111</v>
      </c>
      <c r="H682" t="s">
        <v>2667</v>
      </c>
      <c r="I682" t="str">
        <f>INDEX(Genomes!$I:$I,(MATCH(AllProteins!H682,Genomes!$B:$B,0)))</f>
        <v>KY382358-seal_parapoxvirus</v>
      </c>
      <c r="J682">
        <f>INDEX(Genomes!$A:$A,(MATCH(AllProteins!H682,Genomes!$B:$B,0)))</f>
        <v>22</v>
      </c>
      <c r="K682" t="str">
        <f>INDEX(Genomes!$J:$J,(MATCH(AllProteins!H682,Genomes!$B:$B,0)))</f>
        <v>Y</v>
      </c>
    </row>
    <row r="683" spans="1:11" x14ac:dyDescent="0.2">
      <c r="A683">
        <f>INDEX(CoreProteinGroups!A:A,MATCH(B683,CoreProteinGroups!B:B,0))</f>
        <v>11</v>
      </c>
      <c r="B683" s="1" t="s">
        <v>1145</v>
      </c>
      <c r="C683" t="str">
        <f>VLOOKUP(B683,CoreProteinGroups!$B:$C,2,FALSE)</f>
        <v>small capping enzyme</v>
      </c>
      <c r="D683" t="s">
        <v>1216</v>
      </c>
      <c r="E683" s="6" t="str">
        <f t="shared" si="10"/>
        <v>PROT:AAR98431.1</v>
      </c>
      <c r="F683" t="s">
        <v>1217</v>
      </c>
      <c r="G683" t="s">
        <v>114</v>
      </c>
      <c r="H683" t="s">
        <v>2652</v>
      </c>
      <c r="I683" t="str">
        <f>INDEX(Genomes!$I:$I,(MATCH(AllProteins!H683,Genomes!$B:$B,0)))</f>
        <v>AY386265-bovine_papular_stomatitis_virus</v>
      </c>
      <c r="J683">
        <f>INDEX(Genomes!$A:$A,(MATCH(AllProteins!H683,Genomes!$B:$B,0)))</f>
        <v>6</v>
      </c>
      <c r="K683" t="str">
        <f>INDEX(Genomes!$J:$J,(MATCH(AllProteins!H683,Genomes!$B:$B,0)))</f>
        <v>Y</v>
      </c>
    </row>
    <row r="684" spans="1:11" x14ac:dyDescent="0.2">
      <c r="A684">
        <f>INDEX(CoreProteinGroups!A:A,MATCH(B684,CoreProteinGroups!B:B,0))</f>
        <v>11</v>
      </c>
      <c r="B684" s="1" t="s">
        <v>1145</v>
      </c>
      <c r="C684" t="str">
        <f>VLOOKUP(B684,CoreProteinGroups!$B:$C,2,FALSE)</f>
        <v>small capping enzyme</v>
      </c>
      <c r="D684" t="s">
        <v>1218</v>
      </c>
      <c r="E684" s="6" t="str">
        <f t="shared" si="10"/>
        <v>PROT:AAR98299.1</v>
      </c>
      <c r="F684" t="s">
        <v>1217</v>
      </c>
      <c r="G684" t="s">
        <v>2702</v>
      </c>
      <c r="H684" t="s">
        <v>2678</v>
      </c>
      <c r="I684" t="str">
        <f>INDEX(Genomes!$I:$I,(MATCH(AllProteins!H684,Genomes!$B:$B,0)))</f>
        <v>AY386264-orf_virus</v>
      </c>
      <c r="J684">
        <f>INDEX(Genomes!$A:$A,(MATCH(AllProteins!H684,Genomes!$B:$B,0)))</f>
        <v>35</v>
      </c>
      <c r="K684" t="str">
        <f>INDEX(Genomes!$J:$J,(MATCH(AllProteins!H684,Genomes!$B:$B,0)))</f>
        <v>Y</v>
      </c>
    </row>
    <row r="685" spans="1:11" x14ac:dyDescent="0.2">
      <c r="A685">
        <f>INDEX(CoreProteinGroups!A:A,MATCH(B685,CoreProteinGroups!B:B,0))</f>
        <v>11</v>
      </c>
      <c r="B685" s="1" t="s">
        <v>1145</v>
      </c>
      <c r="C685" t="str">
        <f>VLOOKUP(B685,CoreProteinGroups!$B:$C,2,FALSE)</f>
        <v>small capping enzyme</v>
      </c>
      <c r="D685" t="s">
        <v>1219</v>
      </c>
      <c r="E685" s="6" t="str">
        <f t="shared" si="10"/>
        <v>PROT:ABA00591.1</v>
      </c>
      <c r="F685" t="s">
        <v>954</v>
      </c>
      <c r="G685" t="s">
        <v>2555</v>
      </c>
      <c r="H685" t="s">
        <v>2645</v>
      </c>
      <c r="I685" t="str">
        <f>INDEX(Genomes!$I:$I,(MATCH(AllProteins!H685,Genomes!$B:$B,0)))</f>
        <v>DQ184476-orf_virus_strain_NZ2</v>
      </c>
      <c r="J685">
        <f>INDEX(Genomes!$A:$A,(MATCH(AllProteins!H685,Genomes!$B:$B,0)))</f>
        <v>36</v>
      </c>
      <c r="K685" t="str">
        <f>INDEX(Genomes!$J:$J,(MATCH(AllProteins!H685,Genomes!$B:$B,0)))</f>
        <v>N</v>
      </c>
    </row>
    <row r="686" spans="1:11" x14ac:dyDescent="0.2">
      <c r="A686">
        <f>INDEX(CoreProteinGroups!A:A,MATCH(B686,CoreProteinGroups!B:B,0))</f>
        <v>11</v>
      </c>
      <c r="B686" s="1" t="s">
        <v>1145</v>
      </c>
      <c r="C686" t="str">
        <f>VLOOKUP(B686,CoreProteinGroups!$B:$C,2,FALSE)</f>
        <v>small capping enzyme</v>
      </c>
      <c r="D686" t="s">
        <v>1220</v>
      </c>
      <c r="E686" s="6" t="str">
        <f t="shared" si="10"/>
        <v>PROT:AIZ77325.1</v>
      </c>
      <c r="F686" t="s">
        <v>1221</v>
      </c>
      <c r="G686" t="s">
        <v>119</v>
      </c>
      <c r="H686" t="s">
        <v>2684</v>
      </c>
      <c r="I686" t="str">
        <f>INDEX(Genomes!$I:$I,(MATCH(AllProteins!H686,Genomes!$B:$B,0)))</f>
        <v>KM502564-parapoxvirus_red_deer</v>
      </c>
      <c r="J686">
        <f>INDEX(Genomes!$A:$A,(MATCH(AllProteins!H686,Genomes!$B:$B,0)))</f>
        <v>42</v>
      </c>
      <c r="K686" t="str">
        <f>INDEX(Genomes!$J:$J,(MATCH(AllProteins!H686,Genomes!$B:$B,0)))</f>
        <v>Y</v>
      </c>
    </row>
    <row r="687" spans="1:11" x14ac:dyDescent="0.2">
      <c r="A687">
        <f>INDEX(CoreProteinGroups!A:A,MATCH(B687,CoreProteinGroups!B:B,0))</f>
        <v>11</v>
      </c>
      <c r="B687" s="1" t="s">
        <v>1145</v>
      </c>
      <c r="C687" t="str">
        <f>VLOOKUP(B687,CoreProteinGroups!$B:$C,2,FALSE)</f>
        <v>small capping enzyme</v>
      </c>
      <c r="D687" t="s">
        <v>1222</v>
      </c>
      <c r="E687" s="6" t="str">
        <f t="shared" si="10"/>
        <v>PROT:ADC53976.1</v>
      </c>
      <c r="F687" t="s">
        <v>954</v>
      </c>
      <c r="G687" t="s">
        <v>121</v>
      </c>
      <c r="H687" t="s">
        <v>2679</v>
      </c>
      <c r="I687" t="str">
        <f>INDEX(Genomes!$I:$I,(MATCH(AllProteins!H687,Genomes!$B:$B,0)))</f>
        <v>GQ329670-pseudocowpox_virus</v>
      </c>
      <c r="J687">
        <f>INDEX(Genomes!$A:$A,(MATCH(AllProteins!H687,Genomes!$B:$B,0)))</f>
        <v>37</v>
      </c>
      <c r="K687" t="str">
        <f>INDEX(Genomes!$J:$J,(MATCH(AllProteins!H687,Genomes!$B:$B,0)))</f>
        <v>Y</v>
      </c>
    </row>
    <row r="688" spans="1:11" x14ac:dyDescent="0.2">
      <c r="A688">
        <f>INDEX(CoreProteinGroups!A:A,MATCH(B688,CoreProteinGroups!B:B,0))</f>
        <v>11</v>
      </c>
      <c r="B688" s="1" t="s">
        <v>1145</v>
      </c>
      <c r="C688" t="str">
        <f>VLOOKUP(B688,CoreProteinGroups!$B:$C,2,FALSE)</f>
        <v>small capping enzyme</v>
      </c>
      <c r="D688" t="s">
        <v>1223</v>
      </c>
      <c r="E688" s="6" t="str">
        <f t="shared" si="10"/>
        <v>PROT:AAL69825.1</v>
      </c>
      <c r="F688" t="s">
        <v>1224</v>
      </c>
      <c r="G688" t="s">
        <v>124</v>
      </c>
      <c r="H688" t="s">
        <v>2690</v>
      </c>
      <c r="I688" t="str">
        <f>INDEX(Genomes!$I:$I,(MATCH(AllProteins!H688,Genomes!$B:$B,0)))</f>
        <v>AF410153-swinepox_virus</v>
      </c>
      <c r="J688">
        <f>INDEX(Genomes!$A:$A,(MATCH(AllProteins!H688,Genomes!$B:$B,0)))</f>
        <v>49</v>
      </c>
      <c r="K688" t="str">
        <f>INDEX(Genomes!$J:$J,(MATCH(AllProteins!H688,Genomes!$B:$B,0)))</f>
        <v>Y</v>
      </c>
    </row>
    <row r="689" spans="1:11" x14ac:dyDescent="0.2">
      <c r="A689">
        <f>INDEX(CoreProteinGroups!A:A,MATCH(B689,CoreProteinGroups!B:B,0))</f>
        <v>11</v>
      </c>
      <c r="B689" s="1" t="s">
        <v>1145</v>
      </c>
      <c r="C689" t="str">
        <f>VLOOKUP(B689,CoreProteinGroups!$B:$C,2,FALSE)</f>
        <v>small capping enzyme</v>
      </c>
      <c r="D689" t="s">
        <v>1225</v>
      </c>
      <c r="E689" s="6" t="str">
        <f t="shared" si="10"/>
        <v>PROT:CAC21327.1</v>
      </c>
      <c r="F689" t="s">
        <v>1226</v>
      </c>
      <c r="G689" t="s">
        <v>127</v>
      </c>
      <c r="H689" t="s">
        <v>2699</v>
      </c>
      <c r="I689" t="str">
        <f>INDEX(Genomes!$I:$I,(MATCH(AllProteins!H689,Genomes!$B:$B,0)))</f>
        <v>AJ293568-tanapox_virus</v>
      </c>
      <c r="J689">
        <f>INDEX(Genomes!$A:$A,(MATCH(AllProteins!H689,Genomes!$B:$B,0)))</f>
        <v>58</v>
      </c>
      <c r="K689" t="str">
        <f>INDEX(Genomes!$J:$J,(MATCH(AllProteins!H689,Genomes!$B:$B,0)))</f>
        <v>Y</v>
      </c>
    </row>
    <row r="690" spans="1:11" x14ac:dyDescent="0.2">
      <c r="A690">
        <f>INDEX(CoreProteinGroups!A:A,MATCH(B690,CoreProteinGroups!B:B,0))</f>
        <v>11</v>
      </c>
      <c r="B690" s="1" t="s">
        <v>1145</v>
      </c>
      <c r="C690" t="str">
        <f>VLOOKUP(B690,CoreProteinGroups!$B:$C,2,FALSE)</f>
        <v>small capping enzyme</v>
      </c>
      <c r="D690" t="s">
        <v>1227</v>
      </c>
      <c r="E690" s="6" t="str">
        <f t="shared" si="10"/>
        <v>PROT:AAR07445.1</v>
      </c>
      <c r="F690" t="s">
        <v>1228</v>
      </c>
      <c r="G690" t="s">
        <v>130</v>
      </c>
      <c r="H690" t="s">
        <v>2700</v>
      </c>
      <c r="I690" t="str">
        <f>INDEX(Genomes!$I:$I,(MATCH(AllProteins!H690,Genomes!$B:$B,0)))</f>
        <v>AY386371-Yaba_monkey_tumor_virus</v>
      </c>
      <c r="J690">
        <f>INDEX(Genomes!$A:$A,(MATCH(AllProteins!H690,Genomes!$B:$B,0)))</f>
        <v>59</v>
      </c>
      <c r="K690" t="str">
        <f>INDEX(Genomes!$J:$J,(MATCH(AllProteins!H690,Genomes!$B:$B,0)))</f>
        <v>Y</v>
      </c>
    </row>
    <row r="691" spans="1:11" x14ac:dyDescent="0.2">
      <c r="A691">
        <f>INDEX(CoreProteinGroups!A:A,MATCH(B691,CoreProteinGroups!B:B,0))</f>
        <v>11</v>
      </c>
      <c r="B691" s="1" t="s">
        <v>1145</v>
      </c>
      <c r="C691" t="str">
        <f>VLOOKUP(B691,CoreProteinGroups!$B:$C,2,FALSE)</f>
        <v>small capping enzyme</v>
      </c>
      <c r="D691" t="s">
        <v>1229</v>
      </c>
      <c r="E691" s="6" t="str">
        <f t="shared" si="10"/>
        <v>PROT:AAC97664.1</v>
      </c>
      <c r="F691" t="s">
        <v>1230</v>
      </c>
      <c r="G691" t="s">
        <v>133</v>
      </c>
      <c r="H691" t="s">
        <v>2674</v>
      </c>
      <c r="I691" t="str">
        <f>INDEX(Genomes!$I:$I,(MATCH(AllProteins!H691,Genomes!$B:$B,0)))</f>
        <v>AF063866-Melanoplus_sanguinipes_entomopoxvirus</v>
      </c>
      <c r="J691">
        <f>INDEX(Genomes!$A:$A,(MATCH(AllProteins!H691,Genomes!$B:$B,0)))</f>
        <v>30</v>
      </c>
      <c r="K691" t="str">
        <f>INDEX(Genomes!$J:$J,(MATCH(AllProteins!H691,Genomes!$B:$B,0)))</f>
        <v>Y</v>
      </c>
    </row>
    <row r="692" spans="1:11" x14ac:dyDescent="0.2">
      <c r="A692">
        <f>INDEX(CoreProteinGroups!A:A,MATCH(B692,CoreProteinGroups!B:B,0))</f>
        <v>11</v>
      </c>
      <c r="B692" s="1" t="s">
        <v>1145</v>
      </c>
      <c r="C692" t="str">
        <f>VLOOKUP(B692,CoreProteinGroups!$B:$C,2,FALSE)</f>
        <v>small capping enzyme</v>
      </c>
      <c r="D692" t="s">
        <v>1231</v>
      </c>
      <c r="E692" s="6" t="str">
        <f t="shared" si="10"/>
        <v>PROT:BAO49409.1</v>
      </c>
      <c r="F692" t="s">
        <v>1221</v>
      </c>
      <c r="G692" t="s">
        <v>136</v>
      </c>
      <c r="H692" t="s">
        <v>2648</v>
      </c>
      <c r="I692" t="str">
        <f>INDEX(Genomes!$I:$I,(MATCH(AllProteins!H692,Genomes!$B:$B,0)))</f>
        <v>AP013055-Anomala_cuprea_entomopoxvirus</v>
      </c>
      <c r="J692">
        <f>INDEX(Genomes!$A:$A,(MATCH(AllProteins!H692,Genomes!$B:$B,0)))</f>
        <v>2</v>
      </c>
      <c r="K692" t="str">
        <f>INDEX(Genomes!$J:$J,(MATCH(AllProteins!H692,Genomes!$B:$B,0)))</f>
        <v>Y</v>
      </c>
    </row>
    <row r="693" spans="1:11" x14ac:dyDescent="0.2">
      <c r="A693">
        <f>INDEX(CoreProteinGroups!A:A,MATCH(B693,CoreProteinGroups!B:B,0))</f>
        <v>11</v>
      </c>
      <c r="B693" s="1" t="s">
        <v>1145</v>
      </c>
      <c r="C693" t="str">
        <f>VLOOKUP(B693,CoreProteinGroups!$B:$C,2,FALSE)</f>
        <v>small capping enzyme</v>
      </c>
      <c r="D693" t="s">
        <v>1232</v>
      </c>
      <c r="E693" s="6" t="str">
        <f t="shared" si="10"/>
        <v>PROT:CCU55411.1</v>
      </c>
      <c r="F693" t="s">
        <v>1148</v>
      </c>
      <c r="G693" t="s">
        <v>138</v>
      </c>
      <c r="H693" t="s">
        <v>2649</v>
      </c>
      <c r="I693" t="str">
        <f>INDEX(Genomes!$I:$I,(MATCH(AllProteins!H693,Genomes!$B:$B,0)))</f>
        <v>HF679131-Adoxophyes_honmai_entomopoxvirus</v>
      </c>
      <c r="J693">
        <f>INDEX(Genomes!$A:$A,(MATCH(AllProteins!H693,Genomes!$B:$B,0)))</f>
        <v>3</v>
      </c>
      <c r="K693" t="str">
        <f>INDEX(Genomes!$J:$J,(MATCH(AllProteins!H693,Genomes!$B:$B,0)))</f>
        <v>Y</v>
      </c>
    </row>
    <row r="694" spans="1:11" x14ac:dyDescent="0.2">
      <c r="A694">
        <f>INDEX(CoreProteinGroups!A:A,MATCH(B694,CoreProteinGroups!B:B,0))</f>
        <v>11</v>
      </c>
      <c r="B694" s="1" t="s">
        <v>1145</v>
      </c>
      <c r="C694" t="str">
        <f>VLOOKUP(B694,CoreProteinGroups!$B:$C,2,FALSE)</f>
        <v>small capping enzyme</v>
      </c>
      <c r="D694" t="s">
        <v>1233</v>
      </c>
      <c r="E694" s="6" t="str">
        <f t="shared" si="10"/>
        <v>PROT:AAG02799.1</v>
      </c>
      <c r="F694" t="s">
        <v>1234</v>
      </c>
      <c r="G694" t="s">
        <v>141</v>
      </c>
      <c r="H694" t="s">
        <v>2651</v>
      </c>
      <c r="I694" t="str">
        <f>INDEX(Genomes!$I:$I,(MATCH(AllProteins!H694,Genomes!$B:$B,0)))</f>
        <v>AF250284-Amsacta_moorei_entomopoxvirus</v>
      </c>
      <c r="J694">
        <f>INDEX(Genomes!$A:$A,(MATCH(AllProteins!H694,Genomes!$B:$B,0)))</f>
        <v>5</v>
      </c>
      <c r="K694" t="str">
        <f>INDEX(Genomes!$J:$J,(MATCH(AllProteins!H694,Genomes!$B:$B,0)))</f>
        <v>Y</v>
      </c>
    </row>
    <row r="695" spans="1:11" x14ac:dyDescent="0.2">
      <c r="A695">
        <f>INDEX(CoreProteinGroups!A:A,MATCH(B695,CoreProteinGroups!B:B,0))</f>
        <v>11</v>
      </c>
      <c r="B695" s="1" t="s">
        <v>1145</v>
      </c>
      <c r="C695" t="str">
        <f>VLOOKUP(B695,CoreProteinGroups!$B:$C,2,FALSE)</f>
        <v>small capping enzyme</v>
      </c>
      <c r="D695" t="s">
        <v>1235</v>
      </c>
      <c r="E695" s="6" t="str">
        <f t="shared" si="10"/>
        <v>PROT:CCU55717.1</v>
      </c>
      <c r="F695" t="s">
        <v>1148</v>
      </c>
      <c r="G695" t="s">
        <v>143</v>
      </c>
      <c r="H695" t="s">
        <v>2656</v>
      </c>
      <c r="I695" t="str">
        <f>INDEX(Genomes!$I:$I,(MATCH(AllProteins!H695,Genomes!$B:$B,0)))</f>
        <v>HF679132-Choristoneura_biennis_entomopoxvirus</v>
      </c>
      <c r="J695">
        <f>INDEX(Genomes!$A:$A,(MATCH(AllProteins!H695,Genomes!$B:$B,0)))</f>
        <v>10</v>
      </c>
      <c r="K695" t="str">
        <f>INDEX(Genomes!$J:$J,(MATCH(AllProteins!H695,Genomes!$B:$B,0)))</f>
        <v>Y</v>
      </c>
    </row>
    <row r="696" spans="1:11" x14ac:dyDescent="0.2">
      <c r="A696">
        <f>INDEX(CoreProteinGroups!A:A,MATCH(B696,CoreProteinGroups!B:B,0))</f>
        <v>11</v>
      </c>
      <c r="B696" s="1" t="s">
        <v>1145</v>
      </c>
      <c r="C696" t="str">
        <f>VLOOKUP(B696,CoreProteinGroups!$B:$C,2,FALSE)</f>
        <v>small capping enzyme</v>
      </c>
      <c r="D696" t="s">
        <v>1236</v>
      </c>
      <c r="E696" s="6" t="str">
        <f t="shared" si="10"/>
        <v>PROT:CCU56019.1</v>
      </c>
      <c r="F696" t="s">
        <v>1148</v>
      </c>
      <c r="G696" t="s">
        <v>145</v>
      </c>
      <c r="H696" t="s">
        <v>2660</v>
      </c>
      <c r="I696" t="str">
        <f>INDEX(Genomes!$I:$I,(MATCH(AllProteins!H696,Genomes!$B:$B,0)))</f>
        <v>HF679133-Choristoneura_rosaceana_entomopoxvirus</v>
      </c>
      <c r="J696">
        <f>INDEX(Genomes!$A:$A,(MATCH(AllProteins!H696,Genomes!$B:$B,0)))</f>
        <v>14</v>
      </c>
      <c r="K696" t="str">
        <f>INDEX(Genomes!$J:$J,(MATCH(AllProteins!H696,Genomes!$B:$B,0)))</f>
        <v>Y</v>
      </c>
    </row>
    <row r="697" spans="1:11" x14ac:dyDescent="0.2">
      <c r="A697">
        <f>INDEX(CoreProteinGroups!A:A,MATCH(B697,CoreProteinGroups!B:B,0))</f>
        <v>11</v>
      </c>
      <c r="B697" s="1" t="s">
        <v>1145</v>
      </c>
      <c r="C697" t="str">
        <f>VLOOKUP(B697,CoreProteinGroups!$B:$C,2,FALSE)</f>
        <v>small capping enzyme</v>
      </c>
      <c r="D697" t="s">
        <v>1237</v>
      </c>
      <c r="E697" s="6" t="str">
        <f t="shared" si="10"/>
        <v>PROT:CCU56313.1</v>
      </c>
      <c r="F697" t="s">
        <v>1148</v>
      </c>
      <c r="G697" t="s">
        <v>147</v>
      </c>
      <c r="H697" t="s">
        <v>2675</v>
      </c>
      <c r="I697" t="str">
        <f>INDEX(Genomes!$I:$I,(MATCH(AllProteins!H697,Genomes!$B:$B,0)))</f>
        <v>HF679134-Mythimna_separata_entomopoxvirus</v>
      </c>
      <c r="J697">
        <f>INDEX(Genomes!$A:$A,(MATCH(AllProteins!H697,Genomes!$B:$B,0)))</f>
        <v>31</v>
      </c>
      <c r="K697" t="str">
        <f>INDEX(Genomes!$J:$J,(MATCH(AllProteins!H697,Genomes!$B:$B,0)))</f>
        <v>Y</v>
      </c>
    </row>
    <row r="698" spans="1:11" x14ac:dyDescent="0.2">
      <c r="A698">
        <f>INDEX(CoreProteinGroups!A:A,MATCH(B698,CoreProteinGroups!B:B,0))</f>
        <v>13</v>
      </c>
      <c r="B698" s="1" t="s">
        <v>1238</v>
      </c>
      <c r="C698" t="str">
        <f>VLOOKUP(B698,CoreProteinGroups!$B:$C,2,FALSE)</f>
        <v>NTPase</v>
      </c>
      <c r="D698" t="s">
        <v>1240</v>
      </c>
      <c r="E698" s="6" t="str">
        <f t="shared" si="10"/>
        <v>PROT:ATI21192.1</v>
      </c>
      <c r="F698" t="s">
        <v>1241</v>
      </c>
      <c r="G698" t="s">
        <v>11</v>
      </c>
      <c r="H698" t="s">
        <v>2663</v>
      </c>
      <c r="I698" t="str">
        <f>INDEX(Genomes!$I:$I,(MATCH(AllProteins!H698,Genomes!$B:$B,0)))</f>
        <v>MF467281-Eastern_grey_kangaroopox_virus</v>
      </c>
      <c r="J698">
        <f>INDEX(Genomes!$A:$A,(MATCH(AllProteins!H698,Genomes!$B:$B,0)))</f>
        <v>18</v>
      </c>
      <c r="K698" t="str">
        <f>INDEX(Genomes!$J:$J,(MATCH(AllProteins!H698,Genomes!$B:$B,0)))</f>
        <v>Y</v>
      </c>
    </row>
    <row r="699" spans="1:11" x14ac:dyDescent="0.2">
      <c r="A699">
        <f>INDEX(CoreProteinGroups!A:A,MATCH(B699,CoreProteinGroups!B:B,0))</f>
        <v>13</v>
      </c>
      <c r="B699" s="1" t="s">
        <v>1238</v>
      </c>
      <c r="C699" t="str">
        <f>VLOOKUP(B699,CoreProteinGroups!$B:$C,2,FALSE)</f>
        <v>NTPase</v>
      </c>
      <c r="D699" t="s">
        <v>1242</v>
      </c>
      <c r="E699" s="6" t="str">
        <f t="shared" si="10"/>
        <v>PROT:AWU47126.1</v>
      </c>
      <c r="F699" t="s">
        <v>1239</v>
      </c>
      <c r="G699" t="s">
        <v>13</v>
      </c>
      <c r="H699" t="s">
        <v>2688</v>
      </c>
      <c r="I699" t="str">
        <f>INDEX(Genomes!$I:$I,(MATCH(AllProteins!H699,Genomes!$B:$B,0)))</f>
        <v>MH427217-sea_otter_poxvirus</v>
      </c>
      <c r="J699">
        <f>INDEX(Genomes!$A:$A,(MATCH(AllProteins!H699,Genomes!$B:$B,0)))</f>
        <v>47</v>
      </c>
      <c r="K699" t="str">
        <f>INDEX(Genomes!$J:$J,(MATCH(AllProteins!H699,Genomes!$B:$B,0)))</f>
        <v>Y</v>
      </c>
    </row>
    <row r="700" spans="1:11" x14ac:dyDescent="0.2">
      <c r="A700">
        <f>INDEX(CoreProteinGroups!A:A,MATCH(B700,CoreProteinGroups!B:B,0))</f>
        <v>13</v>
      </c>
      <c r="B700" s="1" t="s">
        <v>1238</v>
      </c>
      <c r="C700" t="str">
        <f>VLOOKUP(B700,CoreProteinGroups!$B:$C,2,FALSE)</f>
        <v>NTPase</v>
      </c>
      <c r="D700" t="s">
        <v>1243</v>
      </c>
      <c r="E700" s="6" t="str">
        <f t="shared" si="10"/>
        <v>PROT:APG58301.1</v>
      </c>
      <c r="F700" t="s">
        <v>1244</v>
      </c>
      <c r="G700" t="s">
        <v>16</v>
      </c>
      <c r="H700" t="s">
        <v>2653</v>
      </c>
      <c r="I700" t="str">
        <f>INDEX(Genomes!$I:$I,(MATCH(AllProteins!H700,Genomes!$B:$B,0)))</f>
        <v>KY094066-BeAn_58058_virus</v>
      </c>
      <c r="J700">
        <f>INDEX(Genomes!$A:$A,(MATCH(AllProteins!H700,Genomes!$B:$B,0)))</f>
        <v>7</v>
      </c>
      <c r="K700" t="str">
        <f>INDEX(Genomes!$J:$J,(MATCH(AllProteins!H700,Genomes!$B:$B,0)))</f>
        <v>N</v>
      </c>
    </row>
    <row r="701" spans="1:11" x14ac:dyDescent="0.2">
      <c r="A701">
        <f>INDEX(CoreProteinGroups!A:A,MATCH(B701,CoreProteinGroups!B:B,0))</f>
        <v>13</v>
      </c>
      <c r="B701" s="1" t="s">
        <v>1238</v>
      </c>
      <c r="C701" t="str">
        <f>VLOOKUP(B701,CoreProteinGroups!$B:$C,2,FALSE)</f>
        <v>NTPase</v>
      </c>
      <c r="D701" t="s">
        <v>1245</v>
      </c>
      <c r="E701" s="6" t="str">
        <f t="shared" si="10"/>
        <v>PROT:ADT91113.1</v>
      </c>
      <c r="F701" t="s">
        <v>1246</v>
      </c>
      <c r="G701" t="s">
        <v>19</v>
      </c>
      <c r="H701" t="s">
        <v>2658</v>
      </c>
      <c r="I701" t="str">
        <f>INDEX(Genomes!$I:$I,(MATCH(AllProteins!H701,Genomes!$B:$B,0)))</f>
        <v>HQ647181-Cotia_virus</v>
      </c>
      <c r="J701">
        <f>INDEX(Genomes!$A:$A,(MATCH(AllProteins!H701,Genomes!$B:$B,0)))</f>
        <v>12</v>
      </c>
      <c r="K701" t="str">
        <f>INDEX(Genomes!$J:$J,(MATCH(AllProteins!H701,Genomes!$B:$B,0)))</f>
        <v>Y</v>
      </c>
    </row>
    <row r="702" spans="1:11" x14ac:dyDescent="0.2">
      <c r="A702">
        <f>INDEX(CoreProteinGroups!A:A,MATCH(B702,CoreProteinGroups!B:B,0))</f>
        <v>13</v>
      </c>
      <c r="B702" s="1" t="s">
        <v>1238</v>
      </c>
      <c r="C702" t="str">
        <f>VLOOKUP(B702,CoreProteinGroups!$B:$C,2,FALSE)</f>
        <v>NTPase</v>
      </c>
      <c r="D702" t="s">
        <v>1247</v>
      </c>
      <c r="E702" s="6" t="str">
        <f t="shared" si="10"/>
        <v>PROT:ANS71170.1</v>
      </c>
      <c r="F702" t="s">
        <v>1248</v>
      </c>
      <c r="G702" t="s">
        <v>21</v>
      </c>
      <c r="H702" t="s">
        <v>2682</v>
      </c>
      <c r="I702" t="str">
        <f>INDEX(Genomes!$I:$I,(MATCH(AllProteins!H702,Genomes!$B:$B,0)))</f>
        <v>KU980965-pteropox_virus</v>
      </c>
      <c r="J702">
        <f>INDEX(Genomes!$A:$A,(MATCH(AllProteins!H702,Genomes!$B:$B,0)))</f>
        <v>40</v>
      </c>
      <c r="K702" t="str">
        <f>INDEX(Genomes!$J:$J,(MATCH(AllProteins!H702,Genomes!$B:$B,0)))</f>
        <v>Y</v>
      </c>
    </row>
    <row r="703" spans="1:11" x14ac:dyDescent="0.2">
      <c r="A703">
        <f>INDEX(CoreProteinGroups!A:A,MATCH(B703,CoreProteinGroups!B:B,0))</f>
        <v>13</v>
      </c>
      <c r="B703" s="1" t="s">
        <v>1238</v>
      </c>
      <c r="C703" t="str">
        <f>VLOOKUP(B703,CoreProteinGroups!$B:$C,2,FALSE)</f>
        <v>NTPase</v>
      </c>
      <c r="D703" t="s">
        <v>1249</v>
      </c>
      <c r="E703" s="6" t="str">
        <f t="shared" si="10"/>
        <v>PROT:AKR04215.1</v>
      </c>
      <c r="F703" t="s">
        <v>1250</v>
      </c>
      <c r="G703" t="s">
        <v>24</v>
      </c>
      <c r="H703" t="s">
        <v>2687</v>
      </c>
      <c r="I703" t="str">
        <f>INDEX(Genomes!$I:$I,(MATCH(AllProteins!H703,Genomes!$B:$B,0)))</f>
        <v>KT159937-salmon_gill_poxvirus</v>
      </c>
      <c r="J703">
        <f>INDEX(Genomes!$A:$A,(MATCH(AllProteins!H703,Genomes!$B:$B,0)))</f>
        <v>46</v>
      </c>
      <c r="K703" t="str">
        <f>INDEX(Genomes!$J:$J,(MATCH(AllProteins!H703,Genomes!$B:$B,0)))</f>
        <v>Y</v>
      </c>
    </row>
    <row r="704" spans="1:11" x14ac:dyDescent="0.2">
      <c r="A704">
        <f>INDEX(CoreProteinGroups!A:A,MATCH(B704,CoreProteinGroups!B:B,0))</f>
        <v>13</v>
      </c>
      <c r="B704" s="1" t="s">
        <v>1238</v>
      </c>
      <c r="C704" t="str">
        <f>VLOOKUP(B704,CoreProteinGroups!$B:$C,2,FALSE)</f>
        <v>NTPase</v>
      </c>
      <c r="D704" t="s">
        <v>1251</v>
      </c>
      <c r="E704" s="6" t="str">
        <f t="shared" si="10"/>
        <v>PROT:CCD83259.1</v>
      </c>
      <c r="F704" t="s">
        <v>1239</v>
      </c>
      <c r="G704" t="s">
        <v>27</v>
      </c>
      <c r="H704" t="s">
        <v>2689</v>
      </c>
      <c r="I704" t="str">
        <f>INDEX(Genomes!$I:$I,(MATCH(AllProteins!H704,Genomes!$B:$B,0)))</f>
        <v>HE601899-squirrelpox_virus</v>
      </c>
      <c r="J704">
        <f>INDEX(Genomes!$A:$A,(MATCH(AllProteins!H704,Genomes!$B:$B,0)))</f>
        <v>48</v>
      </c>
      <c r="K704" t="str">
        <f>INDEX(Genomes!$J:$J,(MATCH(AllProteins!H704,Genomes!$B:$B,0)))</f>
        <v>Y</v>
      </c>
    </row>
    <row r="705" spans="1:11" x14ac:dyDescent="0.2">
      <c r="A705">
        <f>INDEX(CoreProteinGroups!A:A,MATCH(B705,CoreProteinGroups!B:B,0))</f>
        <v>13</v>
      </c>
      <c r="B705" s="1" t="s">
        <v>1238</v>
      </c>
      <c r="C705" t="str">
        <f>VLOOKUP(B705,CoreProteinGroups!$B:$C,2,FALSE)</f>
        <v>NTPase</v>
      </c>
      <c r="D705" t="s">
        <v>1252</v>
      </c>
      <c r="E705" s="6" t="str">
        <f t="shared" si="10"/>
        <v>PROT:ASK51288.1</v>
      </c>
      <c r="F705" t="s">
        <v>1253</v>
      </c>
      <c r="G705" t="s">
        <v>30</v>
      </c>
      <c r="H705" t="s">
        <v>2664</v>
      </c>
      <c r="I705" t="str">
        <f>INDEX(Genomes!$I:$I,(MATCH(AllProteins!H705,Genomes!$B:$B,0)))</f>
        <v>KY747497-eptesipox_virus</v>
      </c>
      <c r="J705">
        <f>INDEX(Genomes!$A:$A,(MATCH(AllProteins!H705,Genomes!$B:$B,0)))</f>
        <v>19</v>
      </c>
      <c r="K705" t="str">
        <f>INDEX(Genomes!$J:$J,(MATCH(AllProteins!H705,Genomes!$B:$B,0)))</f>
        <v>Y</v>
      </c>
    </row>
    <row r="706" spans="1:11" x14ac:dyDescent="0.2">
      <c r="A706">
        <f>INDEX(CoreProteinGroups!A:A,MATCH(B706,CoreProteinGroups!B:B,0))</f>
        <v>13</v>
      </c>
      <c r="B706" s="1" t="s">
        <v>1238</v>
      </c>
      <c r="C706" t="str">
        <f>VLOOKUP(B706,CoreProteinGroups!$B:$C,2,FALSE)</f>
        <v>NTPase</v>
      </c>
      <c r="D706" t="s">
        <v>1254</v>
      </c>
      <c r="E706" s="6" t="str">
        <f t="shared" ref="E706:E769" si="11">HYPERLINK(_xlfn.CONCAT("https://www.ncbi.nlm.nih.gov/protein/",D706),_xlfn.CONCAT("PROT:",D706))</f>
        <v>PROT:AUD40160.1</v>
      </c>
      <c r="F706" t="s">
        <v>1239</v>
      </c>
      <c r="G706" t="s">
        <v>32</v>
      </c>
      <c r="H706" t="s">
        <v>2665</v>
      </c>
      <c r="I706" t="str">
        <f>INDEX(Genomes!$I:$I,(MATCH(AllProteins!H706,Genomes!$B:$B,0)))</f>
        <v>MF678796-flamingopox_virus</v>
      </c>
      <c r="J706">
        <f>INDEX(Genomes!$A:$A,(MATCH(AllProteins!H706,Genomes!$B:$B,0)))</f>
        <v>20</v>
      </c>
      <c r="K706" t="str">
        <f>INDEX(Genomes!$J:$J,(MATCH(AllProteins!H706,Genomes!$B:$B,0)))</f>
        <v>Y</v>
      </c>
    </row>
    <row r="707" spans="1:11" x14ac:dyDescent="0.2">
      <c r="A707">
        <f>INDEX(CoreProteinGroups!A:A,MATCH(B707,CoreProteinGroups!B:B,0))</f>
        <v>13</v>
      </c>
      <c r="B707" s="1" t="s">
        <v>1238</v>
      </c>
      <c r="C707" t="str">
        <f>VLOOKUP(B707,CoreProteinGroups!$B:$C,2,FALSE)</f>
        <v>NTPase</v>
      </c>
      <c r="D707" t="s">
        <v>1255</v>
      </c>
      <c r="E707" s="6" t="str">
        <f t="shared" si="11"/>
        <v>PROT:AID46800.1</v>
      </c>
      <c r="F707" t="s">
        <v>1239</v>
      </c>
      <c r="G707" t="s">
        <v>34</v>
      </c>
      <c r="H707" t="s">
        <v>2681</v>
      </c>
      <c r="I707" t="str">
        <f>INDEX(Genomes!$I:$I,(MATCH(AllProteins!H707,Genomes!$B:$B,0)))</f>
        <v>KJ859677-penguinpox_virus</v>
      </c>
      <c r="J707">
        <f>INDEX(Genomes!$A:$A,(MATCH(AllProteins!H707,Genomes!$B:$B,0)))</f>
        <v>39</v>
      </c>
      <c r="K707" t="str">
        <f>INDEX(Genomes!$J:$J,(MATCH(AllProteins!H707,Genomes!$B:$B,0)))</f>
        <v>Y</v>
      </c>
    </row>
    <row r="708" spans="1:11" x14ac:dyDescent="0.2">
      <c r="A708">
        <f>INDEX(CoreProteinGroups!A:A,MATCH(B708,CoreProteinGroups!B:B,0))</f>
        <v>13</v>
      </c>
      <c r="B708" s="1" t="s">
        <v>1238</v>
      </c>
      <c r="C708" t="str">
        <f>VLOOKUP(B708,CoreProteinGroups!$B:$C,2,FALSE)</f>
        <v>NTPase</v>
      </c>
      <c r="D708" t="s">
        <v>1256</v>
      </c>
      <c r="E708" s="6" t="str">
        <f t="shared" si="11"/>
        <v>PROT:AID46571.1</v>
      </c>
      <c r="F708" t="s">
        <v>1239</v>
      </c>
      <c r="G708" t="s">
        <v>36</v>
      </c>
      <c r="H708" t="s">
        <v>2680</v>
      </c>
      <c r="I708" t="str">
        <f>INDEX(Genomes!$I:$I,(MATCH(AllProteins!H708,Genomes!$B:$B,0)))</f>
        <v>KJ801920-pigeonpox_virus</v>
      </c>
      <c r="J708">
        <f>INDEX(Genomes!$A:$A,(MATCH(AllProteins!H708,Genomes!$B:$B,0)))</f>
        <v>38</v>
      </c>
      <c r="K708" t="str">
        <f>INDEX(Genomes!$J:$J,(MATCH(AllProteins!H708,Genomes!$B:$B,0)))</f>
        <v>Y</v>
      </c>
    </row>
    <row r="709" spans="1:11" x14ac:dyDescent="0.2">
      <c r="A709">
        <f>INDEX(CoreProteinGroups!A:A,MATCH(B709,CoreProteinGroups!B:B,0))</f>
        <v>13</v>
      </c>
      <c r="B709" s="1" t="s">
        <v>1238</v>
      </c>
      <c r="C709" t="str">
        <f>VLOOKUP(B709,CoreProteinGroups!$B:$C,2,FALSE)</f>
        <v>NTPase</v>
      </c>
      <c r="D709" t="s">
        <v>1257</v>
      </c>
      <c r="E709" s="6" t="str">
        <f t="shared" si="11"/>
        <v>PROT:ALA62409.1</v>
      </c>
      <c r="F709" t="s">
        <v>1258</v>
      </c>
      <c r="G709" t="s">
        <v>39</v>
      </c>
      <c r="H709" t="s">
        <v>2692</v>
      </c>
      <c r="I709" t="str">
        <f>INDEX(Genomes!$I:$I,(MATCH(AllProteins!H709,Genomes!$B:$B,0)))</f>
        <v>KP728110-turkeypox_virus</v>
      </c>
      <c r="J709">
        <f>INDEX(Genomes!$A:$A,(MATCH(AllProteins!H709,Genomes!$B:$B,0)))</f>
        <v>51</v>
      </c>
      <c r="K709" t="str">
        <f>INDEX(Genomes!$J:$J,(MATCH(AllProteins!H709,Genomes!$B:$B,0)))</f>
        <v>Y</v>
      </c>
    </row>
    <row r="710" spans="1:11" x14ac:dyDescent="0.2">
      <c r="A710">
        <f>INDEX(CoreProteinGroups!A:A,MATCH(B710,CoreProteinGroups!B:B,0))</f>
        <v>13</v>
      </c>
      <c r="B710" s="1" t="s">
        <v>1238</v>
      </c>
      <c r="C710" t="str">
        <f>VLOOKUP(B710,CoreProteinGroups!$B:$C,2,FALSE)</f>
        <v>NTPase</v>
      </c>
      <c r="D710" t="s">
        <v>1259</v>
      </c>
      <c r="E710" s="6" t="str">
        <f t="shared" si="11"/>
        <v>PROT:AAR83428.1</v>
      </c>
      <c r="F710" t="s">
        <v>1260</v>
      </c>
      <c r="G710" t="s">
        <v>42</v>
      </c>
      <c r="H710" t="s">
        <v>2657</v>
      </c>
      <c r="I710" t="str">
        <f>INDEX(Genomes!$I:$I,(MATCH(AllProteins!H710,Genomes!$B:$B,0)))</f>
        <v>AY318871-canarypox_virus</v>
      </c>
      <c r="J710">
        <f>INDEX(Genomes!$A:$A,(MATCH(AllProteins!H710,Genomes!$B:$B,0)))</f>
        <v>11</v>
      </c>
      <c r="K710" t="str">
        <f>INDEX(Genomes!$J:$J,(MATCH(AllProteins!H710,Genomes!$B:$B,0)))</f>
        <v>Y</v>
      </c>
    </row>
    <row r="711" spans="1:11" x14ac:dyDescent="0.2">
      <c r="A711">
        <f>INDEX(CoreProteinGroups!A:A,MATCH(B711,CoreProteinGroups!B:B,0))</f>
        <v>13</v>
      </c>
      <c r="B711" s="1" t="s">
        <v>1238</v>
      </c>
      <c r="C711" t="str">
        <f>VLOOKUP(B711,CoreProteinGroups!$B:$C,2,FALSE)</f>
        <v>NTPase</v>
      </c>
      <c r="D711" t="s">
        <v>1261</v>
      </c>
      <c r="E711" s="6" t="str">
        <f t="shared" si="11"/>
        <v>PROT:AAF44402.1</v>
      </c>
      <c r="F711" t="s">
        <v>1262</v>
      </c>
      <c r="G711" t="s">
        <v>45</v>
      </c>
      <c r="H711" t="s">
        <v>2666</v>
      </c>
      <c r="I711" t="str">
        <f>INDEX(Genomes!$I:$I,(MATCH(AllProteins!H711,Genomes!$B:$B,0)))</f>
        <v>AF198100-fowlpox_virus</v>
      </c>
      <c r="J711">
        <f>INDEX(Genomes!$A:$A,(MATCH(AllProteins!H711,Genomes!$B:$B,0)))</f>
        <v>21</v>
      </c>
      <c r="K711" t="str">
        <f>INDEX(Genomes!$J:$J,(MATCH(AllProteins!H711,Genomes!$B:$B,0)))</f>
        <v>Y</v>
      </c>
    </row>
    <row r="712" spans="1:11" x14ac:dyDescent="0.2">
      <c r="A712">
        <f>INDEX(CoreProteinGroups!A:A,MATCH(B712,CoreProteinGroups!B:B,0))</f>
        <v>13</v>
      </c>
      <c r="B712" s="1" t="s">
        <v>1238</v>
      </c>
      <c r="C712" t="str">
        <f>VLOOKUP(B712,CoreProteinGroups!$B:$C,2,FALSE)</f>
        <v>NTPase</v>
      </c>
      <c r="D712" t="s">
        <v>1263</v>
      </c>
      <c r="E712" s="6" t="str">
        <f t="shared" si="11"/>
        <v>PROT:AAK85044.1</v>
      </c>
      <c r="F712" t="s">
        <v>1264</v>
      </c>
      <c r="G712" t="s">
        <v>48</v>
      </c>
      <c r="H712" t="s">
        <v>2669</v>
      </c>
      <c r="I712" t="str">
        <f>INDEX(Genomes!$I:$I,(MATCH(AllProteins!H712,Genomes!$B:$B,0)))</f>
        <v>AF325528-lumpy_skin_disease_virus</v>
      </c>
      <c r="J712">
        <f>INDEX(Genomes!$A:$A,(MATCH(AllProteins!H712,Genomes!$B:$B,0)))</f>
        <v>25</v>
      </c>
      <c r="K712" t="str">
        <f>INDEX(Genomes!$J:$J,(MATCH(AllProteins!H712,Genomes!$B:$B,0)))</f>
        <v>Y</v>
      </c>
    </row>
    <row r="713" spans="1:11" x14ac:dyDescent="0.2">
      <c r="A713">
        <f>INDEX(CoreProteinGroups!A:A,MATCH(B713,CoreProteinGroups!B:B,0))</f>
        <v>13</v>
      </c>
      <c r="B713" s="1" t="s">
        <v>1238</v>
      </c>
      <c r="C713" t="str">
        <f>VLOOKUP(B713,CoreProteinGroups!$B:$C,2,FALSE)</f>
        <v>NTPase</v>
      </c>
      <c r="D713" t="s">
        <v>1265</v>
      </c>
      <c r="E713" s="6" t="str">
        <f t="shared" si="11"/>
        <v>PROT:AST09301.1</v>
      </c>
      <c r="F713" t="s">
        <v>1239</v>
      </c>
      <c r="G713" t="s">
        <v>50</v>
      </c>
      <c r="H713" t="s">
        <v>2671</v>
      </c>
      <c r="I713" t="str">
        <f>INDEX(Genomes!$I:$I,(MATCH(AllProteins!H713,Genomes!$B:$B,0)))</f>
        <v>MF001304-Murmansk_poxvirus</v>
      </c>
      <c r="J713">
        <f>INDEX(Genomes!$A:$A,(MATCH(AllProteins!H713,Genomes!$B:$B,0)))</f>
        <v>27</v>
      </c>
      <c r="K713" t="str">
        <f>INDEX(Genomes!$J:$J,(MATCH(AllProteins!H713,Genomes!$B:$B,0)))</f>
        <v>Y</v>
      </c>
    </row>
    <row r="714" spans="1:11" x14ac:dyDescent="0.2">
      <c r="A714">
        <f>INDEX(CoreProteinGroups!A:A,MATCH(B714,CoreProteinGroups!B:B,0))</f>
        <v>13</v>
      </c>
      <c r="B714" s="1" t="s">
        <v>1238</v>
      </c>
      <c r="C714" t="str">
        <f>VLOOKUP(B714,CoreProteinGroups!$B:$C,2,FALSE)</f>
        <v>NTPase</v>
      </c>
      <c r="D714" t="s">
        <v>1266</v>
      </c>
      <c r="E714" s="6" t="str">
        <f t="shared" si="11"/>
        <v>PROT:AEN03679.1</v>
      </c>
      <c r="F714" t="s">
        <v>1239</v>
      </c>
      <c r="G714" t="s">
        <v>52</v>
      </c>
      <c r="H714" t="s">
        <v>2698</v>
      </c>
      <c r="I714" t="str">
        <f>INDEX(Genomes!$I:$I,(MATCH(AllProteins!H714,Genomes!$B:$B,0)))</f>
        <v>HQ849551-yokapox_virus</v>
      </c>
      <c r="J714">
        <f>INDEX(Genomes!$A:$A,(MATCH(AllProteins!H714,Genomes!$B:$B,0)))</f>
        <v>57</v>
      </c>
      <c r="K714" t="str">
        <f>INDEX(Genomes!$J:$J,(MATCH(AllProteins!H714,Genomes!$B:$B,0)))</f>
        <v>Y</v>
      </c>
    </row>
    <row r="715" spans="1:11" x14ac:dyDescent="0.2">
      <c r="A715">
        <f>INDEX(CoreProteinGroups!A:A,MATCH(B715,CoreProteinGroups!B:B,0))</f>
        <v>13</v>
      </c>
      <c r="B715" s="1" t="s">
        <v>1238</v>
      </c>
      <c r="C715" t="str">
        <f>VLOOKUP(B715,CoreProteinGroups!$B:$C,2,FALSE)</f>
        <v>NTPase</v>
      </c>
      <c r="D715" t="s">
        <v>1267</v>
      </c>
      <c r="E715" s="6" t="str">
        <f t="shared" si="11"/>
        <v>PROT:ABI99247.1</v>
      </c>
      <c r="F715" t="s">
        <v>1239</v>
      </c>
      <c r="G715" t="s">
        <v>54</v>
      </c>
      <c r="H715" t="s">
        <v>2661</v>
      </c>
      <c r="I715" t="str">
        <f>INDEX(Genomes!$I:$I,(MATCH(AllProteins!H715,Genomes!$B:$B,0)))</f>
        <v>AY689436-mule_deerpox_virus</v>
      </c>
      <c r="J715">
        <f>INDEX(Genomes!$A:$A,(MATCH(AllProteins!H715,Genomes!$B:$B,0)))</f>
        <v>15</v>
      </c>
      <c r="K715" t="str">
        <f>INDEX(Genomes!$J:$J,(MATCH(AllProteins!H715,Genomes!$B:$B,0)))</f>
        <v>Y</v>
      </c>
    </row>
    <row r="716" spans="1:11" x14ac:dyDescent="0.2">
      <c r="A716">
        <f>INDEX(CoreProteinGroups!A:A,MATCH(B716,CoreProteinGroups!B:B,0))</f>
        <v>13</v>
      </c>
      <c r="B716" s="1" t="s">
        <v>1238</v>
      </c>
      <c r="C716" t="str">
        <f>VLOOKUP(B716,CoreProteinGroups!$B:$C,2,FALSE)</f>
        <v>NTPase</v>
      </c>
      <c r="D716" t="s">
        <v>1268</v>
      </c>
      <c r="E716" s="6" t="str">
        <f t="shared" si="11"/>
        <v>PROT:ABJ09004.1</v>
      </c>
      <c r="F716" t="s">
        <v>1239</v>
      </c>
      <c r="G716" t="s">
        <v>56</v>
      </c>
      <c r="H716" t="s">
        <v>2677</v>
      </c>
      <c r="I716" t="str">
        <f>INDEX(Genomes!$I:$I,(MATCH(AllProteins!H716,Genomes!$B:$B,0)))</f>
        <v>DQ356948-Nile_crocodilepox_virus</v>
      </c>
      <c r="J716">
        <f>INDEX(Genomes!$A:$A,(MATCH(AllProteins!H716,Genomes!$B:$B,0)))</f>
        <v>34</v>
      </c>
      <c r="K716" t="str">
        <f>INDEX(Genomes!$J:$J,(MATCH(AllProteins!H716,Genomes!$B:$B,0)))</f>
        <v>Y</v>
      </c>
    </row>
    <row r="717" spans="1:11" x14ac:dyDescent="0.2">
      <c r="A717">
        <f>INDEX(CoreProteinGroups!A:A,MATCH(B717,CoreProteinGroups!B:B,0))</f>
        <v>13</v>
      </c>
      <c r="B717" s="1" t="s">
        <v>1238</v>
      </c>
      <c r="C717" t="str">
        <f>VLOOKUP(B717,CoreProteinGroups!$B:$C,2,FALSE)</f>
        <v>NTPase</v>
      </c>
      <c r="D717" t="s">
        <v>1269</v>
      </c>
      <c r="E717" s="6" t="str">
        <f t="shared" si="11"/>
        <v>PROT:AAF14968.1</v>
      </c>
      <c r="F717" t="s">
        <v>1270</v>
      </c>
      <c r="G717" t="s">
        <v>2584</v>
      </c>
      <c r="H717" t="s">
        <v>2676</v>
      </c>
      <c r="I717" t="str">
        <f>INDEX(Genomes!$I:$I,(MATCH(AllProteins!H717,Genomes!$B:$B,0)))</f>
        <v>AF170726-myxoma_virus</v>
      </c>
      <c r="J717">
        <f>INDEX(Genomes!$A:$A,(MATCH(AllProteins!H717,Genomes!$B:$B,0)))</f>
        <v>32</v>
      </c>
      <c r="K717" t="str">
        <f>INDEX(Genomes!$J:$J,(MATCH(AllProteins!H717,Genomes!$B:$B,0)))</f>
        <v>Y</v>
      </c>
    </row>
    <row r="718" spans="1:11" x14ac:dyDescent="0.2">
      <c r="A718">
        <f>INDEX(CoreProteinGroups!A:A,MATCH(B718,CoreProteinGroups!B:B,0))</f>
        <v>13</v>
      </c>
      <c r="B718" s="1" t="s">
        <v>1238</v>
      </c>
      <c r="C718" t="str">
        <f>VLOOKUP(B718,CoreProteinGroups!$B:$C,2,FALSE)</f>
        <v>NTPase</v>
      </c>
      <c r="D718" t="s">
        <v>1271</v>
      </c>
      <c r="E718" s="6" t="str">
        <f t="shared" si="11"/>
        <v>PROT:AFU77344.1</v>
      </c>
      <c r="F718" t="s">
        <v>1270</v>
      </c>
      <c r="G718" t="s">
        <v>2553</v>
      </c>
      <c r="H718" t="s">
        <v>2646</v>
      </c>
      <c r="I718" t="str">
        <f>INDEX(Genomes!$I:$I,(MATCH(AllProteins!H718,Genomes!$B:$B,0)))</f>
        <v>JX565564-myxoma_virus_isolate_BRK_897</v>
      </c>
      <c r="J718">
        <f>INDEX(Genomes!$A:$A,(MATCH(AllProteins!H718,Genomes!$B:$B,0)))</f>
        <v>33</v>
      </c>
      <c r="K718" t="str">
        <f>INDEX(Genomes!$J:$J,(MATCH(AllProteins!H718,Genomes!$B:$B,0)))</f>
        <v>N</v>
      </c>
    </row>
    <row r="719" spans="1:11" x14ac:dyDescent="0.2">
      <c r="A719">
        <f>INDEX(CoreProteinGroups!A:A,MATCH(B719,CoreProteinGroups!B:B,0))</f>
        <v>13</v>
      </c>
      <c r="B719" s="1" t="s">
        <v>1238</v>
      </c>
      <c r="C719" t="str">
        <f>VLOOKUP(B719,CoreProteinGroups!$B:$C,2,FALSE)</f>
        <v>NTPase</v>
      </c>
      <c r="D719" t="s">
        <v>1272</v>
      </c>
      <c r="E719" s="6" t="str">
        <f t="shared" si="11"/>
        <v>PROT:AAF17964.1</v>
      </c>
      <c r="F719" t="s">
        <v>1273</v>
      </c>
      <c r="G719" t="s">
        <v>62</v>
      </c>
      <c r="H719" t="s">
        <v>2685</v>
      </c>
      <c r="I719" t="str">
        <f>INDEX(Genomes!$I:$I,(MATCH(AllProteins!H719,Genomes!$B:$B,0)))</f>
        <v>AF170722-rabbit_fibroma_virus</v>
      </c>
      <c r="J719">
        <f>INDEX(Genomes!$A:$A,(MATCH(AllProteins!H719,Genomes!$B:$B,0)))</f>
        <v>43</v>
      </c>
      <c r="K719" t="str">
        <f>INDEX(Genomes!$J:$J,(MATCH(AllProteins!H719,Genomes!$B:$B,0)))</f>
        <v>Y</v>
      </c>
    </row>
    <row r="720" spans="1:11" x14ac:dyDescent="0.2">
      <c r="A720">
        <f>INDEX(CoreProteinGroups!A:A,MATCH(B720,CoreProteinGroups!B:B,0))</f>
        <v>13</v>
      </c>
      <c r="B720" s="1" t="s">
        <v>1238</v>
      </c>
      <c r="C720" t="str">
        <f>VLOOKUP(B720,CoreProteinGroups!$B:$C,2,FALSE)</f>
        <v>NTPase</v>
      </c>
      <c r="D720" t="s">
        <v>1274</v>
      </c>
      <c r="E720" s="6" t="str">
        <f t="shared" si="11"/>
        <v>PROT:AAC55222.1</v>
      </c>
      <c r="F720" t="s">
        <v>1275</v>
      </c>
      <c r="G720" t="s">
        <v>65</v>
      </c>
      <c r="H720" t="s">
        <v>2670</v>
      </c>
      <c r="I720" t="str">
        <f>INDEX(Genomes!$I:$I,(MATCH(AllProteins!H720,Genomes!$B:$B,0)))</f>
        <v>U60315-molluscum_contagiosum_virus</v>
      </c>
      <c r="J720">
        <f>INDEX(Genomes!$A:$A,(MATCH(AllProteins!H720,Genomes!$B:$B,0)))</f>
        <v>26</v>
      </c>
      <c r="K720" t="str">
        <f>INDEX(Genomes!$J:$J,(MATCH(AllProteins!H720,Genomes!$B:$B,0)))</f>
        <v>Y</v>
      </c>
    </row>
    <row r="721" spans="1:11" x14ac:dyDescent="0.2">
      <c r="A721">
        <f>INDEX(CoreProteinGroups!A:A,MATCH(B721,CoreProteinGroups!B:B,0))</f>
        <v>13</v>
      </c>
      <c r="B721" s="1" t="s">
        <v>1238</v>
      </c>
      <c r="C721" t="str">
        <f>VLOOKUP(B721,CoreProteinGroups!$B:$C,2,FALSE)</f>
        <v>NTPase</v>
      </c>
      <c r="D721" t="s">
        <v>1276</v>
      </c>
      <c r="E721" s="6" t="str">
        <f t="shared" si="11"/>
        <v>PROT:AYN64676.1</v>
      </c>
      <c r="F721" t="s">
        <v>1277</v>
      </c>
      <c r="G721" t="s">
        <v>68</v>
      </c>
      <c r="H721" t="s">
        <v>2647</v>
      </c>
      <c r="I721" t="str">
        <f>INDEX(Genomes!$I:$I,(MATCH(AllProteins!H721,Genomes!$B:$B,0)))</f>
        <v>MH816996-orthopoxvirus_abatino</v>
      </c>
      <c r="J721">
        <f>INDEX(Genomes!$A:$A,(MATCH(AllProteins!H721,Genomes!$B:$B,0)))</f>
        <v>1</v>
      </c>
      <c r="K721" t="str">
        <f>INDEX(Genomes!$J:$J,(MATCH(AllProteins!H721,Genomes!$B:$B,0)))</f>
        <v>Y</v>
      </c>
    </row>
    <row r="722" spans="1:11" x14ac:dyDescent="0.2">
      <c r="A722">
        <f>INDEX(CoreProteinGroups!A:A,MATCH(B722,CoreProteinGroups!B:B,0))</f>
        <v>13</v>
      </c>
      <c r="B722" s="1" t="s">
        <v>1238</v>
      </c>
      <c r="C722" t="str">
        <f>VLOOKUP(B722,CoreProteinGroups!$B:$C,2,FALSE)</f>
        <v>NTPase</v>
      </c>
      <c r="D722" t="s">
        <v>1278</v>
      </c>
      <c r="E722" s="6" t="str">
        <f t="shared" si="11"/>
        <v>PROT:AXN74904.1</v>
      </c>
      <c r="F722" t="s">
        <v>1239</v>
      </c>
      <c r="G722" t="s">
        <v>70</v>
      </c>
      <c r="H722" t="s">
        <v>2650</v>
      </c>
      <c r="I722" t="str">
        <f>INDEX(Genomes!$I:$I,(MATCH(AllProteins!H722,Genomes!$B:$B,0)))</f>
        <v>MH607141-Akhmeta_virus</v>
      </c>
      <c r="J722">
        <f>INDEX(Genomes!$A:$A,(MATCH(AllProteins!H722,Genomes!$B:$B,0)))</f>
        <v>4</v>
      </c>
      <c r="K722" t="str">
        <f>INDEX(Genomes!$J:$J,(MATCH(AllProteins!H722,Genomes!$B:$B,0)))</f>
        <v>Y</v>
      </c>
    </row>
    <row r="723" spans="1:11" x14ac:dyDescent="0.2">
      <c r="A723">
        <f>INDEX(CoreProteinGroups!A:A,MATCH(B723,CoreProteinGroups!B:B,0))</f>
        <v>13</v>
      </c>
      <c r="B723" s="1" t="s">
        <v>1238</v>
      </c>
      <c r="C723" t="str">
        <f>VLOOKUP(B723,CoreProteinGroups!$B:$C,2,FALSE)</f>
        <v>NTPase</v>
      </c>
      <c r="D723" t="s">
        <v>1279</v>
      </c>
      <c r="E723" s="6" t="str">
        <f t="shared" si="11"/>
        <v>PROT:ABH08217.1</v>
      </c>
      <c r="F723" t="s">
        <v>1280</v>
      </c>
      <c r="G723" t="s">
        <v>73</v>
      </c>
      <c r="H723" t="s">
        <v>2668</v>
      </c>
      <c r="I723" t="str">
        <f>INDEX(Genomes!$I:$I,(MATCH(AllProteins!H723,Genomes!$B:$B,0)))</f>
        <v>DQ792504-horsepox_virus</v>
      </c>
      <c r="J723">
        <f>INDEX(Genomes!$A:$A,(MATCH(AllProteins!H723,Genomes!$B:$B,0)))</f>
        <v>24</v>
      </c>
      <c r="K723" t="str">
        <f>INDEX(Genomes!$J:$J,(MATCH(AllProteins!H723,Genomes!$B:$B,0)))</f>
        <v>Y</v>
      </c>
    </row>
    <row r="724" spans="1:11" x14ac:dyDescent="0.2">
      <c r="A724">
        <f>INDEX(CoreProteinGroups!A:A,MATCH(B724,CoreProteinGroups!B:B,0))</f>
        <v>13</v>
      </c>
      <c r="B724" s="1" t="s">
        <v>1238</v>
      </c>
      <c r="C724" t="str">
        <f>VLOOKUP(B724,CoreProteinGroups!$B:$C,2,FALSE)</f>
        <v>NTPase</v>
      </c>
      <c r="D724" t="s">
        <v>1281</v>
      </c>
      <c r="E724" s="6" t="str">
        <f t="shared" si="11"/>
        <v>PROT:AAG37582.1</v>
      </c>
      <c r="F724" t="s">
        <v>1282</v>
      </c>
      <c r="G724" t="s">
        <v>76</v>
      </c>
      <c r="H724" t="s">
        <v>2655</v>
      </c>
      <c r="I724" t="str">
        <f>INDEX(Genomes!$I:$I,(MATCH(AllProteins!H724,Genomes!$B:$B,0)))</f>
        <v>AY009089-camelpox_virus_CMS</v>
      </c>
      <c r="J724">
        <f>INDEX(Genomes!$A:$A,(MATCH(AllProteins!H724,Genomes!$B:$B,0)))</f>
        <v>9</v>
      </c>
      <c r="K724" t="str">
        <f>INDEX(Genomes!$J:$J,(MATCH(AllProteins!H724,Genomes!$B:$B,0)))</f>
        <v>N</v>
      </c>
    </row>
    <row r="725" spans="1:11" x14ac:dyDescent="0.2">
      <c r="A725">
        <f>INDEX(CoreProteinGroups!A:A,MATCH(B725,CoreProteinGroups!B:B,0))</f>
        <v>13</v>
      </c>
      <c r="B725" s="1" t="s">
        <v>1238</v>
      </c>
      <c r="C725" t="str">
        <f>VLOOKUP(B725,CoreProteinGroups!$B:$C,2,FALSE)</f>
        <v>NTPase</v>
      </c>
      <c r="D725" t="s">
        <v>1283</v>
      </c>
      <c r="E725" s="6" t="str">
        <f t="shared" si="11"/>
        <v>PROT:AAL73815.1</v>
      </c>
      <c r="F725" t="s">
        <v>1284</v>
      </c>
      <c r="G725" t="s">
        <v>79</v>
      </c>
      <c r="H725" t="s">
        <v>2654</v>
      </c>
      <c r="I725" t="str">
        <f>INDEX(Genomes!$I:$I,(MATCH(AllProteins!H725,Genomes!$B:$B,0)))</f>
        <v>AF438165-camelpox_virus</v>
      </c>
      <c r="J725">
        <f>INDEX(Genomes!$A:$A,(MATCH(AllProteins!H725,Genomes!$B:$B,0)))</f>
        <v>8</v>
      </c>
      <c r="K725" t="str">
        <f>INDEX(Genomes!$J:$J,(MATCH(AllProteins!H725,Genomes!$B:$B,0)))</f>
        <v>Y</v>
      </c>
    </row>
    <row r="726" spans="1:11" x14ac:dyDescent="0.2">
      <c r="A726">
        <f>INDEX(CoreProteinGroups!A:A,MATCH(B726,CoreProteinGroups!B:B,0))</f>
        <v>13</v>
      </c>
      <c r="B726" s="1" t="s">
        <v>1238</v>
      </c>
      <c r="C726" t="str">
        <f>VLOOKUP(B726,CoreProteinGroups!$B:$C,2,FALSE)</f>
        <v>NTPase</v>
      </c>
      <c r="D726" t="s">
        <v>1285</v>
      </c>
      <c r="E726" s="6" t="str">
        <f t="shared" si="11"/>
        <v>PROT:AAM13564.1</v>
      </c>
      <c r="F726" t="s">
        <v>1286</v>
      </c>
      <c r="G726" t="s">
        <v>82</v>
      </c>
      <c r="H726" t="s">
        <v>2659</v>
      </c>
      <c r="I726" t="str">
        <f>INDEX(Genomes!$I:$I,(MATCH(AllProteins!H726,Genomes!$B:$B,0)))</f>
        <v>AF482758-cowpox_virus</v>
      </c>
      <c r="J726">
        <f>INDEX(Genomes!$A:$A,(MATCH(AllProteins!H726,Genomes!$B:$B,0)))</f>
        <v>13</v>
      </c>
      <c r="K726" t="str">
        <f>INDEX(Genomes!$J:$J,(MATCH(AllProteins!H726,Genomes!$B:$B,0)))</f>
        <v>Y</v>
      </c>
    </row>
    <row r="727" spans="1:11" x14ac:dyDescent="0.2">
      <c r="A727">
        <f>INDEX(CoreProteinGroups!A:A,MATCH(B727,CoreProteinGroups!B:B,0))</f>
        <v>13</v>
      </c>
      <c r="B727" s="1" t="s">
        <v>1238</v>
      </c>
      <c r="C727" t="str">
        <f>VLOOKUP(B727,CoreProteinGroups!$B:$C,2,FALSE)</f>
        <v>NTPase</v>
      </c>
      <c r="D727" t="s">
        <v>1287</v>
      </c>
      <c r="E727" s="6" t="str">
        <f t="shared" si="11"/>
        <v>PROT:AAM92398.1</v>
      </c>
      <c r="F727" t="s">
        <v>1288</v>
      </c>
      <c r="G727" t="s">
        <v>85</v>
      </c>
      <c r="H727" t="s">
        <v>2662</v>
      </c>
      <c r="I727" t="str">
        <f>INDEX(Genomes!$I:$I,(MATCH(AllProteins!H727,Genomes!$B:$B,0)))</f>
        <v>AF012825-ectromelia_virus</v>
      </c>
      <c r="J727">
        <f>INDEX(Genomes!$A:$A,(MATCH(AllProteins!H727,Genomes!$B:$B,0)))</f>
        <v>16</v>
      </c>
      <c r="K727" t="str">
        <f>INDEX(Genomes!$J:$J,(MATCH(AllProteins!H727,Genomes!$B:$B,0)))</f>
        <v>Y</v>
      </c>
    </row>
    <row r="728" spans="1:11" x14ac:dyDescent="0.2">
      <c r="A728">
        <f>INDEX(CoreProteinGroups!A:A,MATCH(B728,CoreProteinGroups!B:B,0))</f>
        <v>13</v>
      </c>
      <c r="B728" s="1" t="s">
        <v>1238</v>
      </c>
      <c r="C728" t="str">
        <f>VLOOKUP(B728,CoreProteinGroups!$B:$C,2,FALSE)</f>
        <v>NTPase</v>
      </c>
      <c r="D728" t="s">
        <v>1289</v>
      </c>
      <c r="E728" s="6" t="str">
        <f t="shared" si="11"/>
        <v>PROT:AFH54657.1</v>
      </c>
      <c r="F728" t="s">
        <v>1290</v>
      </c>
      <c r="G728" t="s">
        <v>87</v>
      </c>
      <c r="H728" t="s">
        <v>2619</v>
      </c>
      <c r="I728" t="str">
        <f>INDEX(Genomes!$I:$I,(MATCH(AllProteins!H728,Genomes!$B:$B,0)))</f>
        <v>JQ410350-ectromelia_virus_strain_ERPV</v>
      </c>
      <c r="J728">
        <f>INDEX(Genomes!$A:$A,(MATCH(AllProteins!H728,Genomes!$B:$B,0)))</f>
        <v>17</v>
      </c>
      <c r="K728" t="str">
        <f>INDEX(Genomes!$J:$J,(MATCH(AllProteins!H728,Genomes!$B:$B,0)))</f>
        <v>N</v>
      </c>
    </row>
    <row r="729" spans="1:11" x14ac:dyDescent="0.2">
      <c r="A729">
        <f>INDEX(CoreProteinGroups!A:A,MATCH(B729,CoreProteinGroups!B:B,0))</f>
        <v>13</v>
      </c>
      <c r="B729" s="1" t="s">
        <v>1238</v>
      </c>
      <c r="C729" t="str">
        <f>VLOOKUP(B729,CoreProteinGroups!$B:$C,2,FALSE)</f>
        <v>NTPase</v>
      </c>
      <c r="D729" t="s">
        <v>1291</v>
      </c>
      <c r="E729" s="6" t="str">
        <f t="shared" si="11"/>
        <v>PROT:AAL40560.1</v>
      </c>
      <c r="F729" t="s">
        <v>1292</v>
      </c>
      <c r="G729" t="s">
        <v>90</v>
      </c>
      <c r="H729" t="s">
        <v>2673</v>
      </c>
      <c r="I729" t="str">
        <f>INDEX(Genomes!$I:$I,(MATCH(AllProteins!H729,Genomes!$B:$B,0)))</f>
        <v>AF380138-monkeypox_virus_(clade_I)</v>
      </c>
      <c r="J729">
        <f>INDEX(Genomes!$A:$A,(MATCH(AllProteins!H729,Genomes!$B:$B,0)))</f>
        <v>29</v>
      </c>
      <c r="K729" t="str">
        <f>INDEX(Genomes!$J:$J,(MATCH(AllProteins!H729,Genomes!$B:$B,0)))</f>
        <v>Y</v>
      </c>
    </row>
    <row r="730" spans="1:11" x14ac:dyDescent="0.2">
      <c r="A730">
        <f>INDEX(CoreProteinGroups!A:A,MATCH(B730,CoreProteinGroups!B:B,0))</f>
        <v>13</v>
      </c>
      <c r="B730" s="1" t="s">
        <v>1238</v>
      </c>
      <c r="C730" t="str">
        <f>VLOOKUP(B730,CoreProteinGroups!$B:$C,2,FALSE)</f>
        <v>NTPase</v>
      </c>
      <c r="D730" t="s">
        <v>1293</v>
      </c>
      <c r="E730" s="6" t="str">
        <f t="shared" si="11"/>
        <v>PROT:AAX09197.1</v>
      </c>
      <c r="F730" t="s">
        <v>1294</v>
      </c>
      <c r="G730" t="s">
        <v>93</v>
      </c>
      <c r="H730" t="s">
        <v>2672</v>
      </c>
      <c r="I730" t="str">
        <f>INDEX(Genomes!$I:$I,(MATCH(AllProteins!H730,Genomes!$B:$B,0)))</f>
        <v>AY753185-monkeypox_virus_(clade_IIa)</v>
      </c>
      <c r="J730">
        <f>INDEX(Genomes!$A:$A,(MATCH(AllProteins!H730,Genomes!$B:$B,0)))</f>
        <v>28</v>
      </c>
      <c r="K730" t="str">
        <f>INDEX(Genomes!$J:$J,(MATCH(AllProteins!H730,Genomes!$B:$B,0)))</f>
        <v>Y</v>
      </c>
    </row>
    <row r="731" spans="1:11" x14ac:dyDescent="0.2">
      <c r="A731">
        <f>INDEX(CoreProteinGroups!A:A,MATCH(B731,CoreProteinGroups!B:B,0))</f>
        <v>13</v>
      </c>
      <c r="B731" s="1" t="s">
        <v>1238</v>
      </c>
      <c r="C731" t="str">
        <f>VLOOKUP(B731,CoreProteinGroups!$B:$C,2,FALSE)</f>
        <v>NTPase</v>
      </c>
      <c r="D731" t="s">
        <v>1295</v>
      </c>
      <c r="E731" s="6" t="str">
        <f t="shared" si="11"/>
        <v>PROT:AKJ93739.1</v>
      </c>
      <c r="F731" t="s">
        <v>1239</v>
      </c>
      <c r="G731" t="s">
        <v>95</v>
      </c>
      <c r="H731" t="s">
        <v>2683</v>
      </c>
      <c r="I731" t="str">
        <f>INDEX(Genomes!$I:$I,(MATCH(AllProteins!H731,Genomes!$B:$B,0)))</f>
        <v>KP143769-raccoonpox_virus</v>
      </c>
      <c r="J731">
        <f>INDEX(Genomes!$A:$A,(MATCH(AllProteins!H731,Genomes!$B:$B,0)))</f>
        <v>41</v>
      </c>
      <c r="K731" t="str">
        <f>INDEX(Genomes!$J:$J,(MATCH(AllProteins!H731,Genomes!$B:$B,0)))</f>
        <v>Y</v>
      </c>
    </row>
    <row r="732" spans="1:11" x14ac:dyDescent="0.2">
      <c r="A732">
        <f>INDEX(CoreProteinGroups!A:A,MATCH(B732,CoreProteinGroups!B:B,0))</f>
        <v>13</v>
      </c>
      <c r="B732" s="1" t="s">
        <v>1238</v>
      </c>
      <c r="C732" t="str">
        <f>VLOOKUP(B732,CoreProteinGroups!$B:$C,2,FALSE)</f>
        <v>NTPase</v>
      </c>
      <c r="D732" t="s">
        <v>1296</v>
      </c>
      <c r="E732" s="6" t="str">
        <f t="shared" si="11"/>
        <v>PROT:AOP31588.1</v>
      </c>
      <c r="F732" t="s">
        <v>1239</v>
      </c>
      <c r="G732" t="s">
        <v>97</v>
      </c>
      <c r="H732" t="s">
        <v>2686</v>
      </c>
      <c r="I732" t="str">
        <f>INDEX(Genomes!$I:$I,(MATCH(AllProteins!H732,Genomes!$B:$B,0)))</f>
        <v>KU749310-skunkpox_virus</v>
      </c>
      <c r="J732">
        <f>INDEX(Genomes!$A:$A,(MATCH(AllProteins!H732,Genomes!$B:$B,0)))</f>
        <v>45</v>
      </c>
      <c r="K732" t="str">
        <f>INDEX(Genomes!$J:$J,(MATCH(AllProteins!H732,Genomes!$B:$B,0)))</f>
        <v>Y</v>
      </c>
    </row>
    <row r="733" spans="1:11" x14ac:dyDescent="0.2">
      <c r="A733">
        <f>INDEX(CoreProteinGroups!A:A,MATCH(B733,CoreProteinGroups!B:B,0))</f>
        <v>13</v>
      </c>
      <c r="B733" s="1" t="s">
        <v>1238</v>
      </c>
      <c r="C733" t="str">
        <f>VLOOKUP(B733,CoreProteinGroups!$B:$C,2,FALSE)</f>
        <v>NTPase</v>
      </c>
      <c r="D733" t="s">
        <v>1297</v>
      </c>
      <c r="E733" s="6" t="str">
        <f t="shared" si="11"/>
        <v>PROT:ABD97678.1</v>
      </c>
      <c r="F733" t="s">
        <v>1239</v>
      </c>
      <c r="G733" t="s">
        <v>99</v>
      </c>
      <c r="H733" t="s">
        <v>2691</v>
      </c>
      <c r="I733" t="str">
        <f>INDEX(Genomes!$I:$I,(MATCH(AllProteins!H733,Genomes!$B:$B,0)))</f>
        <v>DQ437594-taterapox_virus</v>
      </c>
      <c r="J733">
        <f>INDEX(Genomes!$A:$A,(MATCH(AllProteins!H733,Genomes!$B:$B,0)))</f>
        <v>50</v>
      </c>
      <c r="K733" t="str">
        <f>INDEX(Genomes!$J:$J,(MATCH(AllProteins!H733,Genomes!$B:$B,0)))</f>
        <v>Y</v>
      </c>
    </row>
    <row r="734" spans="1:11" x14ac:dyDescent="0.2">
      <c r="A734">
        <f>INDEX(CoreProteinGroups!A:A,MATCH(B734,CoreProteinGroups!B:B,0))</f>
        <v>13</v>
      </c>
      <c r="B734" s="1" t="s">
        <v>1238</v>
      </c>
      <c r="C734" t="str">
        <f>VLOOKUP(B734,CoreProteinGroups!$B:$C,2,FALSE)</f>
        <v>NTPase</v>
      </c>
      <c r="D734" t="s">
        <v>1298</v>
      </c>
      <c r="E734" s="6" t="str">
        <f t="shared" si="11"/>
        <v>PROT:AAO89389.1</v>
      </c>
      <c r="F734" t="s">
        <v>1299</v>
      </c>
      <c r="G734" t="s">
        <v>101</v>
      </c>
      <c r="H734" t="s">
        <v>2693</v>
      </c>
      <c r="I734" t="str">
        <f>INDEX(Genomes!$I:$I,(MATCH(AllProteins!H734,Genomes!$B:$B,0)))</f>
        <v>AY243312-vaccinia_virus</v>
      </c>
      <c r="J734">
        <f>INDEX(Genomes!$A:$A,(MATCH(AllProteins!H734,Genomes!$B:$B,0)))</f>
        <v>52</v>
      </c>
      <c r="K734" t="str">
        <f>INDEX(Genomes!$J:$J,(MATCH(AllProteins!H734,Genomes!$B:$B,0)))</f>
        <v>Y</v>
      </c>
    </row>
    <row r="735" spans="1:11" x14ac:dyDescent="0.2">
      <c r="A735">
        <f>INDEX(CoreProteinGroups!A:A,MATCH(B735,CoreProteinGroups!B:B,0))</f>
        <v>13</v>
      </c>
      <c r="B735" s="1" t="s">
        <v>1238</v>
      </c>
      <c r="C735" t="str">
        <f>VLOOKUP(B735,CoreProteinGroups!$B:$C,2,FALSE)</f>
        <v>NTPase</v>
      </c>
      <c r="D735" t="s">
        <v>1300</v>
      </c>
      <c r="E735" s="6" t="str">
        <f t="shared" si="11"/>
        <v>PROT:CAA49036.1</v>
      </c>
      <c r="F735" t="s">
        <v>1301</v>
      </c>
      <c r="G735" t="s">
        <v>2585</v>
      </c>
      <c r="H735" t="s">
        <v>2694</v>
      </c>
      <c r="I735" t="str">
        <f>INDEX(Genomes!$I:$I,(MATCH(AllProteins!H735,Genomes!$B:$B,0)))</f>
        <v>X69198-variola_major_virus</v>
      </c>
      <c r="J735">
        <f>INDEX(Genomes!$A:$A,(MATCH(AllProteins!H735,Genomes!$B:$B,0)))</f>
        <v>53</v>
      </c>
      <c r="K735" t="str">
        <f>INDEX(Genomes!$J:$J,(MATCH(AllProteins!H735,Genomes!$B:$B,0)))</f>
        <v>Y</v>
      </c>
    </row>
    <row r="736" spans="1:11" x14ac:dyDescent="0.2">
      <c r="A736">
        <f>INDEX(CoreProteinGroups!A:A,MATCH(B736,CoreProteinGroups!B:B,0))</f>
        <v>13</v>
      </c>
      <c r="B736" s="1" t="s">
        <v>1238</v>
      </c>
      <c r="C736" t="str">
        <f>VLOOKUP(B736,CoreProteinGroups!$B:$C,2,FALSE)</f>
        <v>NTPase</v>
      </c>
      <c r="D736" t="s">
        <v>1302</v>
      </c>
      <c r="E736" s="6" t="str">
        <f t="shared" si="11"/>
        <v>PROT:CAB54695.1</v>
      </c>
      <c r="F736" t="s">
        <v>1303</v>
      </c>
      <c r="G736" t="s">
        <v>106</v>
      </c>
      <c r="H736" t="s">
        <v>2695</v>
      </c>
      <c r="I736" t="str">
        <f>INDEX(Genomes!$I:$I,(MATCH(AllProteins!H736,Genomes!$B:$B,0)))</f>
        <v>Y16780-variola_minor_virus</v>
      </c>
      <c r="J736">
        <f>INDEX(Genomes!$A:$A,(MATCH(AllProteins!H736,Genomes!$B:$B,0)))</f>
        <v>54</v>
      </c>
      <c r="K736" t="str">
        <f>INDEX(Genomes!$J:$J,(MATCH(AllProteins!H736,Genomes!$B:$B,0)))</f>
        <v>Y</v>
      </c>
    </row>
    <row r="737" spans="1:11" x14ac:dyDescent="0.2">
      <c r="A737">
        <f>INDEX(CoreProteinGroups!A:A,MATCH(B737,CoreProteinGroups!B:B,0))</f>
        <v>13</v>
      </c>
      <c r="B737" s="1" t="s">
        <v>1238</v>
      </c>
      <c r="C737" t="str">
        <f>VLOOKUP(B737,CoreProteinGroups!$B:$C,2,FALSE)</f>
        <v>NTPase</v>
      </c>
      <c r="D737" t="s">
        <v>1304</v>
      </c>
      <c r="E737" s="6" t="str">
        <f t="shared" si="11"/>
        <v>PROT:AOP31799.1</v>
      </c>
      <c r="F737" t="s">
        <v>1239</v>
      </c>
      <c r="G737" t="s">
        <v>108</v>
      </c>
      <c r="H737" t="s">
        <v>2696</v>
      </c>
      <c r="I737" t="str">
        <f>INDEX(Genomes!$I:$I,(MATCH(AllProteins!H737,Genomes!$B:$B,0)))</f>
        <v>KU749311-volepox_virus</v>
      </c>
      <c r="J737">
        <f>INDEX(Genomes!$A:$A,(MATCH(AllProteins!H737,Genomes!$B:$B,0)))</f>
        <v>55</v>
      </c>
      <c r="K737" t="str">
        <f>INDEX(Genomes!$J:$J,(MATCH(AllProteins!H737,Genomes!$B:$B,0)))</f>
        <v>Y</v>
      </c>
    </row>
    <row r="738" spans="1:11" x14ac:dyDescent="0.2">
      <c r="A738">
        <f>INDEX(CoreProteinGroups!A:A,MATCH(B738,CoreProteinGroups!B:B,0))</f>
        <v>13</v>
      </c>
      <c r="B738" s="1" t="s">
        <v>1238</v>
      </c>
      <c r="C738" t="str">
        <f>VLOOKUP(B738,CoreProteinGroups!$B:$C,2,FALSE)</f>
        <v>NTPase</v>
      </c>
      <c r="D738" t="s">
        <v>1305</v>
      </c>
      <c r="E738" s="6" t="str">
        <f t="shared" si="11"/>
        <v>PROT:ASC55572.1</v>
      </c>
      <c r="F738" t="s">
        <v>1306</v>
      </c>
      <c r="G738" t="s">
        <v>111</v>
      </c>
      <c r="H738" t="s">
        <v>2667</v>
      </c>
      <c r="I738" t="str">
        <f>INDEX(Genomes!$I:$I,(MATCH(AllProteins!H738,Genomes!$B:$B,0)))</f>
        <v>KY382358-seal_parapoxvirus</v>
      </c>
      <c r="J738">
        <f>INDEX(Genomes!$A:$A,(MATCH(AllProteins!H738,Genomes!$B:$B,0)))</f>
        <v>22</v>
      </c>
      <c r="K738" t="str">
        <f>INDEX(Genomes!$J:$J,(MATCH(AllProteins!H738,Genomes!$B:$B,0)))</f>
        <v>Y</v>
      </c>
    </row>
    <row r="739" spans="1:11" x14ac:dyDescent="0.2">
      <c r="A739">
        <f>INDEX(CoreProteinGroups!A:A,MATCH(B739,CoreProteinGroups!B:B,0))</f>
        <v>13</v>
      </c>
      <c r="B739" s="1" t="s">
        <v>1238</v>
      </c>
      <c r="C739" t="str">
        <f>VLOOKUP(B739,CoreProteinGroups!$B:$C,2,FALSE)</f>
        <v>NTPase</v>
      </c>
      <c r="D739" t="s">
        <v>1307</v>
      </c>
      <c r="E739" s="6" t="str">
        <f t="shared" si="11"/>
        <v>PROT:AAR98425.1</v>
      </c>
      <c r="F739" t="s">
        <v>1308</v>
      </c>
      <c r="G739" t="s">
        <v>114</v>
      </c>
      <c r="H739" t="s">
        <v>2652</v>
      </c>
      <c r="I739" t="str">
        <f>INDEX(Genomes!$I:$I,(MATCH(AllProteins!H739,Genomes!$B:$B,0)))</f>
        <v>AY386265-bovine_papular_stomatitis_virus</v>
      </c>
      <c r="J739">
        <f>INDEX(Genomes!$A:$A,(MATCH(AllProteins!H739,Genomes!$B:$B,0)))</f>
        <v>6</v>
      </c>
      <c r="K739" t="str">
        <f>INDEX(Genomes!$J:$J,(MATCH(AllProteins!H739,Genomes!$B:$B,0)))</f>
        <v>Y</v>
      </c>
    </row>
    <row r="740" spans="1:11" x14ac:dyDescent="0.2">
      <c r="A740">
        <f>INDEX(CoreProteinGroups!A:A,MATCH(B740,CoreProteinGroups!B:B,0))</f>
        <v>13</v>
      </c>
      <c r="B740" s="1" t="s">
        <v>1238</v>
      </c>
      <c r="C740" t="str">
        <f>VLOOKUP(B740,CoreProteinGroups!$B:$C,2,FALSE)</f>
        <v>NTPase</v>
      </c>
      <c r="D740" t="s">
        <v>1309</v>
      </c>
      <c r="E740" s="6" t="str">
        <f t="shared" si="11"/>
        <v>PROT:AAR98293.1</v>
      </c>
      <c r="F740" t="s">
        <v>1308</v>
      </c>
      <c r="G740" t="s">
        <v>2702</v>
      </c>
      <c r="H740" t="s">
        <v>2678</v>
      </c>
      <c r="I740" t="str">
        <f>INDEX(Genomes!$I:$I,(MATCH(AllProteins!H740,Genomes!$B:$B,0)))</f>
        <v>AY386264-orf_virus</v>
      </c>
      <c r="J740">
        <f>INDEX(Genomes!$A:$A,(MATCH(AllProteins!H740,Genomes!$B:$B,0)))</f>
        <v>35</v>
      </c>
      <c r="K740" t="str">
        <f>INDEX(Genomes!$J:$J,(MATCH(AllProteins!H740,Genomes!$B:$B,0)))</f>
        <v>Y</v>
      </c>
    </row>
    <row r="741" spans="1:11" x14ac:dyDescent="0.2">
      <c r="A741">
        <f>INDEX(CoreProteinGroups!A:A,MATCH(B741,CoreProteinGroups!B:B,0))</f>
        <v>13</v>
      </c>
      <c r="B741" s="1" t="s">
        <v>1238</v>
      </c>
      <c r="C741" t="str">
        <f>VLOOKUP(B741,CoreProteinGroups!$B:$C,2,FALSE)</f>
        <v>NTPase</v>
      </c>
      <c r="D741" t="s">
        <v>1310</v>
      </c>
      <c r="E741" s="6" t="str">
        <f t="shared" si="11"/>
        <v>PROT:ABA00585.1</v>
      </c>
      <c r="F741" t="s">
        <v>1239</v>
      </c>
      <c r="G741" t="s">
        <v>2555</v>
      </c>
      <c r="H741" t="s">
        <v>2645</v>
      </c>
      <c r="I741" t="str">
        <f>INDEX(Genomes!$I:$I,(MATCH(AllProteins!H741,Genomes!$B:$B,0)))</f>
        <v>DQ184476-orf_virus_strain_NZ2</v>
      </c>
      <c r="J741">
        <f>INDEX(Genomes!$A:$A,(MATCH(AllProteins!H741,Genomes!$B:$B,0)))</f>
        <v>36</v>
      </c>
      <c r="K741" t="str">
        <f>INDEX(Genomes!$J:$J,(MATCH(AllProteins!H741,Genomes!$B:$B,0)))</f>
        <v>N</v>
      </c>
    </row>
    <row r="742" spans="1:11" x14ac:dyDescent="0.2">
      <c r="A742">
        <f>INDEX(CoreProteinGroups!A:A,MATCH(B742,CoreProteinGroups!B:B,0))</f>
        <v>13</v>
      </c>
      <c r="B742" s="1" t="s">
        <v>1238</v>
      </c>
      <c r="C742" t="str">
        <f>VLOOKUP(B742,CoreProteinGroups!$B:$C,2,FALSE)</f>
        <v>NTPase</v>
      </c>
      <c r="D742" t="s">
        <v>1311</v>
      </c>
      <c r="E742" s="6" t="str">
        <f t="shared" si="11"/>
        <v>PROT:AIZ77319.1</v>
      </c>
      <c r="F742" t="s">
        <v>1284</v>
      </c>
      <c r="G742" t="s">
        <v>119</v>
      </c>
      <c r="H742" t="s">
        <v>2684</v>
      </c>
      <c r="I742" t="str">
        <f>INDEX(Genomes!$I:$I,(MATCH(AllProteins!H742,Genomes!$B:$B,0)))</f>
        <v>KM502564-parapoxvirus_red_deer</v>
      </c>
      <c r="J742">
        <f>INDEX(Genomes!$A:$A,(MATCH(AllProteins!H742,Genomes!$B:$B,0)))</f>
        <v>42</v>
      </c>
      <c r="K742" t="str">
        <f>INDEX(Genomes!$J:$J,(MATCH(AllProteins!H742,Genomes!$B:$B,0)))</f>
        <v>Y</v>
      </c>
    </row>
    <row r="743" spans="1:11" x14ac:dyDescent="0.2">
      <c r="A743">
        <f>INDEX(CoreProteinGroups!A:A,MATCH(B743,CoreProteinGroups!B:B,0))</f>
        <v>13</v>
      </c>
      <c r="B743" s="1" t="s">
        <v>1238</v>
      </c>
      <c r="C743" t="str">
        <f>VLOOKUP(B743,CoreProteinGroups!$B:$C,2,FALSE)</f>
        <v>NTPase</v>
      </c>
      <c r="D743" t="s">
        <v>1312</v>
      </c>
      <c r="E743" s="6" t="str">
        <f t="shared" si="11"/>
        <v>PROT:ADC53969.1</v>
      </c>
      <c r="F743" t="s">
        <v>1239</v>
      </c>
      <c r="G743" t="s">
        <v>121</v>
      </c>
      <c r="H743" t="s">
        <v>2679</v>
      </c>
      <c r="I743" t="str">
        <f>INDEX(Genomes!$I:$I,(MATCH(AllProteins!H743,Genomes!$B:$B,0)))</f>
        <v>GQ329670-pseudocowpox_virus</v>
      </c>
      <c r="J743">
        <f>INDEX(Genomes!$A:$A,(MATCH(AllProteins!H743,Genomes!$B:$B,0)))</f>
        <v>37</v>
      </c>
      <c r="K743" t="str">
        <f>INDEX(Genomes!$J:$J,(MATCH(AllProteins!H743,Genomes!$B:$B,0)))</f>
        <v>Y</v>
      </c>
    </row>
    <row r="744" spans="1:11" x14ac:dyDescent="0.2">
      <c r="A744">
        <f>INDEX(CoreProteinGroups!A:A,MATCH(B744,CoreProteinGroups!B:B,0))</f>
        <v>13</v>
      </c>
      <c r="B744" s="1" t="s">
        <v>1238</v>
      </c>
      <c r="C744" t="str">
        <f>VLOOKUP(B744,CoreProteinGroups!$B:$C,2,FALSE)</f>
        <v>NTPase</v>
      </c>
      <c r="D744" t="s">
        <v>1313</v>
      </c>
      <c r="E744" s="6" t="str">
        <f t="shared" si="11"/>
        <v>PROT:AAL69819.1</v>
      </c>
      <c r="F744" t="s">
        <v>1314</v>
      </c>
      <c r="G744" t="s">
        <v>124</v>
      </c>
      <c r="H744" t="s">
        <v>2690</v>
      </c>
      <c r="I744" t="str">
        <f>INDEX(Genomes!$I:$I,(MATCH(AllProteins!H744,Genomes!$B:$B,0)))</f>
        <v>AF410153-swinepox_virus</v>
      </c>
      <c r="J744">
        <f>INDEX(Genomes!$A:$A,(MATCH(AllProteins!H744,Genomes!$B:$B,0)))</f>
        <v>49</v>
      </c>
      <c r="K744" t="str">
        <f>INDEX(Genomes!$J:$J,(MATCH(AllProteins!H744,Genomes!$B:$B,0)))</f>
        <v>Y</v>
      </c>
    </row>
    <row r="745" spans="1:11" x14ac:dyDescent="0.2">
      <c r="A745">
        <f>INDEX(CoreProteinGroups!A:A,MATCH(B745,CoreProteinGroups!B:B,0))</f>
        <v>13</v>
      </c>
      <c r="B745" s="1" t="s">
        <v>1238</v>
      </c>
      <c r="C745" t="str">
        <f>VLOOKUP(B745,CoreProteinGroups!$B:$C,2,FALSE)</f>
        <v>NTPase</v>
      </c>
      <c r="D745" t="s">
        <v>1315</v>
      </c>
      <c r="E745" s="6" t="str">
        <f t="shared" si="11"/>
        <v>PROT:CAC21321.1</v>
      </c>
      <c r="F745" t="s">
        <v>1316</v>
      </c>
      <c r="G745" t="s">
        <v>127</v>
      </c>
      <c r="H745" t="s">
        <v>2699</v>
      </c>
      <c r="I745" t="str">
        <f>INDEX(Genomes!$I:$I,(MATCH(AllProteins!H745,Genomes!$B:$B,0)))</f>
        <v>AJ293568-tanapox_virus</v>
      </c>
      <c r="J745">
        <f>INDEX(Genomes!$A:$A,(MATCH(AllProteins!H745,Genomes!$B:$B,0)))</f>
        <v>58</v>
      </c>
      <c r="K745" t="str">
        <f>INDEX(Genomes!$J:$J,(MATCH(AllProteins!H745,Genomes!$B:$B,0)))</f>
        <v>Y</v>
      </c>
    </row>
    <row r="746" spans="1:11" x14ac:dyDescent="0.2">
      <c r="A746">
        <f>INDEX(CoreProteinGroups!A:A,MATCH(B746,CoreProteinGroups!B:B,0))</f>
        <v>13</v>
      </c>
      <c r="B746" s="1" t="s">
        <v>1238</v>
      </c>
      <c r="C746" t="str">
        <f>VLOOKUP(B746,CoreProteinGroups!$B:$C,2,FALSE)</f>
        <v>NTPase</v>
      </c>
      <c r="D746" t="s">
        <v>1317</v>
      </c>
      <c r="E746" s="6" t="str">
        <f t="shared" si="11"/>
        <v>PROT:AAR07439.1</v>
      </c>
      <c r="F746" t="s">
        <v>1318</v>
      </c>
      <c r="G746" t="s">
        <v>130</v>
      </c>
      <c r="H746" t="s">
        <v>2700</v>
      </c>
      <c r="I746" t="str">
        <f>INDEX(Genomes!$I:$I,(MATCH(AllProteins!H746,Genomes!$B:$B,0)))</f>
        <v>AY386371-Yaba_monkey_tumor_virus</v>
      </c>
      <c r="J746">
        <f>INDEX(Genomes!$A:$A,(MATCH(AllProteins!H746,Genomes!$B:$B,0)))</f>
        <v>59</v>
      </c>
      <c r="K746" t="str">
        <f>INDEX(Genomes!$J:$J,(MATCH(AllProteins!H746,Genomes!$B:$B,0)))</f>
        <v>Y</v>
      </c>
    </row>
    <row r="747" spans="1:11" x14ac:dyDescent="0.2">
      <c r="A747">
        <f>INDEX(CoreProteinGroups!A:A,MATCH(B747,CoreProteinGroups!B:B,0))</f>
        <v>13</v>
      </c>
      <c r="B747" s="1" t="s">
        <v>1238</v>
      </c>
      <c r="C747" t="str">
        <f>VLOOKUP(B747,CoreProteinGroups!$B:$C,2,FALSE)</f>
        <v>NTPase</v>
      </c>
      <c r="D747" t="s">
        <v>1319</v>
      </c>
      <c r="E747" s="6" t="str">
        <f t="shared" si="11"/>
        <v>PROT:AAC97809.1</v>
      </c>
      <c r="F747" t="s">
        <v>1320</v>
      </c>
      <c r="G747" t="s">
        <v>133</v>
      </c>
      <c r="H747" t="s">
        <v>2674</v>
      </c>
      <c r="I747" t="str">
        <f>INDEX(Genomes!$I:$I,(MATCH(AllProteins!H747,Genomes!$B:$B,0)))</f>
        <v>AF063866-Melanoplus_sanguinipes_entomopoxvirus</v>
      </c>
      <c r="J747">
        <f>INDEX(Genomes!$A:$A,(MATCH(AllProteins!H747,Genomes!$B:$B,0)))</f>
        <v>30</v>
      </c>
      <c r="K747" t="str">
        <f>INDEX(Genomes!$J:$J,(MATCH(AllProteins!H747,Genomes!$B:$B,0)))</f>
        <v>Y</v>
      </c>
    </row>
    <row r="748" spans="1:11" x14ac:dyDescent="0.2">
      <c r="A748">
        <f>INDEX(CoreProteinGroups!A:A,MATCH(B748,CoreProteinGroups!B:B,0))</f>
        <v>13</v>
      </c>
      <c r="B748" s="1" t="s">
        <v>1238</v>
      </c>
      <c r="C748" t="str">
        <f>VLOOKUP(B748,CoreProteinGroups!$B:$C,2,FALSE)</f>
        <v>NTPase</v>
      </c>
      <c r="D748" t="s">
        <v>1321</v>
      </c>
      <c r="E748" s="6" t="str">
        <f t="shared" si="11"/>
        <v>PROT:BAO49524.1</v>
      </c>
      <c r="F748" t="s">
        <v>1284</v>
      </c>
      <c r="G748" t="s">
        <v>136</v>
      </c>
      <c r="H748" t="s">
        <v>2648</v>
      </c>
      <c r="I748" t="str">
        <f>INDEX(Genomes!$I:$I,(MATCH(AllProteins!H748,Genomes!$B:$B,0)))</f>
        <v>AP013055-Anomala_cuprea_entomopoxvirus</v>
      </c>
      <c r="J748">
        <f>INDEX(Genomes!$A:$A,(MATCH(AllProteins!H748,Genomes!$B:$B,0)))</f>
        <v>2</v>
      </c>
      <c r="K748" t="str">
        <f>INDEX(Genomes!$J:$J,(MATCH(AllProteins!H748,Genomes!$B:$B,0)))</f>
        <v>Y</v>
      </c>
    </row>
    <row r="749" spans="1:11" x14ac:dyDescent="0.2">
      <c r="A749">
        <f>INDEX(CoreProteinGroups!A:A,MATCH(B749,CoreProteinGroups!B:B,0))</f>
        <v>13</v>
      </c>
      <c r="B749" s="1" t="s">
        <v>1238</v>
      </c>
      <c r="C749" t="str">
        <f>VLOOKUP(B749,CoreProteinGroups!$B:$C,2,FALSE)</f>
        <v>NTPase</v>
      </c>
      <c r="D749" t="s">
        <v>1322</v>
      </c>
      <c r="E749" s="6" t="str">
        <f t="shared" si="11"/>
        <v>PROT:CCU55406.1</v>
      </c>
      <c r="F749" t="s">
        <v>1253</v>
      </c>
      <c r="G749" t="s">
        <v>138</v>
      </c>
      <c r="H749" t="s">
        <v>2649</v>
      </c>
      <c r="I749" t="str">
        <f>INDEX(Genomes!$I:$I,(MATCH(AllProteins!H749,Genomes!$B:$B,0)))</f>
        <v>HF679131-Adoxophyes_honmai_entomopoxvirus</v>
      </c>
      <c r="J749">
        <f>INDEX(Genomes!$A:$A,(MATCH(AllProteins!H749,Genomes!$B:$B,0)))</f>
        <v>3</v>
      </c>
      <c r="K749" t="str">
        <f>INDEX(Genomes!$J:$J,(MATCH(AllProteins!H749,Genomes!$B:$B,0)))</f>
        <v>Y</v>
      </c>
    </row>
    <row r="750" spans="1:11" x14ac:dyDescent="0.2">
      <c r="A750">
        <f>INDEX(CoreProteinGroups!A:A,MATCH(B750,CoreProteinGroups!B:B,0))</f>
        <v>13</v>
      </c>
      <c r="B750" s="1" t="s">
        <v>1238</v>
      </c>
      <c r="C750" t="str">
        <f>VLOOKUP(B750,CoreProteinGroups!$B:$C,2,FALSE)</f>
        <v>NTPase</v>
      </c>
      <c r="D750" t="s">
        <v>1323</v>
      </c>
      <c r="E750" s="6" t="str">
        <f t="shared" si="11"/>
        <v>PROT:AAG02793.1</v>
      </c>
      <c r="F750" t="s">
        <v>1324</v>
      </c>
      <c r="G750" t="s">
        <v>141</v>
      </c>
      <c r="H750" t="s">
        <v>2651</v>
      </c>
      <c r="I750" t="str">
        <f>INDEX(Genomes!$I:$I,(MATCH(AllProteins!H750,Genomes!$B:$B,0)))</f>
        <v>AF250284-Amsacta_moorei_entomopoxvirus</v>
      </c>
      <c r="J750">
        <f>INDEX(Genomes!$A:$A,(MATCH(AllProteins!H750,Genomes!$B:$B,0)))</f>
        <v>5</v>
      </c>
      <c r="K750" t="str">
        <f>INDEX(Genomes!$J:$J,(MATCH(AllProteins!H750,Genomes!$B:$B,0)))</f>
        <v>Y</v>
      </c>
    </row>
    <row r="751" spans="1:11" x14ac:dyDescent="0.2">
      <c r="A751">
        <f>INDEX(CoreProteinGroups!A:A,MATCH(B751,CoreProteinGroups!B:B,0))</f>
        <v>13</v>
      </c>
      <c r="B751" s="1" t="s">
        <v>1238</v>
      </c>
      <c r="C751" t="str">
        <f>VLOOKUP(B751,CoreProteinGroups!$B:$C,2,FALSE)</f>
        <v>NTPase</v>
      </c>
      <c r="D751" t="s">
        <v>1325</v>
      </c>
      <c r="E751" s="6" t="str">
        <f t="shared" si="11"/>
        <v>PROT:CCU55712.1</v>
      </c>
      <c r="F751" t="s">
        <v>1253</v>
      </c>
      <c r="G751" t="s">
        <v>143</v>
      </c>
      <c r="H751" t="s">
        <v>2656</v>
      </c>
      <c r="I751" t="str">
        <f>INDEX(Genomes!$I:$I,(MATCH(AllProteins!H751,Genomes!$B:$B,0)))</f>
        <v>HF679132-Choristoneura_biennis_entomopoxvirus</v>
      </c>
      <c r="J751">
        <f>INDEX(Genomes!$A:$A,(MATCH(AllProteins!H751,Genomes!$B:$B,0)))</f>
        <v>10</v>
      </c>
      <c r="K751" t="str">
        <f>INDEX(Genomes!$J:$J,(MATCH(AllProteins!H751,Genomes!$B:$B,0)))</f>
        <v>Y</v>
      </c>
    </row>
    <row r="752" spans="1:11" x14ac:dyDescent="0.2">
      <c r="A752">
        <f>INDEX(CoreProteinGroups!A:A,MATCH(B752,CoreProteinGroups!B:B,0))</f>
        <v>13</v>
      </c>
      <c r="B752" s="1" t="s">
        <v>1238</v>
      </c>
      <c r="C752" t="str">
        <f>VLOOKUP(B752,CoreProteinGroups!$B:$C,2,FALSE)</f>
        <v>NTPase</v>
      </c>
      <c r="D752" t="s">
        <v>1326</v>
      </c>
      <c r="E752" s="6" t="str">
        <f t="shared" si="11"/>
        <v>PROT:CCU56014.1</v>
      </c>
      <c r="F752" t="s">
        <v>1253</v>
      </c>
      <c r="G752" t="s">
        <v>145</v>
      </c>
      <c r="H752" t="s">
        <v>2660</v>
      </c>
      <c r="I752" t="str">
        <f>INDEX(Genomes!$I:$I,(MATCH(AllProteins!H752,Genomes!$B:$B,0)))</f>
        <v>HF679133-Choristoneura_rosaceana_entomopoxvirus</v>
      </c>
      <c r="J752">
        <f>INDEX(Genomes!$A:$A,(MATCH(AllProteins!H752,Genomes!$B:$B,0)))</f>
        <v>14</v>
      </c>
      <c r="K752" t="str">
        <f>INDEX(Genomes!$J:$J,(MATCH(AllProteins!H752,Genomes!$B:$B,0)))</f>
        <v>Y</v>
      </c>
    </row>
    <row r="753" spans="1:11" x14ac:dyDescent="0.2">
      <c r="A753">
        <f>INDEX(CoreProteinGroups!A:A,MATCH(B753,CoreProteinGroups!B:B,0))</f>
        <v>13</v>
      </c>
      <c r="B753" s="1" t="s">
        <v>1238</v>
      </c>
      <c r="C753" t="str">
        <f>VLOOKUP(B753,CoreProteinGroups!$B:$C,2,FALSE)</f>
        <v>NTPase</v>
      </c>
      <c r="D753" t="s">
        <v>1327</v>
      </c>
      <c r="E753" s="6" t="str">
        <f t="shared" si="11"/>
        <v>PROT:CCU56308.1</v>
      </c>
      <c r="F753" t="s">
        <v>1253</v>
      </c>
      <c r="G753" t="s">
        <v>147</v>
      </c>
      <c r="H753" t="s">
        <v>2675</v>
      </c>
      <c r="I753" t="str">
        <f>INDEX(Genomes!$I:$I,(MATCH(AllProteins!H753,Genomes!$B:$B,0)))</f>
        <v>HF679134-Mythimna_separata_entomopoxvirus</v>
      </c>
      <c r="J753">
        <f>INDEX(Genomes!$A:$A,(MATCH(AllProteins!H753,Genomes!$B:$B,0)))</f>
        <v>31</v>
      </c>
      <c r="K753" t="str">
        <f>INDEX(Genomes!$J:$J,(MATCH(AllProteins!H753,Genomes!$B:$B,0)))</f>
        <v>Y</v>
      </c>
    </row>
    <row r="754" spans="1:11" x14ac:dyDescent="0.2">
      <c r="A754">
        <f>INDEX(CoreProteinGroups!A:A,MATCH(B754,CoreProteinGroups!B:B,0))</f>
        <v>13</v>
      </c>
      <c r="B754" s="1" t="s">
        <v>1238</v>
      </c>
      <c r="C754" t="str">
        <f>VLOOKUP(B754,CoreProteinGroups!$B:$C,2,FALSE)</f>
        <v>NTPase</v>
      </c>
      <c r="D754" t="s">
        <v>1328</v>
      </c>
      <c r="E754" s="6" t="str">
        <f t="shared" si="11"/>
        <v>PROT:NP_659655.1</v>
      </c>
      <c r="F754" t="s">
        <v>1329</v>
      </c>
      <c r="G754" t="s">
        <v>150</v>
      </c>
      <c r="H754" t="s">
        <v>2620</v>
      </c>
      <c r="I754" t="str">
        <f>INDEX(Genomes!$I:$I,(MATCH(AllProteins!H754,Genomes!$B:$B,0)))</f>
        <v>NC_004002-sheeppox_virus</v>
      </c>
      <c r="J754">
        <f>INDEX(Genomes!$A:$A,(MATCH(AllProteins!H754,Genomes!$B:$B,0)))</f>
        <v>44</v>
      </c>
      <c r="K754" t="str">
        <f>INDEX(Genomes!$J:$J,(MATCH(AllProteins!H754,Genomes!$B:$B,0)))</f>
        <v>Y</v>
      </c>
    </row>
    <row r="755" spans="1:11" x14ac:dyDescent="0.2">
      <c r="A755">
        <f>INDEX(CoreProteinGroups!A:A,MATCH(B755,CoreProteinGroups!B:B,0))</f>
        <v>13</v>
      </c>
      <c r="B755" s="1" t="s">
        <v>1238</v>
      </c>
      <c r="C755" t="str">
        <f>VLOOKUP(B755,CoreProteinGroups!$B:$C,2,FALSE)</f>
        <v>NTPase</v>
      </c>
      <c r="D755" t="s">
        <v>1330</v>
      </c>
      <c r="E755" s="6" t="str">
        <f t="shared" si="11"/>
        <v>PROT:YP_001293274.1</v>
      </c>
      <c r="F755" t="s">
        <v>1331</v>
      </c>
      <c r="G755" t="s">
        <v>153</v>
      </c>
      <c r="H755" t="s">
        <v>2644</v>
      </c>
      <c r="I755" t="str">
        <f>INDEX(Genomes!$I:$I,(MATCH(AllProteins!H755,Genomes!$B:$B,0)))</f>
        <v>NC_004003-goatpox_virus</v>
      </c>
      <c r="J755">
        <f>INDEX(Genomes!$A:$A,(MATCH(AllProteins!H755,Genomes!$B:$B,0)))</f>
        <v>23</v>
      </c>
      <c r="K755" t="str">
        <f>INDEX(Genomes!$J:$J,(MATCH(AllProteins!H755,Genomes!$B:$B,0)))</f>
        <v>Y</v>
      </c>
    </row>
    <row r="756" spans="1:11" x14ac:dyDescent="0.2">
      <c r="A756">
        <f>INDEX(CoreProteinGroups!A:A,MATCH(B756,CoreProteinGroups!B:B,0))</f>
        <v>14</v>
      </c>
      <c r="B756" s="1" t="s">
        <v>1332</v>
      </c>
      <c r="C756" t="str">
        <f>VLOOKUP(B756,CoreProteinGroups!$B:$C,2,FALSE)</f>
        <v>VETF-S</v>
      </c>
      <c r="D756" t="s">
        <v>1334</v>
      </c>
      <c r="E756" s="6" t="str">
        <f t="shared" si="11"/>
        <v>PROT:ATI21193.1</v>
      </c>
      <c r="F756" t="s">
        <v>1335</v>
      </c>
      <c r="G756" t="s">
        <v>11</v>
      </c>
      <c r="H756" t="s">
        <v>2663</v>
      </c>
      <c r="I756" t="str">
        <f>INDEX(Genomes!$I:$I,(MATCH(AllProteins!H756,Genomes!$B:$B,0)))</f>
        <v>MF467281-Eastern_grey_kangaroopox_virus</v>
      </c>
      <c r="J756">
        <f>INDEX(Genomes!$A:$A,(MATCH(AllProteins!H756,Genomes!$B:$B,0)))</f>
        <v>18</v>
      </c>
      <c r="K756" t="str">
        <f>INDEX(Genomes!$J:$J,(MATCH(AllProteins!H756,Genomes!$B:$B,0)))</f>
        <v>Y</v>
      </c>
    </row>
    <row r="757" spans="1:11" x14ac:dyDescent="0.2">
      <c r="A757">
        <f>INDEX(CoreProteinGroups!A:A,MATCH(B757,CoreProteinGroups!B:B,0))</f>
        <v>14</v>
      </c>
      <c r="B757" s="1" t="s">
        <v>1332</v>
      </c>
      <c r="C757" t="str">
        <f>VLOOKUP(B757,CoreProteinGroups!$B:$C,2,FALSE)</f>
        <v>VETF-S</v>
      </c>
      <c r="D757" t="s">
        <v>1336</v>
      </c>
      <c r="E757" s="6" t="str">
        <f t="shared" si="11"/>
        <v>PROT:AWU47127.1</v>
      </c>
      <c r="F757" t="s">
        <v>1337</v>
      </c>
      <c r="G757" t="s">
        <v>13</v>
      </c>
      <c r="H757" t="s">
        <v>2688</v>
      </c>
      <c r="I757" t="str">
        <f>INDEX(Genomes!$I:$I,(MATCH(AllProteins!H757,Genomes!$B:$B,0)))</f>
        <v>MH427217-sea_otter_poxvirus</v>
      </c>
      <c r="J757">
        <f>INDEX(Genomes!$A:$A,(MATCH(AllProteins!H757,Genomes!$B:$B,0)))</f>
        <v>47</v>
      </c>
      <c r="K757" t="str">
        <f>INDEX(Genomes!$J:$J,(MATCH(AllProteins!H757,Genomes!$B:$B,0)))</f>
        <v>Y</v>
      </c>
    </row>
    <row r="758" spans="1:11" x14ac:dyDescent="0.2">
      <c r="A758">
        <f>INDEX(CoreProteinGroups!A:A,MATCH(B758,CoreProteinGroups!B:B,0))</f>
        <v>14</v>
      </c>
      <c r="B758" s="1" t="s">
        <v>1332</v>
      </c>
      <c r="C758" t="str">
        <f>VLOOKUP(B758,CoreProteinGroups!$B:$C,2,FALSE)</f>
        <v>VETF-S</v>
      </c>
      <c r="D758" t="s">
        <v>1338</v>
      </c>
      <c r="E758" s="6" t="str">
        <f t="shared" si="11"/>
        <v>PROT:APG58302.1</v>
      </c>
      <c r="F758" t="s">
        <v>1339</v>
      </c>
      <c r="G758" t="s">
        <v>16</v>
      </c>
      <c r="H758" t="s">
        <v>2653</v>
      </c>
      <c r="I758" t="str">
        <f>INDEX(Genomes!$I:$I,(MATCH(AllProteins!H758,Genomes!$B:$B,0)))</f>
        <v>KY094066-BeAn_58058_virus</v>
      </c>
      <c r="J758">
        <f>INDEX(Genomes!$A:$A,(MATCH(AllProteins!H758,Genomes!$B:$B,0)))</f>
        <v>7</v>
      </c>
      <c r="K758" t="str">
        <f>INDEX(Genomes!$J:$J,(MATCH(AllProteins!H758,Genomes!$B:$B,0)))</f>
        <v>N</v>
      </c>
    </row>
    <row r="759" spans="1:11" x14ac:dyDescent="0.2">
      <c r="A759">
        <f>INDEX(CoreProteinGroups!A:A,MATCH(B759,CoreProteinGroups!B:B,0))</f>
        <v>14</v>
      </c>
      <c r="B759" s="1" t="s">
        <v>1332</v>
      </c>
      <c r="C759" t="str">
        <f>VLOOKUP(B759,CoreProteinGroups!$B:$C,2,FALSE)</f>
        <v>VETF-S</v>
      </c>
      <c r="D759" t="s">
        <v>1340</v>
      </c>
      <c r="E759" s="6" t="str">
        <f t="shared" si="11"/>
        <v>PROT:ADT91114.1</v>
      </c>
      <c r="F759" t="s">
        <v>1341</v>
      </c>
      <c r="G759" t="s">
        <v>19</v>
      </c>
      <c r="H759" t="s">
        <v>2658</v>
      </c>
      <c r="I759" t="str">
        <f>INDEX(Genomes!$I:$I,(MATCH(AllProteins!H759,Genomes!$B:$B,0)))</f>
        <v>HQ647181-Cotia_virus</v>
      </c>
      <c r="J759">
        <f>INDEX(Genomes!$A:$A,(MATCH(AllProteins!H759,Genomes!$B:$B,0)))</f>
        <v>12</v>
      </c>
      <c r="K759" t="str">
        <f>INDEX(Genomes!$J:$J,(MATCH(AllProteins!H759,Genomes!$B:$B,0)))</f>
        <v>Y</v>
      </c>
    </row>
    <row r="760" spans="1:11" x14ac:dyDescent="0.2">
      <c r="A760">
        <f>INDEX(CoreProteinGroups!A:A,MATCH(B760,CoreProteinGroups!B:B,0))</f>
        <v>14</v>
      </c>
      <c r="B760" s="1" t="s">
        <v>1332</v>
      </c>
      <c r="C760" t="str">
        <f>VLOOKUP(B760,CoreProteinGroups!$B:$C,2,FALSE)</f>
        <v>VETF-S</v>
      </c>
      <c r="D760" t="s">
        <v>1342</v>
      </c>
      <c r="E760" s="6" t="str">
        <f t="shared" si="11"/>
        <v>PROT:ANS71171.1</v>
      </c>
      <c r="F760" t="s">
        <v>1343</v>
      </c>
      <c r="G760" t="s">
        <v>21</v>
      </c>
      <c r="H760" t="s">
        <v>2682</v>
      </c>
      <c r="I760" t="str">
        <f>INDEX(Genomes!$I:$I,(MATCH(AllProteins!H760,Genomes!$B:$B,0)))</f>
        <v>KU980965-pteropox_virus</v>
      </c>
      <c r="J760">
        <f>INDEX(Genomes!$A:$A,(MATCH(AllProteins!H760,Genomes!$B:$B,0)))</f>
        <v>40</v>
      </c>
      <c r="K760" t="str">
        <f>INDEX(Genomes!$J:$J,(MATCH(AllProteins!H760,Genomes!$B:$B,0)))</f>
        <v>Y</v>
      </c>
    </row>
    <row r="761" spans="1:11" x14ac:dyDescent="0.2">
      <c r="A761">
        <f>INDEX(CoreProteinGroups!A:A,MATCH(B761,CoreProteinGroups!B:B,0))</f>
        <v>14</v>
      </c>
      <c r="B761" s="1" t="s">
        <v>1332</v>
      </c>
      <c r="C761" t="str">
        <f>VLOOKUP(B761,CoreProteinGroups!$B:$C,2,FALSE)</f>
        <v>VETF-S</v>
      </c>
      <c r="D761" t="s">
        <v>1344</v>
      </c>
      <c r="E761" s="6" t="str">
        <f t="shared" si="11"/>
        <v>PROT:AKR04214.1</v>
      </c>
      <c r="F761" t="s">
        <v>1345</v>
      </c>
      <c r="G761" t="s">
        <v>24</v>
      </c>
      <c r="H761" t="s">
        <v>2687</v>
      </c>
      <c r="I761" t="str">
        <f>INDEX(Genomes!$I:$I,(MATCH(AllProteins!H761,Genomes!$B:$B,0)))</f>
        <v>KT159937-salmon_gill_poxvirus</v>
      </c>
      <c r="J761">
        <f>INDEX(Genomes!$A:$A,(MATCH(AllProteins!H761,Genomes!$B:$B,0)))</f>
        <v>46</v>
      </c>
      <c r="K761" t="str">
        <f>INDEX(Genomes!$J:$J,(MATCH(AllProteins!H761,Genomes!$B:$B,0)))</f>
        <v>Y</v>
      </c>
    </row>
    <row r="762" spans="1:11" x14ac:dyDescent="0.2">
      <c r="A762">
        <f>INDEX(CoreProteinGroups!A:A,MATCH(B762,CoreProteinGroups!B:B,0))</f>
        <v>14</v>
      </c>
      <c r="B762" s="1" t="s">
        <v>1332</v>
      </c>
      <c r="C762" t="str">
        <f>VLOOKUP(B762,CoreProteinGroups!$B:$C,2,FALSE)</f>
        <v>VETF-S</v>
      </c>
      <c r="D762" t="s">
        <v>1346</v>
      </c>
      <c r="E762" s="6" t="str">
        <f t="shared" si="11"/>
        <v>PROT:CCD83260.1</v>
      </c>
      <c r="F762" t="s">
        <v>862</v>
      </c>
      <c r="G762" t="s">
        <v>27</v>
      </c>
      <c r="H762" t="s">
        <v>2689</v>
      </c>
      <c r="I762" t="str">
        <f>INDEX(Genomes!$I:$I,(MATCH(AllProteins!H762,Genomes!$B:$B,0)))</f>
        <v>HE601899-squirrelpox_virus</v>
      </c>
      <c r="J762">
        <f>INDEX(Genomes!$A:$A,(MATCH(AllProteins!H762,Genomes!$B:$B,0)))</f>
        <v>48</v>
      </c>
      <c r="K762" t="str">
        <f>INDEX(Genomes!$J:$J,(MATCH(AllProteins!H762,Genomes!$B:$B,0)))</f>
        <v>Y</v>
      </c>
    </row>
    <row r="763" spans="1:11" x14ac:dyDescent="0.2">
      <c r="A763">
        <f>INDEX(CoreProteinGroups!A:A,MATCH(B763,CoreProteinGroups!B:B,0))</f>
        <v>14</v>
      </c>
      <c r="B763" s="1" t="s">
        <v>1332</v>
      </c>
      <c r="C763" t="str">
        <f>VLOOKUP(B763,CoreProteinGroups!$B:$C,2,FALSE)</f>
        <v>VETF-S</v>
      </c>
      <c r="D763" t="s">
        <v>1347</v>
      </c>
      <c r="E763" s="6" t="str">
        <f t="shared" si="11"/>
        <v>PROT:ASK51289.1</v>
      </c>
      <c r="F763" t="s">
        <v>1348</v>
      </c>
      <c r="G763" t="s">
        <v>30</v>
      </c>
      <c r="H763" t="s">
        <v>2664</v>
      </c>
      <c r="I763" t="str">
        <f>INDEX(Genomes!$I:$I,(MATCH(AllProteins!H763,Genomes!$B:$B,0)))</f>
        <v>KY747497-eptesipox_virus</v>
      </c>
      <c r="J763">
        <f>INDEX(Genomes!$A:$A,(MATCH(AllProteins!H763,Genomes!$B:$B,0)))</f>
        <v>19</v>
      </c>
      <c r="K763" t="str">
        <f>INDEX(Genomes!$J:$J,(MATCH(AllProteins!H763,Genomes!$B:$B,0)))</f>
        <v>Y</v>
      </c>
    </row>
    <row r="764" spans="1:11" x14ac:dyDescent="0.2">
      <c r="A764">
        <f>INDEX(CoreProteinGroups!A:A,MATCH(B764,CoreProteinGroups!B:B,0))</f>
        <v>14</v>
      </c>
      <c r="B764" s="1" t="s">
        <v>1332</v>
      </c>
      <c r="C764" t="str">
        <f>VLOOKUP(B764,CoreProteinGroups!$B:$C,2,FALSE)</f>
        <v>VETF-S</v>
      </c>
      <c r="D764" t="s">
        <v>1349</v>
      </c>
      <c r="E764" s="6" t="str">
        <f t="shared" si="11"/>
        <v>PROT:AUD40159.1</v>
      </c>
      <c r="F764" t="s">
        <v>1350</v>
      </c>
      <c r="G764" t="s">
        <v>32</v>
      </c>
      <c r="H764" t="s">
        <v>2665</v>
      </c>
      <c r="I764" t="str">
        <f>INDEX(Genomes!$I:$I,(MATCH(AllProteins!H764,Genomes!$B:$B,0)))</f>
        <v>MF678796-flamingopox_virus</v>
      </c>
      <c r="J764">
        <f>INDEX(Genomes!$A:$A,(MATCH(AllProteins!H764,Genomes!$B:$B,0)))</f>
        <v>20</v>
      </c>
      <c r="K764" t="str">
        <f>INDEX(Genomes!$J:$J,(MATCH(AllProteins!H764,Genomes!$B:$B,0)))</f>
        <v>Y</v>
      </c>
    </row>
    <row r="765" spans="1:11" x14ac:dyDescent="0.2">
      <c r="A765">
        <f>INDEX(CoreProteinGroups!A:A,MATCH(B765,CoreProteinGroups!B:B,0))</f>
        <v>14</v>
      </c>
      <c r="B765" s="1" t="s">
        <v>1332</v>
      </c>
      <c r="C765" t="str">
        <f>VLOOKUP(B765,CoreProteinGroups!$B:$C,2,FALSE)</f>
        <v>VETF-S</v>
      </c>
      <c r="D765" t="s">
        <v>1351</v>
      </c>
      <c r="E765" s="6" t="str">
        <f t="shared" si="11"/>
        <v>PROT:AID46799.1</v>
      </c>
      <c r="F765" t="s">
        <v>1352</v>
      </c>
      <c r="G765" t="s">
        <v>34</v>
      </c>
      <c r="H765" t="s">
        <v>2681</v>
      </c>
      <c r="I765" t="str">
        <f>INDEX(Genomes!$I:$I,(MATCH(AllProteins!H765,Genomes!$B:$B,0)))</f>
        <v>KJ859677-penguinpox_virus</v>
      </c>
      <c r="J765">
        <f>INDEX(Genomes!$A:$A,(MATCH(AllProteins!H765,Genomes!$B:$B,0)))</f>
        <v>39</v>
      </c>
      <c r="K765" t="str">
        <f>INDEX(Genomes!$J:$J,(MATCH(AllProteins!H765,Genomes!$B:$B,0)))</f>
        <v>Y</v>
      </c>
    </row>
    <row r="766" spans="1:11" x14ac:dyDescent="0.2">
      <c r="A766">
        <f>INDEX(CoreProteinGroups!A:A,MATCH(B766,CoreProteinGroups!B:B,0))</f>
        <v>14</v>
      </c>
      <c r="B766" s="1" t="s">
        <v>1332</v>
      </c>
      <c r="C766" t="str">
        <f>VLOOKUP(B766,CoreProteinGroups!$B:$C,2,FALSE)</f>
        <v>VETF-S</v>
      </c>
      <c r="D766" t="s">
        <v>1353</v>
      </c>
      <c r="E766" s="6" t="str">
        <f t="shared" si="11"/>
        <v>PROT:AID46570.1</v>
      </c>
      <c r="F766" t="s">
        <v>1352</v>
      </c>
      <c r="G766" t="s">
        <v>36</v>
      </c>
      <c r="H766" t="s">
        <v>2680</v>
      </c>
      <c r="I766" t="str">
        <f>INDEX(Genomes!$I:$I,(MATCH(AllProteins!H766,Genomes!$B:$B,0)))</f>
        <v>KJ801920-pigeonpox_virus</v>
      </c>
      <c r="J766">
        <f>INDEX(Genomes!$A:$A,(MATCH(AllProteins!H766,Genomes!$B:$B,0)))</f>
        <v>38</v>
      </c>
      <c r="K766" t="str">
        <f>INDEX(Genomes!$J:$J,(MATCH(AllProteins!H766,Genomes!$B:$B,0)))</f>
        <v>Y</v>
      </c>
    </row>
    <row r="767" spans="1:11" x14ac:dyDescent="0.2">
      <c r="A767">
        <f>INDEX(CoreProteinGroups!A:A,MATCH(B767,CoreProteinGroups!B:B,0))</f>
        <v>14</v>
      </c>
      <c r="B767" s="1" t="s">
        <v>1332</v>
      </c>
      <c r="C767" t="str">
        <f>VLOOKUP(B767,CoreProteinGroups!$B:$C,2,FALSE)</f>
        <v>VETF-S</v>
      </c>
      <c r="D767" t="s">
        <v>1354</v>
      </c>
      <c r="E767" s="6" t="str">
        <f t="shared" si="11"/>
        <v>PROT:ALA62408.1</v>
      </c>
      <c r="F767" t="s">
        <v>1355</v>
      </c>
      <c r="G767" t="s">
        <v>39</v>
      </c>
      <c r="H767" t="s">
        <v>2692</v>
      </c>
      <c r="I767" t="str">
        <f>INDEX(Genomes!$I:$I,(MATCH(AllProteins!H767,Genomes!$B:$B,0)))</f>
        <v>KP728110-turkeypox_virus</v>
      </c>
      <c r="J767">
        <f>INDEX(Genomes!$A:$A,(MATCH(AllProteins!H767,Genomes!$B:$B,0)))</f>
        <v>51</v>
      </c>
      <c r="K767" t="str">
        <f>INDEX(Genomes!$J:$J,(MATCH(AllProteins!H767,Genomes!$B:$B,0)))</f>
        <v>Y</v>
      </c>
    </row>
    <row r="768" spans="1:11" x14ac:dyDescent="0.2">
      <c r="A768">
        <f>INDEX(CoreProteinGroups!A:A,MATCH(B768,CoreProteinGroups!B:B,0))</f>
        <v>14</v>
      </c>
      <c r="B768" s="1" t="s">
        <v>1332</v>
      </c>
      <c r="C768" t="str">
        <f>VLOOKUP(B768,CoreProteinGroups!$B:$C,2,FALSE)</f>
        <v>VETF-S</v>
      </c>
      <c r="D768" t="s">
        <v>1356</v>
      </c>
      <c r="E768" s="6" t="str">
        <f t="shared" si="11"/>
        <v>PROT:AAR83426.1</v>
      </c>
      <c r="F768" t="s">
        <v>1357</v>
      </c>
      <c r="G768" t="s">
        <v>42</v>
      </c>
      <c r="H768" t="s">
        <v>2657</v>
      </c>
      <c r="I768" t="str">
        <f>INDEX(Genomes!$I:$I,(MATCH(AllProteins!H768,Genomes!$B:$B,0)))</f>
        <v>AY318871-canarypox_virus</v>
      </c>
      <c r="J768">
        <f>INDEX(Genomes!$A:$A,(MATCH(AllProteins!H768,Genomes!$B:$B,0)))</f>
        <v>11</v>
      </c>
      <c r="K768" t="str">
        <f>INDEX(Genomes!$J:$J,(MATCH(AllProteins!H768,Genomes!$B:$B,0)))</f>
        <v>Y</v>
      </c>
    </row>
    <row r="769" spans="1:11" x14ac:dyDescent="0.2">
      <c r="A769">
        <f>INDEX(CoreProteinGroups!A:A,MATCH(B769,CoreProteinGroups!B:B,0))</f>
        <v>14</v>
      </c>
      <c r="B769" s="1" t="s">
        <v>1332</v>
      </c>
      <c r="C769" t="str">
        <f>VLOOKUP(B769,CoreProteinGroups!$B:$C,2,FALSE)</f>
        <v>VETF-S</v>
      </c>
      <c r="D769" t="s">
        <v>1358</v>
      </c>
      <c r="E769" s="6" t="str">
        <f t="shared" si="11"/>
        <v>PROT:AAF44401.1</v>
      </c>
      <c r="F769" t="s">
        <v>1359</v>
      </c>
      <c r="G769" t="s">
        <v>45</v>
      </c>
      <c r="H769" t="s">
        <v>2666</v>
      </c>
      <c r="I769" t="str">
        <f>INDEX(Genomes!$I:$I,(MATCH(AllProteins!H769,Genomes!$B:$B,0)))</f>
        <v>AF198100-fowlpox_virus</v>
      </c>
      <c r="J769">
        <f>INDEX(Genomes!$A:$A,(MATCH(AllProteins!H769,Genomes!$B:$B,0)))</f>
        <v>21</v>
      </c>
      <c r="K769" t="str">
        <f>INDEX(Genomes!$J:$J,(MATCH(AllProteins!H769,Genomes!$B:$B,0)))</f>
        <v>Y</v>
      </c>
    </row>
    <row r="770" spans="1:11" x14ac:dyDescent="0.2">
      <c r="A770">
        <f>INDEX(CoreProteinGroups!A:A,MATCH(B770,CoreProteinGroups!B:B,0))</f>
        <v>14</v>
      </c>
      <c r="B770" s="1" t="s">
        <v>1332</v>
      </c>
      <c r="C770" t="str">
        <f>VLOOKUP(B770,CoreProteinGroups!$B:$C,2,FALSE)</f>
        <v>VETF-S</v>
      </c>
      <c r="D770" t="s">
        <v>1360</v>
      </c>
      <c r="E770" s="6" t="str">
        <f t="shared" ref="E770:E833" si="12">HYPERLINK(_xlfn.CONCAT("https://www.ncbi.nlm.nih.gov/protein/",D770),_xlfn.CONCAT("PROT:",D770))</f>
        <v>PROT:AAK85045.1</v>
      </c>
      <c r="F770" t="s">
        <v>1361</v>
      </c>
      <c r="G770" t="s">
        <v>48</v>
      </c>
      <c r="H770" t="s">
        <v>2669</v>
      </c>
      <c r="I770" t="str">
        <f>INDEX(Genomes!$I:$I,(MATCH(AllProteins!H770,Genomes!$B:$B,0)))</f>
        <v>AF325528-lumpy_skin_disease_virus</v>
      </c>
      <c r="J770">
        <f>INDEX(Genomes!$A:$A,(MATCH(AllProteins!H770,Genomes!$B:$B,0)))</f>
        <v>25</v>
      </c>
      <c r="K770" t="str">
        <f>INDEX(Genomes!$J:$J,(MATCH(AllProteins!H770,Genomes!$B:$B,0)))</f>
        <v>Y</v>
      </c>
    </row>
    <row r="771" spans="1:11" x14ac:dyDescent="0.2">
      <c r="A771">
        <f>INDEX(CoreProteinGroups!A:A,MATCH(B771,CoreProteinGroups!B:B,0))</f>
        <v>14</v>
      </c>
      <c r="B771" s="1" t="s">
        <v>1332</v>
      </c>
      <c r="C771" t="str">
        <f>VLOOKUP(B771,CoreProteinGroups!$B:$C,2,FALSE)</f>
        <v>VETF-S</v>
      </c>
      <c r="D771" t="s">
        <v>1362</v>
      </c>
      <c r="E771" s="6" t="str">
        <f t="shared" si="12"/>
        <v>PROT:AST09302.1</v>
      </c>
      <c r="F771" t="s">
        <v>878</v>
      </c>
      <c r="G771" t="s">
        <v>50</v>
      </c>
      <c r="H771" t="s">
        <v>2671</v>
      </c>
      <c r="I771" t="str">
        <f>INDEX(Genomes!$I:$I,(MATCH(AllProteins!H771,Genomes!$B:$B,0)))</f>
        <v>MF001304-Murmansk_poxvirus</v>
      </c>
      <c r="J771">
        <f>INDEX(Genomes!$A:$A,(MATCH(AllProteins!H771,Genomes!$B:$B,0)))</f>
        <v>27</v>
      </c>
      <c r="K771" t="str">
        <f>INDEX(Genomes!$J:$J,(MATCH(AllProteins!H771,Genomes!$B:$B,0)))</f>
        <v>Y</v>
      </c>
    </row>
    <row r="772" spans="1:11" x14ac:dyDescent="0.2">
      <c r="A772">
        <f>INDEX(CoreProteinGroups!A:A,MATCH(B772,CoreProteinGroups!B:B,0))</f>
        <v>14</v>
      </c>
      <c r="B772" s="1" t="s">
        <v>1332</v>
      </c>
      <c r="C772" t="str">
        <f>VLOOKUP(B772,CoreProteinGroups!$B:$C,2,FALSE)</f>
        <v>VETF-S</v>
      </c>
      <c r="D772" t="s">
        <v>1363</v>
      </c>
      <c r="E772" s="6" t="str">
        <f t="shared" si="12"/>
        <v>PROT:AEN03681.1</v>
      </c>
      <c r="F772" t="s">
        <v>878</v>
      </c>
      <c r="G772" t="s">
        <v>52</v>
      </c>
      <c r="H772" t="s">
        <v>2698</v>
      </c>
      <c r="I772" t="str">
        <f>INDEX(Genomes!$I:$I,(MATCH(AllProteins!H772,Genomes!$B:$B,0)))</f>
        <v>HQ849551-yokapox_virus</v>
      </c>
      <c r="J772">
        <f>INDEX(Genomes!$A:$A,(MATCH(AllProteins!H772,Genomes!$B:$B,0)))</f>
        <v>57</v>
      </c>
      <c r="K772" t="str">
        <f>INDEX(Genomes!$J:$J,(MATCH(AllProteins!H772,Genomes!$B:$B,0)))</f>
        <v>Y</v>
      </c>
    </row>
    <row r="773" spans="1:11" x14ac:dyDescent="0.2">
      <c r="A773">
        <f>INDEX(CoreProteinGroups!A:A,MATCH(B773,CoreProteinGroups!B:B,0))</f>
        <v>14</v>
      </c>
      <c r="B773" s="1" t="s">
        <v>1332</v>
      </c>
      <c r="C773" t="str">
        <f>VLOOKUP(B773,CoreProteinGroups!$B:$C,2,FALSE)</f>
        <v>VETF-S</v>
      </c>
      <c r="D773" t="s">
        <v>1364</v>
      </c>
      <c r="E773" s="6" t="str">
        <f t="shared" si="12"/>
        <v>PROT:ABI99248.1</v>
      </c>
      <c r="F773" t="s">
        <v>1365</v>
      </c>
      <c r="G773" t="s">
        <v>54</v>
      </c>
      <c r="H773" t="s">
        <v>2661</v>
      </c>
      <c r="I773" t="str">
        <f>INDEX(Genomes!$I:$I,(MATCH(AllProteins!H773,Genomes!$B:$B,0)))</f>
        <v>AY689436-mule_deerpox_virus</v>
      </c>
      <c r="J773">
        <f>INDEX(Genomes!$A:$A,(MATCH(AllProteins!H773,Genomes!$B:$B,0)))</f>
        <v>15</v>
      </c>
      <c r="K773" t="str">
        <f>INDEX(Genomes!$J:$J,(MATCH(AllProteins!H773,Genomes!$B:$B,0)))</f>
        <v>Y</v>
      </c>
    </row>
    <row r="774" spans="1:11" x14ac:dyDescent="0.2">
      <c r="A774">
        <f>INDEX(CoreProteinGroups!A:A,MATCH(B774,CoreProteinGroups!B:B,0))</f>
        <v>14</v>
      </c>
      <c r="B774" s="1" t="s">
        <v>1332</v>
      </c>
      <c r="C774" t="str">
        <f>VLOOKUP(B774,CoreProteinGroups!$B:$C,2,FALSE)</f>
        <v>VETF-S</v>
      </c>
      <c r="D774" t="s">
        <v>1366</v>
      </c>
      <c r="E774" s="6" t="str">
        <f t="shared" si="12"/>
        <v>PROT:ABJ09005.1</v>
      </c>
      <c r="F774" t="s">
        <v>1350</v>
      </c>
      <c r="G774" t="s">
        <v>56</v>
      </c>
      <c r="H774" t="s">
        <v>2677</v>
      </c>
      <c r="I774" t="str">
        <f>INDEX(Genomes!$I:$I,(MATCH(AllProteins!H774,Genomes!$B:$B,0)))</f>
        <v>DQ356948-Nile_crocodilepox_virus</v>
      </c>
      <c r="J774">
        <f>INDEX(Genomes!$A:$A,(MATCH(AllProteins!H774,Genomes!$B:$B,0)))</f>
        <v>34</v>
      </c>
      <c r="K774" t="str">
        <f>INDEX(Genomes!$J:$J,(MATCH(AllProteins!H774,Genomes!$B:$B,0)))</f>
        <v>Y</v>
      </c>
    </row>
    <row r="775" spans="1:11" x14ac:dyDescent="0.2">
      <c r="A775">
        <f>INDEX(CoreProteinGroups!A:A,MATCH(B775,CoreProteinGroups!B:B,0))</f>
        <v>14</v>
      </c>
      <c r="B775" s="1" t="s">
        <v>1332</v>
      </c>
      <c r="C775" t="str">
        <f>VLOOKUP(B775,CoreProteinGroups!$B:$C,2,FALSE)</f>
        <v>VETF-S</v>
      </c>
      <c r="D775" t="s">
        <v>1367</v>
      </c>
      <c r="E775" s="6" t="str">
        <f t="shared" si="12"/>
        <v>PROT:AAF14969.1</v>
      </c>
      <c r="F775" t="s">
        <v>1368</v>
      </c>
      <c r="G775" t="s">
        <v>2584</v>
      </c>
      <c r="H775" t="s">
        <v>2676</v>
      </c>
      <c r="I775" t="str">
        <f>INDEX(Genomes!$I:$I,(MATCH(AllProteins!H775,Genomes!$B:$B,0)))</f>
        <v>AF170726-myxoma_virus</v>
      </c>
      <c r="J775">
        <f>INDEX(Genomes!$A:$A,(MATCH(AllProteins!H775,Genomes!$B:$B,0)))</f>
        <v>32</v>
      </c>
      <c r="K775" t="str">
        <f>INDEX(Genomes!$J:$J,(MATCH(AllProteins!H775,Genomes!$B:$B,0)))</f>
        <v>Y</v>
      </c>
    </row>
    <row r="776" spans="1:11" x14ac:dyDescent="0.2">
      <c r="A776">
        <f>INDEX(CoreProteinGroups!A:A,MATCH(B776,CoreProteinGroups!B:B,0))</f>
        <v>14</v>
      </c>
      <c r="B776" s="1" t="s">
        <v>1332</v>
      </c>
      <c r="C776" t="str">
        <f>VLOOKUP(B776,CoreProteinGroups!$B:$C,2,FALSE)</f>
        <v>VETF-S</v>
      </c>
      <c r="D776" t="s">
        <v>1369</v>
      </c>
      <c r="E776" s="6" t="str">
        <f t="shared" si="12"/>
        <v>PROT:AFU77345.1</v>
      </c>
      <c r="F776" t="s">
        <v>1368</v>
      </c>
      <c r="G776" t="s">
        <v>2553</v>
      </c>
      <c r="H776" t="s">
        <v>2646</v>
      </c>
      <c r="I776" t="str">
        <f>INDEX(Genomes!$I:$I,(MATCH(AllProteins!H776,Genomes!$B:$B,0)))</f>
        <v>JX565564-myxoma_virus_isolate_BRK_897</v>
      </c>
      <c r="J776">
        <f>INDEX(Genomes!$A:$A,(MATCH(AllProteins!H776,Genomes!$B:$B,0)))</f>
        <v>33</v>
      </c>
      <c r="K776" t="str">
        <f>INDEX(Genomes!$J:$J,(MATCH(AllProteins!H776,Genomes!$B:$B,0)))</f>
        <v>N</v>
      </c>
    </row>
    <row r="777" spans="1:11" x14ac:dyDescent="0.2">
      <c r="A777">
        <f>INDEX(CoreProteinGroups!A:A,MATCH(B777,CoreProteinGroups!B:B,0))</f>
        <v>14</v>
      </c>
      <c r="B777" s="1" t="s">
        <v>1332</v>
      </c>
      <c r="C777" t="str">
        <f>VLOOKUP(B777,CoreProteinGroups!$B:$C,2,FALSE)</f>
        <v>VETF-S</v>
      </c>
      <c r="D777" t="s">
        <v>1370</v>
      </c>
      <c r="E777" s="6" t="str">
        <f t="shared" si="12"/>
        <v>PROT:AAF17965.1</v>
      </c>
      <c r="F777" t="s">
        <v>1371</v>
      </c>
      <c r="G777" t="s">
        <v>62</v>
      </c>
      <c r="H777" t="s">
        <v>2685</v>
      </c>
      <c r="I777" t="str">
        <f>INDEX(Genomes!$I:$I,(MATCH(AllProteins!H777,Genomes!$B:$B,0)))</f>
        <v>AF170722-rabbit_fibroma_virus</v>
      </c>
      <c r="J777">
        <f>INDEX(Genomes!$A:$A,(MATCH(AllProteins!H777,Genomes!$B:$B,0)))</f>
        <v>43</v>
      </c>
      <c r="K777" t="str">
        <f>INDEX(Genomes!$J:$J,(MATCH(AllProteins!H777,Genomes!$B:$B,0)))</f>
        <v>Y</v>
      </c>
    </row>
    <row r="778" spans="1:11" x14ac:dyDescent="0.2">
      <c r="A778">
        <f>INDEX(CoreProteinGroups!A:A,MATCH(B778,CoreProteinGroups!B:B,0))</f>
        <v>14</v>
      </c>
      <c r="B778" s="1" t="s">
        <v>1332</v>
      </c>
      <c r="C778" t="str">
        <f>VLOOKUP(B778,CoreProteinGroups!$B:$C,2,FALSE)</f>
        <v>VETF-S</v>
      </c>
      <c r="D778" t="s">
        <v>1372</v>
      </c>
      <c r="E778" s="6" t="str">
        <f t="shared" si="12"/>
        <v>PROT:AAC55223.1</v>
      </c>
      <c r="F778" t="s">
        <v>1373</v>
      </c>
      <c r="G778" t="s">
        <v>65</v>
      </c>
      <c r="H778" t="s">
        <v>2670</v>
      </c>
      <c r="I778" t="str">
        <f>INDEX(Genomes!$I:$I,(MATCH(AllProteins!H778,Genomes!$B:$B,0)))</f>
        <v>U60315-molluscum_contagiosum_virus</v>
      </c>
      <c r="J778">
        <f>INDEX(Genomes!$A:$A,(MATCH(AllProteins!H778,Genomes!$B:$B,0)))</f>
        <v>26</v>
      </c>
      <c r="K778" t="str">
        <f>INDEX(Genomes!$J:$J,(MATCH(AllProteins!H778,Genomes!$B:$B,0)))</f>
        <v>Y</v>
      </c>
    </row>
    <row r="779" spans="1:11" x14ac:dyDescent="0.2">
      <c r="A779">
        <f>INDEX(CoreProteinGroups!A:A,MATCH(B779,CoreProteinGroups!B:B,0))</f>
        <v>14</v>
      </c>
      <c r="B779" s="1" t="s">
        <v>1332</v>
      </c>
      <c r="C779" t="str">
        <f>VLOOKUP(B779,CoreProteinGroups!$B:$C,2,FALSE)</f>
        <v>VETF-S</v>
      </c>
      <c r="D779" t="s">
        <v>1374</v>
      </c>
      <c r="E779" s="6" t="str">
        <f t="shared" si="12"/>
        <v>PROT:AYN64677.1</v>
      </c>
      <c r="F779" t="s">
        <v>1375</v>
      </c>
      <c r="G779" t="s">
        <v>68</v>
      </c>
      <c r="H779" t="s">
        <v>2647</v>
      </c>
      <c r="I779" t="str">
        <f>INDEX(Genomes!$I:$I,(MATCH(AllProteins!H779,Genomes!$B:$B,0)))</f>
        <v>MH816996-orthopoxvirus_abatino</v>
      </c>
      <c r="J779">
        <f>INDEX(Genomes!$A:$A,(MATCH(AllProteins!H779,Genomes!$B:$B,0)))</f>
        <v>1</v>
      </c>
      <c r="K779" t="str">
        <f>INDEX(Genomes!$J:$J,(MATCH(AllProteins!H779,Genomes!$B:$B,0)))</f>
        <v>Y</v>
      </c>
    </row>
    <row r="780" spans="1:11" x14ac:dyDescent="0.2">
      <c r="A780">
        <f>INDEX(CoreProteinGroups!A:A,MATCH(B780,CoreProteinGroups!B:B,0))</f>
        <v>14</v>
      </c>
      <c r="B780" s="1" t="s">
        <v>1332</v>
      </c>
      <c r="C780" t="str">
        <f>VLOOKUP(B780,CoreProteinGroups!$B:$C,2,FALSE)</f>
        <v>VETF-S</v>
      </c>
      <c r="D780" t="s">
        <v>1376</v>
      </c>
      <c r="E780" s="6" t="str">
        <f t="shared" si="12"/>
        <v>PROT:AXN74905.1</v>
      </c>
      <c r="F780" t="s">
        <v>862</v>
      </c>
      <c r="G780" t="s">
        <v>70</v>
      </c>
      <c r="H780" t="s">
        <v>2650</v>
      </c>
      <c r="I780" t="str">
        <f>INDEX(Genomes!$I:$I,(MATCH(AllProteins!H780,Genomes!$B:$B,0)))</f>
        <v>MH607141-Akhmeta_virus</v>
      </c>
      <c r="J780">
        <f>INDEX(Genomes!$A:$A,(MATCH(AllProteins!H780,Genomes!$B:$B,0)))</f>
        <v>4</v>
      </c>
      <c r="K780" t="str">
        <f>INDEX(Genomes!$J:$J,(MATCH(AllProteins!H780,Genomes!$B:$B,0)))</f>
        <v>Y</v>
      </c>
    </row>
    <row r="781" spans="1:11" x14ac:dyDescent="0.2">
      <c r="A781">
        <f>INDEX(CoreProteinGroups!A:A,MATCH(B781,CoreProteinGroups!B:B,0))</f>
        <v>14</v>
      </c>
      <c r="B781" s="1" t="s">
        <v>1332</v>
      </c>
      <c r="C781" t="str">
        <f>VLOOKUP(B781,CoreProteinGroups!$B:$C,2,FALSE)</f>
        <v>VETF-S</v>
      </c>
      <c r="D781" t="s">
        <v>1377</v>
      </c>
      <c r="E781" s="6" t="str">
        <f t="shared" si="12"/>
        <v>PROT:ABH08218.1</v>
      </c>
      <c r="F781" t="s">
        <v>1378</v>
      </c>
      <c r="G781" t="s">
        <v>73</v>
      </c>
      <c r="H781" t="s">
        <v>2668</v>
      </c>
      <c r="I781" t="str">
        <f>INDEX(Genomes!$I:$I,(MATCH(AllProteins!H781,Genomes!$B:$B,0)))</f>
        <v>DQ792504-horsepox_virus</v>
      </c>
      <c r="J781">
        <f>INDEX(Genomes!$A:$A,(MATCH(AllProteins!H781,Genomes!$B:$B,0)))</f>
        <v>24</v>
      </c>
      <c r="K781" t="str">
        <f>INDEX(Genomes!$J:$J,(MATCH(AllProteins!H781,Genomes!$B:$B,0)))</f>
        <v>Y</v>
      </c>
    </row>
    <row r="782" spans="1:11" x14ac:dyDescent="0.2">
      <c r="A782">
        <f>INDEX(CoreProteinGroups!A:A,MATCH(B782,CoreProteinGroups!B:B,0))</f>
        <v>14</v>
      </c>
      <c r="B782" s="1" t="s">
        <v>1332</v>
      </c>
      <c r="C782" t="str">
        <f>VLOOKUP(B782,CoreProteinGroups!$B:$C,2,FALSE)</f>
        <v>VETF-S</v>
      </c>
      <c r="D782" t="s">
        <v>1379</v>
      </c>
      <c r="E782" s="6" t="str">
        <f t="shared" si="12"/>
        <v>PROT:AAG37586.1</v>
      </c>
      <c r="F782" t="s">
        <v>1380</v>
      </c>
      <c r="G782" t="s">
        <v>76</v>
      </c>
      <c r="H782" t="s">
        <v>2655</v>
      </c>
      <c r="I782" t="str">
        <f>INDEX(Genomes!$I:$I,(MATCH(AllProteins!H782,Genomes!$B:$B,0)))</f>
        <v>AY009089-camelpox_virus_CMS</v>
      </c>
      <c r="J782">
        <f>INDEX(Genomes!$A:$A,(MATCH(AllProteins!H782,Genomes!$B:$B,0)))</f>
        <v>9</v>
      </c>
      <c r="K782" t="str">
        <f>INDEX(Genomes!$J:$J,(MATCH(AllProteins!H782,Genomes!$B:$B,0)))</f>
        <v>N</v>
      </c>
    </row>
    <row r="783" spans="1:11" x14ac:dyDescent="0.2">
      <c r="A783">
        <f>INDEX(CoreProteinGroups!A:A,MATCH(B783,CoreProteinGroups!B:B,0))</f>
        <v>14</v>
      </c>
      <c r="B783" s="1" t="s">
        <v>1332</v>
      </c>
      <c r="C783" t="str">
        <f>VLOOKUP(B783,CoreProteinGroups!$B:$C,2,FALSE)</f>
        <v>VETF-S</v>
      </c>
      <c r="D783" t="s">
        <v>1381</v>
      </c>
      <c r="E783" s="6" t="str">
        <f t="shared" si="12"/>
        <v>PROT:AAL73816.1</v>
      </c>
      <c r="F783" t="s">
        <v>1382</v>
      </c>
      <c r="G783" t="s">
        <v>79</v>
      </c>
      <c r="H783" t="s">
        <v>2654</v>
      </c>
      <c r="I783" t="str">
        <f>INDEX(Genomes!$I:$I,(MATCH(AllProteins!H783,Genomes!$B:$B,0)))</f>
        <v>AF438165-camelpox_virus</v>
      </c>
      <c r="J783">
        <f>INDEX(Genomes!$A:$A,(MATCH(AllProteins!H783,Genomes!$B:$B,0)))</f>
        <v>8</v>
      </c>
      <c r="K783" t="str">
        <f>INDEX(Genomes!$J:$J,(MATCH(AllProteins!H783,Genomes!$B:$B,0)))</f>
        <v>Y</v>
      </c>
    </row>
    <row r="784" spans="1:11" x14ac:dyDescent="0.2">
      <c r="A784">
        <f>INDEX(CoreProteinGroups!A:A,MATCH(B784,CoreProteinGroups!B:B,0))</f>
        <v>14</v>
      </c>
      <c r="B784" s="1" t="s">
        <v>1332</v>
      </c>
      <c r="C784" t="str">
        <f>VLOOKUP(B784,CoreProteinGroups!$B:$C,2,FALSE)</f>
        <v>VETF-S</v>
      </c>
      <c r="D784" t="s">
        <v>1383</v>
      </c>
      <c r="E784" s="6" t="str">
        <f t="shared" si="12"/>
        <v>PROT:AAM13565.1</v>
      </c>
      <c r="F784" t="s">
        <v>1384</v>
      </c>
      <c r="G784" t="s">
        <v>82</v>
      </c>
      <c r="H784" t="s">
        <v>2659</v>
      </c>
      <c r="I784" t="str">
        <f>INDEX(Genomes!$I:$I,(MATCH(AllProteins!H784,Genomes!$B:$B,0)))</f>
        <v>AF482758-cowpox_virus</v>
      </c>
      <c r="J784">
        <f>INDEX(Genomes!$A:$A,(MATCH(AllProteins!H784,Genomes!$B:$B,0)))</f>
        <v>13</v>
      </c>
      <c r="K784" t="str">
        <f>INDEX(Genomes!$J:$J,(MATCH(AllProteins!H784,Genomes!$B:$B,0)))</f>
        <v>Y</v>
      </c>
    </row>
    <row r="785" spans="1:11" x14ac:dyDescent="0.2">
      <c r="A785">
        <f>INDEX(CoreProteinGroups!A:A,MATCH(B785,CoreProteinGroups!B:B,0))</f>
        <v>14</v>
      </c>
      <c r="B785" s="1" t="s">
        <v>1332</v>
      </c>
      <c r="C785" t="str">
        <f>VLOOKUP(B785,CoreProteinGroups!$B:$C,2,FALSE)</f>
        <v>VETF-S</v>
      </c>
      <c r="D785" t="s">
        <v>1385</v>
      </c>
      <c r="E785" s="6" t="str">
        <f t="shared" si="12"/>
        <v>PROT:AAM92399.1</v>
      </c>
      <c r="F785" t="s">
        <v>1386</v>
      </c>
      <c r="G785" t="s">
        <v>85</v>
      </c>
      <c r="H785" t="s">
        <v>2662</v>
      </c>
      <c r="I785" t="str">
        <f>INDEX(Genomes!$I:$I,(MATCH(AllProteins!H785,Genomes!$B:$B,0)))</f>
        <v>AF012825-ectromelia_virus</v>
      </c>
      <c r="J785">
        <f>INDEX(Genomes!$A:$A,(MATCH(AllProteins!H785,Genomes!$B:$B,0)))</f>
        <v>16</v>
      </c>
      <c r="K785" t="str">
        <f>INDEX(Genomes!$J:$J,(MATCH(AllProteins!H785,Genomes!$B:$B,0)))</f>
        <v>Y</v>
      </c>
    </row>
    <row r="786" spans="1:11" x14ac:dyDescent="0.2">
      <c r="A786">
        <f>INDEX(CoreProteinGroups!A:A,MATCH(B786,CoreProteinGroups!B:B,0))</f>
        <v>14</v>
      </c>
      <c r="B786" s="1" t="s">
        <v>1332</v>
      </c>
      <c r="C786" t="str">
        <f>VLOOKUP(B786,CoreProteinGroups!$B:$C,2,FALSE)</f>
        <v>VETF-S</v>
      </c>
      <c r="D786" t="s">
        <v>1387</v>
      </c>
      <c r="E786" s="6" t="str">
        <f t="shared" si="12"/>
        <v>PROT:AFH54658.1</v>
      </c>
      <c r="F786" t="s">
        <v>1341</v>
      </c>
      <c r="G786" t="s">
        <v>87</v>
      </c>
      <c r="H786" t="s">
        <v>2619</v>
      </c>
      <c r="I786" t="str">
        <f>INDEX(Genomes!$I:$I,(MATCH(AllProteins!H786,Genomes!$B:$B,0)))</f>
        <v>JQ410350-ectromelia_virus_strain_ERPV</v>
      </c>
      <c r="J786">
        <f>INDEX(Genomes!$A:$A,(MATCH(AllProteins!H786,Genomes!$B:$B,0)))</f>
        <v>17</v>
      </c>
      <c r="K786" t="str">
        <f>INDEX(Genomes!$J:$J,(MATCH(AllProteins!H786,Genomes!$B:$B,0)))</f>
        <v>N</v>
      </c>
    </row>
    <row r="787" spans="1:11" x14ac:dyDescent="0.2">
      <c r="A787">
        <f>INDEX(CoreProteinGroups!A:A,MATCH(B787,CoreProteinGroups!B:B,0))</f>
        <v>14</v>
      </c>
      <c r="B787" s="1" t="s">
        <v>1332</v>
      </c>
      <c r="C787" t="str">
        <f>VLOOKUP(B787,CoreProteinGroups!$B:$C,2,FALSE)</f>
        <v>VETF-S</v>
      </c>
      <c r="D787" t="s">
        <v>1388</v>
      </c>
      <c r="E787" s="6" t="str">
        <f t="shared" si="12"/>
        <v>PROT:AAL40561.1</v>
      </c>
      <c r="F787" t="s">
        <v>1389</v>
      </c>
      <c r="G787" t="s">
        <v>90</v>
      </c>
      <c r="H787" t="s">
        <v>2673</v>
      </c>
      <c r="I787" t="str">
        <f>INDEX(Genomes!$I:$I,(MATCH(AllProteins!H787,Genomes!$B:$B,0)))</f>
        <v>AF380138-monkeypox_virus_(clade_I)</v>
      </c>
      <c r="J787">
        <f>INDEX(Genomes!$A:$A,(MATCH(AllProteins!H787,Genomes!$B:$B,0)))</f>
        <v>29</v>
      </c>
      <c r="K787" t="str">
        <f>INDEX(Genomes!$J:$J,(MATCH(AllProteins!H787,Genomes!$B:$B,0)))</f>
        <v>Y</v>
      </c>
    </row>
    <row r="788" spans="1:11" x14ac:dyDescent="0.2">
      <c r="A788">
        <f>INDEX(CoreProteinGroups!A:A,MATCH(B788,CoreProteinGroups!B:B,0))</f>
        <v>14</v>
      </c>
      <c r="B788" s="1" t="s">
        <v>1332</v>
      </c>
      <c r="C788" t="str">
        <f>VLOOKUP(B788,CoreProteinGroups!$B:$C,2,FALSE)</f>
        <v>VETF-S</v>
      </c>
      <c r="D788" t="s">
        <v>1390</v>
      </c>
      <c r="E788" s="6" t="str">
        <f t="shared" si="12"/>
        <v>PROT:AAX09198.1</v>
      </c>
      <c r="F788" t="s">
        <v>1391</v>
      </c>
      <c r="G788" t="s">
        <v>93</v>
      </c>
      <c r="H788" t="s">
        <v>2672</v>
      </c>
      <c r="I788" t="str">
        <f>INDEX(Genomes!$I:$I,(MATCH(AllProteins!H788,Genomes!$B:$B,0)))</f>
        <v>AY753185-monkeypox_virus_(clade_IIa)</v>
      </c>
      <c r="J788">
        <f>INDEX(Genomes!$A:$A,(MATCH(AllProteins!H788,Genomes!$B:$B,0)))</f>
        <v>28</v>
      </c>
      <c r="K788" t="str">
        <f>INDEX(Genomes!$J:$J,(MATCH(AllProteins!H788,Genomes!$B:$B,0)))</f>
        <v>Y</v>
      </c>
    </row>
    <row r="789" spans="1:11" x14ac:dyDescent="0.2">
      <c r="A789">
        <f>INDEX(CoreProteinGroups!A:A,MATCH(B789,CoreProteinGroups!B:B,0))</f>
        <v>14</v>
      </c>
      <c r="B789" s="1" t="s">
        <v>1332</v>
      </c>
      <c r="C789" t="str">
        <f>VLOOKUP(B789,CoreProteinGroups!$B:$C,2,FALSE)</f>
        <v>VETF-S</v>
      </c>
      <c r="D789" t="s">
        <v>1392</v>
      </c>
      <c r="E789" s="6" t="str">
        <f t="shared" si="12"/>
        <v>PROT:AKJ93740.1</v>
      </c>
      <c r="F789" t="s">
        <v>1393</v>
      </c>
      <c r="G789" t="s">
        <v>95</v>
      </c>
      <c r="H789" t="s">
        <v>2683</v>
      </c>
      <c r="I789" t="str">
        <f>INDEX(Genomes!$I:$I,(MATCH(AllProteins!H789,Genomes!$B:$B,0)))</f>
        <v>KP143769-raccoonpox_virus</v>
      </c>
      <c r="J789">
        <f>INDEX(Genomes!$A:$A,(MATCH(AllProteins!H789,Genomes!$B:$B,0)))</f>
        <v>41</v>
      </c>
      <c r="K789" t="str">
        <f>INDEX(Genomes!$J:$J,(MATCH(AllProteins!H789,Genomes!$B:$B,0)))</f>
        <v>Y</v>
      </c>
    </row>
    <row r="790" spans="1:11" x14ac:dyDescent="0.2">
      <c r="A790">
        <f>INDEX(CoreProteinGroups!A:A,MATCH(B790,CoreProteinGroups!B:B,0))</f>
        <v>14</v>
      </c>
      <c r="B790" s="1" t="s">
        <v>1332</v>
      </c>
      <c r="C790" t="str">
        <f>VLOOKUP(B790,CoreProteinGroups!$B:$C,2,FALSE)</f>
        <v>VETF-S</v>
      </c>
      <c r="D790" t="s">
        <v>1394</v>
      </c>
      <c r="E790" s="6" t="str">
        <f t="shared" si="12"/>
        <v>PROT:AOP31589.1</v>
      </c>
      <c r="F790" t="s">
        <v>1395</v>
      </c>
      <c r="G790" t="s">
        <v>97</v>
      </c>
      <c r="H790" t="s">
        <v>2686</v>
      </c>
      <c r="I790" t="str">
        <f>INDEX(Genomes!$I:$I,(MATCH(AllProteins!H790,Genomes!$B:$B,0)))</f>
        <v>KU749310-skunkpox_virus</v>
      </c>
      <c r="J790">
        <f>INDEX(Genomes!$A:$A,(MATCH(AllProteins!H790,Genomes!$B:$B,0)))</f>
        <v>45</v>
      </c>
      <c r="K790" t="str">
        <f>INDEX(Genomes!$J:$J,(MATCH(AllProteins!H790,Genomes!$B:$B,0)))</f>
        <v>Y</v>
      </c>
    </row>
    <row r="791" spans="1:11" x14ac:dyDescent="0.2">
      <c r="A791">
        <f>INDEX(CoreProteinGroups!A:A,MATCH(B791,CoreProteinGroups!B:B,0))</f>
        <v>14</v>
      </c>
      <c r="B791" s="1" t="s">
        <v>1332</v>
      </c>
      <c r="C791" t="str">
        <f>VLOOKUP(B791,CoreProteinGroups!$B:$C,2,FALSE)</f>
        <v>VETF-S</v>
      </c>
      <c r="D791" t="s">
        <v>1396</v>
      </c>
      <c r="E791" s="6" t="str">
        <f t="shared" si="12"/>
        <v>PROT:ABD97679.1</v>
      </c>
      <c r="F791" t="s">
        <v>1397</v>
      </c>
      <c r="G791" t="s">
        <v>99</v>
      </c>
      <c r="H791" t="s">
        <v>2691</v>
      </c>
      <c r="I791" t="str">
        <f>INDEX(Genomes!$I:$I,(MATCH(AllProteins!H791,Genomes!$B:$B,0)))</f>
        <v>DQ437594-taterapox_virus</v>
      </c>
      <c r="J791">
        <f>INDEX(Genomes!$A:$A,(MATCH(AllProteins!H791,Genomes!$B:$B,0)))</f>
        <v>50</v>
      </c>
      <c r="K791" t="str">
        <f>INDEX(Genomes!$J:$J,(MATCH(AllProteins!H791,Genomes!$B:$B,0)))</f>
        <v>Y</v>
      </c>
    </row>
    <row r="792" spans="1:11" x14ac:dyDescent="0.2">
      <c r="A792">
        <f>INDEX(CoreProteinGroups!A:A,MATCH(B792,CoreProteinGroups!B:B,0))</f>
        <v>14</v>
      </c>
      <c r="B792" s="1" t="s">
        <v>1332</v>
      </c>
      <c r="C792" t="str">
        <f>VLOOKUP(B792,CoreProteinGroups!$B:$C,2,FALSE)</f>
        <v>VETF-S</v>
      </c>
      <c r="D792" t="s">
        <v>1398</v>
      </c>
      <c r="E792" s="6" t="str">
        <f t="shared" si="12"/>
        <v>PROT:AAO89390.1</v>
      </c>
      <c r="F792" t="s">
        <v>1399</v>
      </c>
      <c r="G792" t="s">
        <v>101</v>
      </c>
      <c r="H792" t="s">
        <v>2693</v>
      </c>
      <c r="I792" t="str">
        <f>INDEX(Genomes!$I:$I,(MATCH(AllProteins!H792,Genomes!$B:$B,0)))</f>
        <v>AY243312-vaccinia_virus</v>
      </c>
      <c r="J792">
        <f>INDEX(Genomes!$A:$A,(MATCH(AllProteins!H792,Genomes!$B:$B,0)))</f>
        <v>52</v>
      </c>
      <c r="K792" t="str">
        <f>INDEX(Genomes!$J:$J,(MATCH(AllProteins!H792,Genomes!$B:$B,0)))</f>
        <v>Y</v>
      </c>
    </row>
    <row r="793" spans="1:11" x14ac:dyDescent="0.2">
      <c r="A793">
        <f>INDEX(CoreProteinGroups!A:A,MATCH(B793,CoreProteinGroups!B:B,0))</f>
        <v>14</v>
      </c>
      <c r="B793" s="1" t="s">
        <v>1332</v>
      </c>
      <c r="C793" t="str">
        <f>VLOOKUP(B793,CoreProteinGroups!$B:$C,2,FALSE)</f>
        <v>VETF-S</v>
      </c>
      <c r="D793" t="s">
        <v>1400</v>
      </c>
      <c r="E793" s="6" t="str">
        <f t="shared" si="12"/>
        <v>PROT:CAA49037.1</v>
      </c>
      <c r="F793" t="s">
        <v>1401</v>
      </c>
      <c r="G793" t="s">
        <v>2585</v>
      </c>
      <c r="H793" t="s">
        <v>2694</v>
      </c>
      <c r="I793" t="str">
        <f>INDEX(Genomes!$I:$I,(MATCH(AllProteins!H793,Genomes!$B:$B,0)))</f>
        <v>X69198-variola_major_virus</v>
      </c>
      <c r="J793">
        <f>INDEX(Genomes!$A:$A,(MATCH(AllProteins!H793,Genomes!$B:$B,0)))</f>
        <v>53</v>
      </c>
      <c r="K793" t="str">
        <f>INDEX(Genomes!$J:$J,(MATCH(AllProteins!H793,Genomes!$B:$B,0)))</f>
        <v>Y</v>
      </c>
    </row>
    <row r="794" spans="1:11" x14ac:dyDescent="0.2">
      <c r="A794">
        <f>INDEX(CoreProteinGroups!A:A,MATCH(B794,CoreProteinGroups!B:B,0))</f>
        <v>14</v>
      </c>
      <c r="B794" s="1" t="s">
        <v>1332</v>
      </c>
      <c r="C794" t="str">
        <f>VLOOKUP(B794,CoreProteinGroups!$B:$C,2,FALSE)</f>
        <v>VETF-S</v>
      </c>
      <c r="D794" t="s">
        <v>1402</v>
      </c>
      <c r="E794" s="6" t="str">
        <f t="shared" si="12"/>
        <v>PROT:CAB54696.1</v>
      </c>
      <c r="F794" t="s">
        <v>1403</v>
      </c>
      <c r="G794" t="s">
        <v>106</v>
      </c>
      <c r="H794" t="s">
        <v>2695</v>
      </c>
      <c r="I794" t="str">
        <f>INDEX(Genomes!$I:$I,(MATCH(AllProteins!H794,Genomes!$B:$B,0)))</f>
        <v>Y16780-variola_minor_virus</v>
      </c>
      <c r="J794">
        <f>INDEX(Genomes!$A:$A,(MATCH(AllProteins!H794,Genomes!$B:$B,0)))</f>
        <v>54</v>
      </c>
      <c r="K794" t="str">
        <f>INDEX(Genomes!$J:$J,(MATCH(AllProteins!H794,Genomes!$B:$B,0)))</f>
        <v>Y</v>
      </c>
    </row>
    <row r="795" spans="1:11" x14ac:dyDescent="0.2">
      <c r="A795">
        <f>INDEX(CoreProteinGroups!A:A,MATCH(B795,CoreProteinGroups!B:B,0))</f>
        <v>14</v>
      </c>
      <c r="B795" s="1" t="s">
        <v>1332</v>
      </c>
      <c r="C795" t="str">
        <f>VLOOKUP(B795,CoreProteinGroups!$B:$C,2,FALSE)</f>
        <v>VETF-S</v>
      </c>
      <c r="D795" t="s">
        <v>1404</v>
      </c>
      <c r="E795" s="6" t="str">
        <f t="shared" si="12"/>
        <v>PROT:AOP31800.1</v>
      </c>
      <c r="F795" t="s">
        <v>1395</v>
      </c>
      <c r="G795" t="s">
        <v>108</v>
      </c>
      <c r="H795" t="s">
        <v>2696</v>
      </c>
      <c r="I795" t="str">
        <f>INDEX(Genomes!$I:$I,(MATCH(AllProteins!H795,Genomes!$B:$B,0)))</f>
        <v>KU749311-volepox_virus</v>
      </c>
      <c r="J795">
        <f>INDEX(Genomes!$A:$A,(MATCH(AllProteins!H795,Genomes!$B:$B,0)))</f>
        <v>55</v>
      </c>
      <c r="K795" t="str">
        <f>INDEX(Genomes!$J:$J,(MATCH(AllProteins!H795,Genomes!$B:$B,0)))</f>
        <v>Y</v>
      </c>
    </row>
    <row r="796" spans="1:11" x14ac:dyDescent="0.2">
      <c r="A796">
        <f>INDEX(CoreProteinGroups!A:A,MATCH(B796,CoreProteinGroups!B:B,0))</f>
        <v>14</v>
      </c>
      <c r="B796" s="1" t="s">
        <v>1332</v>
      </c>
      <c r="C796" t="str">
        <f>VLOOKUP(B796,CoreProteinGroups!$B:$C,2,FALSE)</f>
        <v>VETF-S</v>
      </c>
      <c r="D796" t="s">
        <v>1405</v>
      </c>
      <c r="E796" s="6" t="str">
        <f t="shared" si="12"/>
        <v>PROT:ASC55571.1</v>
      </c>
      <c r="F796" t="s">
        <v>1406</v>
      </c>
      <c r="G796" t="s">
        <v>111</v>
      </c>
      <c r="H796" t="s">
        <v>2667</v>
      </c>
      <c r="I796" t="str">
        <f>INDEX(Genomes!$I:$I,(MATCH(AllProteins!H796,Genomes!$B:$B,0)))</f>
        <v>KY382358-seal_parapoxvirus</v>
      </c>
      <c r="J796">
        <f>INDEX(Genomes!$A:$A,(MATCH(AllProteins!H796,Genomes!$B:$B,0)))</f>
        <v>22</v>
      </c>
      <c r="K796" t="str">
        <f>INDEX(Genomes!$J:$J,(MATCH(AllProteins!H796,Genomes!$B:$B,0)))</f>
        <v>Y</v>
      </c>
    </row>
    <row r="797" spans="1:11" x14ac:dyDescent="0.2">
      <c r="A797">
        <f>INDEX(CoreProteinGroups!A:A,MATCH(B797,CoreProteinGroups!B:B,0))</f>
        <v>14</v>
      </c>
      <c r="B797" s="1" t="s">
        <v>1332</v>
      </c>
      <c r="C797" t="str">
        <f>VLOOKUP(B797,CoreProteinGroups!$B:$C,2,FALSE)</f>
        <v>VETF-S</v>
      </c>
      <c r="D797" t="s">
        <v>1407</v>
      </c>
      <c r="E797" s="6" t="str">
        <f t="shared" si="12"/>
        <v>PROT:AAR98426.1</v>
      </c>
      <c r="F797" t="s">
        <v>1408</v>
      </c>
      <c r="G797" t="s">
        <v>114</v>
      </c>
      <c r="H797" t="s">
        <v>2652</v>
      </c>
      <c r="I797" t="str">
        <f>INDEX(Genomes!$I:$I,(MATCH(AllProteins!H797,Genomes!$B:$B,0)))</f>
        <v>AY386265-bovine_papular_stomatitis_virus</v>
      </c>
      <c r="J797">
        <f>INDEX(Genomes!$A:$A,(MATCH(AllProteins!H797,Genomes!$B:$B,0)))</f>
        <v>6</v>
      </c>
      <c r="K797" t="str">
        <f>INDEX(Genomes!$J:$J,(MATCH(AllProteins!H797,Genomes!$B:$B,0)))</f>
        <v>Y</v>
      </c>
    </row>
    <row r="798" spans="1:11" x14ac:dyDescent="0.2">
      <c r="A798">
        <f>INDEX(CoreProteinGroups!A:A,MATCH(B798,CoreProteinGroups!B:B,0))</f>
        <v>14</v>
      </c>
      <c r="B798" s="1" t="s">
        <v>1332</v>
      </c>
      <c r="C798" t="str">
        <f>VLOOKUP(B798,CoreProteinGroups!$B:$C,2,FALSE)</f>
        <v>VETF-S</v>
      </c>
      <c r="D798" t="s">
        <v>1409</v>
      </c>
      <c r="E798" s="6" t="str">
        <f t="shared" si="12"/>
        <v>PROT:AAR98294.1</v>
      </c>
      <c r="F798" t="s">
        <v>1408</v>
      </c>
      <c r="G798" t="s">
        <v>2702</v>
      </c>
      <c r="H798" t="s">
        <v>2678</v>
      </c>
      <c r="I798" t="str">
        <f>INDEX(Genomes!$I:$I,(MATCH(AllProteins!H798,Genomes!$B:$B,0)))</f>
        <v>AY386264-orf_virus</v>
      </c>
      <c r="J798">
        <f>INDEX(Genomes!$A:$A,(MATCH(AllProteins!H798,Genomes!$B:$B,0)))</f>
        <v>35</v>
      </c>
      <c r="K798" t="str">
        <f>INDEX(Genomes!$J:$J,(MATCH(AllProteins!H798,Genomes!$B:$B,0)))</f>
        <v>Y</v>
      </c>
    </row>
    <row r="799" spans="1:11" x14ac:dyDescent="0.2">
      <c r="A799">
        <f>INDEX(CoreProteinGroups!A:A,MATCH(B799,CoreProteinGroups!B:B,0))</f>
        <v>14</v>
      </c>
      <c r="B799" s="1" t="s">
        <v>1332</v>
      </c>
      <c r="C799" t="str">
        <f>VLOOKUP(B799,CoreProteinGroups!$B:$C,2,FALSE)</f>
        <v>VETF-S</v>
      </c>
      <c r="D799" t="s">
        <v>1410</v>
      </c>
      <c r="E799" s="6" t="str">
        <f t="shared" si="12"/>
        <v>PROT:ABA00586.1</v>
      </c>
      <c r="F799" t="s">
        <v>862</v>
      </c>
      <c r="G799" t="s">
        <v>2555</v>
      </c>
      <c r="H799" t="s">
        <v>2645</v>
      </c>
      <c r="I799" t="str">
        <f>INDEX(Genomes!$I:$I,(MATCH(AllProteins!H799,Genomes!$B:$B,0)))</f>
        <v>DQ184476-orf_virus_strain_NZ2</v>
      </c>
      <c r="J799">
        <f>INDEX(Genomes!$A:$A,(MATCH(AllProteins!H799,Genomes!$B:$B,0)))</f>
        <v>36</v>
      </c>
      <c r="K799" t="str">
        <f>INDEX(Genomes!$J:$J,(MATCH(AllProteins!H799,Genomes!$B:$B,0)))</f>
        <v>N</v>
      </c>
    </row>
    <row r="800" spans="1:11" x14ac:dyDescent="0.2">
      <c r="A800">
        <f>INDEX(CoreProteinGroups!A:A,MATCH(B800,CoreProteinGroups!B:B,0))</f>
        <v>14</v>
      </c>
      <c r="B800" s="1" t="s">
        <v>1332</v>
      </c>
      <c r="C800" t="str">
        <f>VLOOKUP(B800,CoreProteinGroups!$B:$C,2,FALSE)</f>
        <v>VETF-S</v>
      </c>
      <c r="D800" t="s">
        <v>1411</v>
      </c>
      <c r="E800" s="6" t="str">
        <f t="shared" si="12"/>
        <v>PROT:AIZ77320.1</v>
      </c>
      <c r="F800" t="s">
        <v>1412</v>
      </c>
      <c r="G800" t="s">
        <v>119</v>
      </c>
      <c r="H800" t="s">
        <v>2684</v>
      </c>
      <c r="I800" t="str">
        <f>INDEX(Genomes!$I:$I,(MATCH(AllProteins!H800,Genomes!$B:$B,0)))</f>
        <v>KM502564-parapoxvirus_red_deer</v>
      </c>
      <c r="J800">
        <f>INDEX(Genomes!$A:$A,(MATCH(AllProteins!H800,Genomes!$B:$B,0)))</f>
        <v>42</v>
      </c>
      <c r="K800" t="str">
        <f>INDEX(Genomes!$J:$J,(MATCH(AllProteins!H800,Genomes!$B:$B,0)))</f>
        <v>Y</v>
      </c>
    </row>
    <row r="801" spans="1:11" x14ac:dyDescent="0.2">
      <c r="A801">
        <f>INDEX(CoreProteinGroups!A:A,MATCH(B801,CoreProteinGroups!B:B,0))</f>
        <v>14</v>
      </c>
      <c r="B801" s="1" t="s">
        <v>1332</v>
      </c>
      <c r="C801" t="str">
        <f>VLOOKUP(B801,CoreProteinGroups!$B:$C,2,FALSE)</f>
        <v>VETF-S</v>
      </c>
      <c r="D801" t="s">
        <v>1413</v>
      </c>
      <c r="E801" s="6" t="str">
        <f t="shared" si="12"/>
        <v>PROT:ADC53970.1</v>
      </c>
      <c r="F801" t="s">
        <v>862</v>
      </c>
      <c r="G801" t="s">
        <v>121</v>
      </c>
      <c r="H801" t="s">
        <v>2679</v>
      </c>
      <c r="I801" t="str">
        <f>INDEX(Genomes!$I:$I,(MATCH(AllProteins!H801,Genomes!$B:$B,0)))</f>
        <v>GQ329670-pseudocowpox_virus</v>
      </c>
      <c r="J801">
        <f>INDEX(Genomes!$A:$A,(MATCH(AllProteins!H801,Genomes!$B:$B,0)))</f>
        <v>37</v>
      </c>
      <c r="K801" t="str">
        <f>INDEX(Genomes!$J:$J,(MATCH(AllProteins!H801,Genomes!$B:$B,0)))</f>
        <v>Y</v>
      </c>
    </row>
    <row r="802" spans="1:11" x14ac:dyDescent="0.2">
      <c r="A802">
        <f>INDEX(CoreProteinGroups!A:A,MATCH(B802,CoreProteinGroups!B:B,0))</f>
        <v>14</v>
      </c>
      <c r="B802" s="1" t="s">
        <v>1332</v>
      </c>
      <c r="C802" t="str">
        <f>VLOOKUP(B802,CoreProteinGroups!$B:$C,2,FALSE)</f>
        <v>VETF-S</v>
      </c>
      <c r="D802" t="s">
        <v>1414</v>
      </c>
      <c r="E802" s="6" t="str">
        <f t="shared" si="12"/>
        <v>PROT:AAL69820.1</v>
      </c>
      <c r="F802" t="s">
        <v>1415</v>
      </c>
      <c r="G802" t="s">
        <v>124</v>
      </c>
      <c r="H802" t="s">
        <v>2690</v>
      </c>
      <c r="I802" t="str">
        <f>INDEX(Genomes!$I:$I,(MATCH(AllProteins!H802,Genomes!$B:$B,0)))</f>
        <v>AF410153-swinepox_virus</v>
      </c>
      <c r="J802">
        <f>INDEX(Genomes!$A:$A,(MATCH(AllProteins!H802,Genomes!$B:$B,0)))</f>
        <v>49</v>
      </c>
      <c r="K802" t="str">
        <f>INDEX(Genomes!$J:$J,(MATCH(AllProteins!H802,Genomes!$B:$B,0)))</f>
        <v>Y</v>
      </c>
    </row>
    <row r="803" spans="1:11" x14ac:dyDescent="0.2">
      <c r="A803">
        <f>INDEX(CoreProteinGroups!A:A,MATCH(B803,CoreProteinGroups!B:B,0))</f>
        <v>14</v>
      </c>
      <c r="B803" s="1" t="s">
        <v>1332</v>
      </c>
      <c r="C803" t="str">
        <f>VLOOKUP(B803,CoreProteinGroups!$B:$C,2,FALSE)</f>
        <v>VETF-S</v>
      </c>
      <c r="D803" t="s">
        <v>1416</v>
      </c>
      <c r="E803" s="6" t="str">
        <f t="shared" si="12"/>
        <v>PROT:CAC21322.1</v>
      </c>
      <c r="F803" t="s">
        <v>1417</v>
      </c>
      <c r="G803" t="s">
        <v>127</v>
      </c>
      <c r="H803" t="s">
        <v>2699</v>
      </c>
      <c r="I803" t="str">
        <f>INDEX(Genomes!$I:$I,(MATCH(AllProteins!H803,Genomes!$B:$B,0)))</f>
        <v>AJ293568-tanapox_virus</v>
      </c>
      <c r="J803">
        <f>INDEX(Genomes!$A:$A,(MATCH(AllProteins!H803,Genomes!$B:$B,0)))</f>
        <v>58</v>
      </c>
      <c r="K803" t="str">
        <f>INDEX(Genomes!$J:$J,(MATCH(AllProteins!H803,Genomes!$B:$B,0)))</f>
        <v>Y</v>
      </c>
    </row>
    <row r="804" spans="1:11" x14ac:dyDescent="0.2">
      <c r="A804">
        <f>INDEX(CoreProteinGroups!A:A,MATCH(B804,CoreProteinGroups!B:B,0))</f>
        <v>14</v>
      </c>
      <c r="B804" s="1" t="s">
        <v>1332</v>
      </c>
      <c r="C804" t="str">
        <f>VLOOKUP(B804,CoreProteinGroups!$B:$C,2,FALSE)</f>
        <v>VETF-S</v>
      </c>
      <c r="D804" t="s">
        <v>1418</v>
      </c>
      <c r="E804" s="6" t="str">
        <f t="shared" si="12"/>
        <v>PROT:AAR07440.1</v>
      </c>
      <c r="F804" t="s">
        <v>1419</v>
      </c>
      <c r="G804" t="s">
        <v>130</v>
      </c>
      <c r="H804" t="s">
        <v>2700</v>
      </c>
      <c r="I804" t="str">
        <f>INDEX(Genomes!$I:$I,(MATCH(AllProteins!H804,Genomes!$B:$B,0)))</f>
        <v>AY386371-Yaba_monkey_tumor_virus</v>
      </c>
      <c r="J804">
        <f>INDEX(Genomes!$A:$A,(MATCH(AllProteins!H804,Genomes!$B:$B,0)))</f>
        <v>59</v>
      </c>
      <c r="K804" t="str">
        <f>INDEX(Genomes!$J:$J,(MATCH(AllProteins!H804,Genomes!$B:$B,0)))</f>
        <v>Y</v>
      </c>
    </row>
    <row r="805" spans="1:11" x14ac:dyDescent="0.2">
      <c r="A805">
        <f>INDEX(CoreProteinGroups!A:A,MATCH(B805,CoreProteinGroups!B:B,0))</f>
        <v>14</v>
      </c>
      <c r="B805" s="1" t="s">
        <v>1332</v>
      </c>
      <c r="C805" t="str">
        <f>VLOOKUP(B805,CoreProteinGroups!$B:$C,2,FALSE)</f>
        <v>VETF-S</v>
      </c>
      <c r="D805" t="s">
        <v>1420</v>
      </c>
      <c r="E805" s="6" t="str">
        <f t="shared" si="12"/>
        <v>PROT:AAC97658.1</v>
      </c>
      <c r="F805" t="s">
        <v>1421</v>
      </c>
      <c r="G805" t="s">
        <v>133</v>
      </c>
      <c r="H805" t="s">
        <v>2674</v>
      </c>
      <c r="I805" t="str">
        <f>INDEX(Genomes!$I:$I,(MATCH(AllProteins!H805,Genomes!$B:$B,0)))</f>
        <v>AF063866-Melanoplus_sanguinipes_entomopoxvirus</v>
      </c>
      <c r="J805">
        <f>INDEX(Genomes!$A:$A,(MATCH(AllProteins!H805,Genomes!$B:$B,0)))</f>
        <v>30</v>
      </c>
      <c r="K805" t="str">
        <f>INDEX(Genomes!$J:$J,(MATCH(AllProteins!H805,Genomes!$B:$B,0)))</f>
        <v>Y</v>
      </c>
    </row>
    <row r="806" spans="1:11" x14ac:dyDescent="0.2">
      <c r="A806">
        <f>INDEX(CoreProteinGroups!A:A,MATCH(B806,CoreProteinGroups!B:B,0))</f>
        <v>14</v>
      </c>
      <c r="B806" s="1" t="s">
        <v>1332</v>
      </c>
      <c r="C806" t="str">
        <f>VLOOKUP(B806,CoreProteinGroups!$B:$C,2,FALSE)</f>
        <v>VETF-S</v>
      </c>
      <c r="D806" t="s">
        <v>1422</v>
      </c>
      <c r="E806" s="6" t="str">
        <f t="shared" si="12"/>
        <v>PROT:BAO49470.1</v>
      </c>
      <c r="F806" t="s">
        <v>1423</v>
      </c>
      <c r="G806" t="s">
        <v>136</v>
      </c>
      <c r="H806" t="s">
        <v>2648</v>
      </c>
      <c r="I806" t="str">
        <f>INDEX(Genomes!$I:$I,(MATCH(AllProteins!H806,Genomes!$B:$B,0)))</f>
        <v>AP013055-Anomala_cuprea_entomopoxvirus</v>
      </c>
      <c r="J806">
        <f>INDEX(Genomes!$A:$A,(MATCH(AllProteins!H806,Genomes!$B:$B,0)))</f>
        <v>2</v>
      </c>
      <c r="K806" t="str">
        <f>INDEX(Genomes!$J:$J,(MATCH(AllProteins!H806,Genomes!$B:$B,0)))</f>
        <v>Y</v>
      </c>
    </row>
    <row r="807" spans="1:11" x14ac:dyDescent="0.2">
      <c r="A807">
        <f>INDEX(CoreProteinGroups!A:A,MATCH(B807,CoreProteinGroups!B:B,0))</f>
        <v>14</v>
      </c>
      <c r="B807" s="1" t="s">
        <v>1332</v>
      </c>
      <c r="C807" t="str">
        <f>VLOOKUP(B807,CoreProteinGroups!$B:$C,2,FALSE)</f>
        <v>VETF-S</v>
      </c>
      <c r="D807" t="s">
        <v>1424</v>
      </c>
      <c r="E807" s="6" t="str">
        <f t="shared" si="12"/>
        <v>PROT:CCU55480.1</v>
      </c>
      <c r="F807" t="s">
        <v>1425</v>
      </c>
      <c r="G807" t="s">
        <v>138</v>
      </c>
      <c r="H807" t="s">
        <v>2649</v>
      </c>
      <c r="I807" t="str">
        <f>INDEX(Genomes!$I:$I,(MATCH(AllProteins!H807,Genomes!$B:$B,0)))</f>
        <v>HF679131-Adoxophyes_honmai_entomopoxvirus</v>
      </c>
      <c r="J807">
        <f>INDEX(Genomes!$A:$A,(MATCH(AllProteins!H807,Genomes!$B:$B,0)))</f>
        <v>3</v>
      </c>
      <c r="K807" t="str">
        <f>INDEX(Genomes!$J:$J,(MATCH(AllProteins!H807,Genomes!$B:$B,0)))</f>
        <v>Y</v>
      </c>
    </row>
    <row r="808" spans="1:11" x14ac:dyDescent="0.2">
      <c r="A808">
        <f>INDEX(CoreProteinGroups!A:A,MATCH(B808,CoreProteinGroups!B:B,0))</f>
        <v>14</v>
      </c>
      <c r="B808" s="1" t="s">
        <v>1332</v>
      </c>
      <c r="C808" t="str">
        <f>VLOOKUP(B808,CoreProteinGroups!$B:$C,2,FALSE)</f>
        <v>VETF-S</v>
      </c>
      <c r="D808" t="s">
        <v>1426</v>
      </c>
      <c r="E808" s="6" t="str">
        <f t="shared" si="12"/>
        <v>PROT:AAG02880.1</v>
      </c>
      <c r="F808" t="s">
        <v>1427</v>
      </c>
      <c r="G808" t="s">
        <v>141</v>
      </c>
      <c r="H808" t="s">
        <v>2651</v>
      </c>
      <c r="I808" t="str">
        <f>INDEX(Genomes!$I:$I,(MATCH(AllProteins!H808,Genomes!$B:$B,0)))</f>
        <v>AF250284-Amsacta_moorei_entomopoxvirus</v>
      </c>
      <c r="J808">
        <f>INDEX(Genomes!$A:$A,(MATCH(AllProteins!H808,Genomes!$B:$B,0)))</f>
        <v>5</v>
      </c>
      <c r="K808" t="str">
        <f>INDEX(Genomes!$J:$J,(MATCH(AllProteins!H808,Genomes!$B:$B,0)))</f>
        <v>Y</v>
      </c>
    </row>
    <row r="809" spans="1:11" x14ac:dyDescent="0.2">
      <c r="A809">
        <f>INDEX(CoreProteinGroups!A:A,MATCH(B809,CoreProteinGroups!B:B,0))</f>
        <v>14</v>
      </c>
      <c r="B809" s="1" t="s">
        <v>1332</v>
      </c>
      <c r="C809" t="str">
        <f>VLOOKUP(B809,CoreProteinGroups!$B:$C,2,FALSE)</f>
        <v>VETF-S</v>
      </c>
      <c r="D809" t="s">
        <v>1428</v>
      </c>
      <c r="E809" s="6" t="str">
        <f t="shared" si="12"/>
        <v>PROT:CCU55785.1</v>
      </c>
      <c r="F809" t="s">
        <v>1425</v>
      </c>
      <c r="G809" t="s">
        <v>143</v>
      </c>
      <c r="H809" t="s">
        <v>2656</v>
      </c>
      <c r="I809" t="str">
        <f>INDEX(Genomes!$I:$I,(MATCH(AllProteins!H809,Genomes!$B:$B,0)))</f>
        <v>HF679132-Choristoneura_biennis_entomopoxvirus</v>
      </c>
      <c r="J809">
        <f>INDEX(Genomes!$A:$A,(MATCH(AllProteins!H809,Genomes!$B:$B,0)))</f>
        <v>10</v>
      </c>
      <c r="K809" t="str">
        <f>INDEX(Genomes!$J:$J,(MATCH(AllProteins!H809,Genomes!$B:$B,0)))</f>
        <v>Y</v>
      </c>
    </row>
    <row r="810" spans="1:11" x14ac:dyDescent="0.2">
      <c r="A810">
        <f>INDEX(CoreProteinGroups!A:A,MATCH(B810,CoreProteinGroups!B:B,0))</f>
        <v>14</v>
      </c>
      <c r="B810" s="1" t="s">
        <v>1332</v>
      </c>
      <c r="C810" t="str">
        <f>VLOOKUP(B810,CoreProteinGroups!$B:$C,2,FALSE)</f>
        <v>VETF-S</v>
      </c>
      <c r="D810" t="s">
        <v>1429</v>
      </c>
      <c r="E810" s="6" t="str">
        <f t="shared" si="12"/>
        <v>PROT:CCU56087.1</v>
      </c>
      <c r="F810" t="s">
        <v>1425</v>
      </c>
      <c r="G810" t="s">
        <v>145</v>
      </c>
      <c r="H810" t="s">
        <v>2660</v>
      </c>
      <c r="I810" t="str">
        <f>INDEX(Genomes!$I:$I,(MATCH(AllProteins!H810,Genomes!$B:$B,0)))</f>
        <v>HF679133-Choristoneura_rosaceana_entomopoxvirus</v>
      </c>
      <c r="J810">
        <f>INDEX(Genomes!$A:$A,(MATCH(AllProteins!H810,Genomes!$B:$B,0)))</f>
        <v>14</v>
      </c>
      <c r="K810" t="str">
        <f>INDEX(Genomes!$J:$J,(MATCH(AllProteins!H810,Genomes!$B:$B,0)))</f>
        <v>Y</v>
      </c>
    </row>
    <row r="811" spans="1:11" x14ac:dyDescent="0.2">
      <c r="A811">
        <f>INDEX(CoreProteinGroups!A:A,MATCH(B811,CoreProteinGroups!B:B,0))</f>
        <v>14</v>
      </c>
      <c r="B811" s="1" t="s">
        <v>1332</v>
      </c>
      <c r="C811" t="str">
        <f>VLOOKUP(B811,CoreProteinGroups!$B:$C,2,FALSE)</f>
        <v>VETF-S</v>
      </c>
      <c r="D811" t="s">
        <v>1430</v>
      </c>
      <c r="E811" s="6" t="str">
        <f t="shared" si="12"/>
        <v>PROT:CCU56412.1</v>
      </c>
      <c r="F811" t="s">
        <v>1425</v>
      </c>
      <c r="G811" t="s">
        <v>147</v>
      </c>
      <c r="H811" t="s">
        <v>2675</v>
      </c>
      <c r="I811" t="str">
        <f>INDEX(Genomes!$I:$I,(MATCH(AllProteins!H811,Genomes!$B:$B,0)))</f>
        <v>HF679134-Mythimna_separata_entomopoxvirus</v>
      </c>
      <c r="J811">
        <f>INDEX(Genomes!$A:$A,(MATCH(AllProteins!H811,Genomes!$B:$B,0)))</f>
        <v>31</v>
      </c>
      <c r="K811" t="str">
        <f>INDEX(Genomes!$J:$J,(MATCH(AllProteins!H811,Genomes!$B:$B,0)))</f>
        <v>Y</v>
      </c>
    </row>
    <row r="812" spans="1:11" x14ac:dyDescent="0.2">
      <c r="A812">
        <f>INDEX(CoreProteinGroups!A:A,MATCH(B812,CoreProteinGroups!B:B,0))</f>
        <v>14</v>
      </c>
      <c r="B812" s="1" t="s">
        <v>1332</v>
      </c>
      <c r="C812" t="str">
        <f>VLOOKUP(B812,CoreProteinGroups!$B:$C,2,FALSE)</f>
        <v>VETF-S</v>
      </c>
      <c r="D812" t="s">
        <v>1431</v>
      </c>
      <c r="E812" s="6" t="str">
        <f t="shared" si="12"/>
        <v>PROT:NP_659656.1</v>
      </c>
      <c r="F812" t="s">
        <v>1432</v>
      </c>
      <c r="G812" t="s">
        <v>150</v>
      </c>
      <c r="H812" t="s">
        <v>2620</v>
      </c>
      <c r="I812" t="str">
        <f>INDEX(Genomes!$I:$I,(MATCH(AllProteins!H812,Genomes!$B:$B,0)))</f>
        <v>NC_004002-sheeppox_virus</v>
      </c>
      <c r="J812">
        <f>INDEX(Genomes!$A:$A,(MATCH(AllProteins!H812,Genomes!$B:$B,0)))</f>
        <v>44</v>
      </c>
      <c r="K812" t="str">
        <f>INDEX(Genomes!$J:$J,(MATCH(AllProteins!H812,Genomes!$B:$B,0)))</f>
        <v>Y</v>
      </c>
    </row>
    <row r="813" spans="1:11" x14ac:dyDescent="0.2">
      <c r="A813">
        <f>INDEX(CoreProteinGroups!A:A,MATCH(B813,CoreProteinGroups!B:B,0))</f>
        <v>14</v>
      </c>
      <c r="B813" s="1" t="s">
        <v>1332</v>
      </c>
      <c r="C813" t="str">
        <f>VLOOKUP(B813,CoreProteinGroups!$B:$C,2,FALSE)</f>
        <v>VETF-S</v>
      </c>
      <c r="D813" t="s">
        <v>1433</v>
      </c>
      <c r="E813" s="6" t="str">
        <f t="shared" si="12"/>
        <v>PROT:YP_001293275.1</v>
      </c>
      <c r="F813" t="s">
        <v>1434</v>
      </c>
      <c r="G813" t="s">
        <v>153</v>
      </c>
      <c r="H813" t="s">
        <v>2644</v>
      </c>
      <c r="I813" t="str">
        <f>INDEX(Genomes!$I:$I,(MATCH(AllProteins!H813,Genomes!$B:$B,0)))</f>
        <v>NC_004003-goatpox_virus</v>
      </c>
      <c r="J813">
        <f>INDEX(Genomes!$A:$A,(MATCH(AllProteins!H813,Genomes!$B:$B,0)))</f>
        <v>23</v>
      </c>
      <c r="K813" t="str">
        <f>INDEX(Genomes!$J:$J,(MATCH(AllProteins!H813,Genomes!$B:$B,0)))</f>
        <v>Y</v>
      </c>
    </row>
    <row r="814" spans="1:11" x14ac:dyDescent="0.2">
      <c r="A814">
        <f>INDEX(CoreProteinGroups!A:A,MATCH(B814,CoreProteinGroups!B:B,0))</f>
        <v>16</v>
      </c>
      <c r="B814" s="1" t="s">
        <v>1435</v>
      </c>
      <c r="C814" t="str">
        <f>VLOOKUP(B814,CoreProteinGroups!$B:$C,2,FALSE)</f>
        <v>polyA polymerase large</v>
      </c>
      <c r="D814" t="s">
        <v>1437</v>
      </c>
      <c r="E814" s="6" t="str">
        <f t="shared" si="12"/>
        <v>PROT:ATI21138.1</v>
      </c>
      <c r="F814" t="s">
        <v>1438</v>
      </c>
      <c r="G814" t="s">
        <v>11</v>
      </c>
      <c r="H814" t="s">
        <v>2663</v>
      </c>
      <c r="I814" t="str">
        <f>INDEX(Genomes!$I:$I,(MATCH(AllProteins!H814,Genomes!$B:$B,0)))</f>
        <v>MF467281-Eastern_grey_kangaroopox_virus</v>
      </c>
      <c r="J814">
        <f>INDEX(Genomes!$A:$A,(MATCH(AllProteins!H814,Genomes!$B:$B,0)))</f>
        <v>18</v>
      </c>
      <c r="K814" t="str">
        <f>INDEX(Genomes!$J:$J,(MATCH(AllProteins!H814,Genomes!$B:$B,0)))</f>
        <v>Y</v>
      </c>
    </row>
    <row r="815" spans="1:11" x14ac:dyDescent="0.2">
      <c r="A815">
        <f>INDEX(CoreProteinGroups!A:A,MATCH(B815,CoreProteinGroups!B:B,0))</f>
        <v>16</v>
      </c>
      <c r="B815" s="1" t="s">
        <v>1435</v>
      </c>
      <c r="C815" t="str">
        <f>VLOOKUP(B815,CoreProteinGroups!$B:$C,2,FALSE)</f>
        <v>polyA polymerase large</v>
      </c>
      <c r="D815" t="s">
        <v>1439</v>
      </c>
      <c r="E815" s="6" t="str">
        <f t="shared" si="12"/>
        <v>PROT:AWU47070.1</v>
      </c>
      <c r="F815" t="s">
        <v>1440</v>
      </c>
      <c r="G815" t="s">
        <v>13</v>
      </c>
      <c r="H815" t="s">
        <v>2688</v>
      </c>
      <c r="I815" t="str">
        <f>INDEX(Genomes!$I:$I,(MATCH(AllProteins!H815,Genomes!$B:$B,0)))</f>
        <v>MH427217-sea_otter_poxvirus</v>
      </c>
      <c r="J815">
        <f>INDEX(Genomes!$A:$A,(MATCH(AllProteins!H815,Genomes!$B:$B,0)))</f>
        <v>47</v>
      </c>
      <c r="K815" t="str">
        <f>INDEX(Genomes!$J:$J,(MATCH(AllProteins!H815,Genomes!$B:$B,0)))</f>
        <v>Y</v>
      </c>
    </row>
    <row r="816" spans="1:11" x14ac:dyDescent="0.2">
      <c r="A816">
        <f>INDEX(CoreProteinGroups!A:A,MATCH(B816,CoreProteinGroups!B:B,0))</f>
        <v>16</v>
      </c>
      <c r="B816" s="1" t="s">
        <v>1435</v>
      </c>
      <c r="C816" t="str">
        <f>VLOOKUP(B816,CoreProteinGroups!$B:$C,2,FALSE)</f>
        <v>polyA polymerase large</v>
      </c>
      <c r="D816" t="s">
        <v>1441</v>
      </c>
      <c r="E816" s="6" t="str">
        <f t="shared" si="12"/>
        <v>PROT:APG58240.1</v>
      </c>
      <c r="F816" t="s">
        <v>1442</v>
      </c>
      <c r="G816" t="s">
        <v>16</v>
      </c>
      <c r="H816" t="s">
        <v>2653</v>
      </c>
      <c r="I816" t="str">
        <f>INDEX(Genomes!$I:$I,(MATCH(AllProteins!H816,Genomes!$B:$B,0)))</f>
        <v>KY094066-BeAn_58058_virus</v>
      </c>
      <c r="J816">
        <f>INDEX(Genomes!$A:$A,(MATCH(AllProteins!H816,Genomes!$B:$B,0)))</f>
        <v>7</v>
      </c>
      <c r="K816" t="str">
        <f>INDEX(Genomes!$J:$J,(MATCH(AllProteins!H816,Genomes!$B:$B,0)))</f>
        <v>N</v>
      </c>
    </row>
    <row r="817" spans="1:11" x14ac:dyDescent="0.2">
      <c r="A817">
        <f>INDEX(CoreProteinGroups!A:A,MATCH(B817,CoreProteinGroups!B:B,0))</f>
        <v>16</v>
      </c>
      <c r="B817" s="1" t="s">
        <v>1435</v>
      </c>
      <c r="C817" t="str">
        <f>VLOOKUP(B817,CoreProteinGroups!$B:$C,2,FALSE)</f>
        <v>polyA polymerase large</v>
      </c>
      <c r="D817" t="s">
        <v>1443</v>
      </c>
      <c r="E817" s="6" t="str">
        <f t="shared" si="12"/>
        <v>PROT:ADT91067.1</v>
      </c>
      <c r="F817" t="s">
        <v>1444</v>
      </c>
      <c r="G817" t="s">
        <v>19</v>
      </c>
      <c r="H817" t="s">
        <v>2658</v>
      </c>
      <c r="I817" t="str">
        <f>INDEX(Genomes!$I:$I,(MATCH(AllProteins!H817,Genomes!$B:$B,0)))</f>
        <v>HQ647181-Cotia_virus</v>
      </c>
      <c r="J817">
        <f>INDEX(Genomes!$A:$A,(MATCH(AllProteins!H817,Genomes!$B:$B,0)))</f>
        <v>12</v>
      </c>
      <c r="K817" t="str">
        <f>INDEX(Genomes!$J:$J,(MATCH(AllProteins!H817,Genomes!$B:$B,0)))</f>
        <v>Y</v>
      </c>
    </row>
    <row r="818" spans="1:11" x14ac:dyDescent="0.2">
      <c r="A818">
        <f>INDEX(CoreProteinGroups!A:A,MATCH(B818,CoreProteinGroups!B:B,0))</f>
        <v>16</v>
      </c>
      <c r="B818" s="1" t="s">
        <v>1435</v>
      </c>
      <c r="C818" t="str">
        <f>VLOOKUP(B818,CoreProteinGroups!$B:$C,2,FALSE)</f>
        <v>polyA polymerase large</v>
      </c>
      <c r="D818" t="s">
        <v>1445</v>
      </c>
      <c r="E818" s="6" t="str">
        <f t="shared" si="12"/>
        <v>PROT:ANS71113.1</v>
      </c>
      <c r="F818" t="s">
        <v>1446</v>
      </c>
      <c r="G818" t="s">
        <v>21</v>
      </c>
      <c r="H818" t="s">
        <v>2682</v>
      </c>
      <c r="I818" t="str">
        <f>INDEX(Genomes!$I:$I,(MATCH(AllProteins!H818,Genomes!$B:$B,0)))</f>
        <v>KU980965-pteropox_virus</v>
      </c>
      <c r="J818">
        <f>INDEX(Genomes!$A:$A,(MATCH(AllProteins!H818,Genomes!$B:$B,0)))</f>
        <v>40</v>
      </c>
      <c r="K818" t="str">
        <f>INDEX(Genomes!$J:$J,(MATCH(AllProteins!H818,Genomes!$B:$B,0)))</f>
        <v>Y</v>
      </c>
    </row>
    <row r="819" spans="1:11" x14ac:dyDescent="0.2">
      <c r="A819">
        <f>INDEX(CoreProteinGroups!A:A,MATCH(B819,CoreProteinGroups!B:B,0))</f>
        <v>16</v>
      </c>
      <c r="B819" s="1" t="s">
        <v>1435</v>
      </c>
      <c r="C819" t="str">
        <f>VLOOKUP(B819,CoreProteinGroups!$B:$C,2,FALSE)</f>
        <v>polyA polymerase large</v>
      </c>
      <c r="D819" t="s">
        <v>1447</v>
      </c>
      <c r="E819" s="6" t="str">
        <f t="shared" si="12"/>
        <v>PROT:AKR04194.1</v>
      </c>
      <c r="F819" t="s">
        <v>1448</v>
      </c>
      <c r="G819" t="s">
        <v>24</v>
      </c>
      <c r="H819" t="s">
        <v>2687</v>
      </c>
      <c r="I819" t="str">
        <f>INDEX(Genomes!$I:$I,(MATCH(AllProteins!H819,Genomes!$B:$B,0)))</f>
        <v>KT159937-salmon_gill_poxvirus</v>
      </c>
      <c r="J819">
        <f>INDEX(Genomes!$A:$A,(MATCH(AllProteins!H819,Genomes!$B:$B,0)))</f>
        <v>46</v>
      </c>
      <c r="K819" t="str">
        <f>INDEX(Genomes!$J:$J,(MATCH(AllProteins!H819,Genomes!$B:$B,0)))</f>
        <v>Y</v>
      </c>
    </row>
    <row r="820" spans="1:11" x14ac:dyDescent="0.2">
      <c r="A820">
        <f>INDEX(CoreProteinGroups!A:A,MATCH(B820,CoreProteinGroups!B:B,0))</f>
        <v>16</v>
      </c>
      <c r="B820" s="1" t="s">
        <v>1435</v>
      </c>
      <c r="C820" t="str">
        <f>VLOOKUP(B820,CoreProteinGroups!$B:$C,2,FALSE)</f>
        <v>polyA polymerase large</v>
      </c>
      <c r="D820" t="s">
        <v>1449</v>
      </c>
      <c r="E820" s="6" t="str">
        <f t="shared" si="12"/>
        <v>PROT:CCD83206.1</v>
      </c>
      <c r="F820" t="s">
        <v>1448</v>
      </c>
      <c r="G820" t="s">
        <v>27</v>
      </c>
      <c r="H820" t="s">
        <v>2689</v>
      </c>
      <c r="I820" t="str">
        <f>INDEX(Genomes!$I:$I,(MATCH(AllProteins!H820,Genomes!$B:$B,0)))</f>
        <v>HE601899-squirrelpox_virus</v>
      </c>
      <c r="J820">
        <f>INDEX(Genomes!$A:$A,(MATCH(AllProteins!H820,Genomes!$B:$B,0)))</f>
        <v>48</v>
      </c>
      <c r="K820" t="str">
        <f>INDEX(Genomes!$J:$J,(MATCH(AllProteins!H820,Genomes!$B:$B,0)))</f>
        <v>Y</v>
      </c>
    </row>
    <row r="821" spans="1:11" x14ac:dyDescent="0.2">
      <c r="A821">
        <f>INDEX(CoreProteinGroups!A:A,MATCH(B821,CoreProteinGroups!B:B,0))</f>
        <v>16</v>
      </c>
      <c r="B821" s="1" t="s">
        <v>1435</v>
      </c>
      <c r="C821" t="str">
        <f>VLOOKUP(B821,CoreProteinGroups!$B:$C,2,FALSE)</f>
        <v>polyA polymerase large</v>
      </c>
      <c r="D821" t="s">
        <v>1450</v>
      </c>
      <c r="E821" s="6" t="str">
        <f t="shared" si="12"/>
        <v>PROT:ASK51236.1</v>
      </c>
      <c r="F821" t="s">
        <v>1451</v>
      </c>
      <c r="G821" t="s">
        <v>30</v>
      </c>
      <c r="H821" t="s">
        <v>2664</v>
      </c>
      <c r="I821" t="str">
        <f>INDEX(Genomes!$I:$I,(MATCH(AllProteins!H821,Genomes!$B:$B,0)))</f>
        <v>KY747497-eptesipox_virus</v>
      </c>
      <c r="J821">
        <f>INDEX(Genomes!$A:$A,(MATCH(AllProteins!H821,Genomes!$B:$B,0)))</f>
        <v>19</v>
      </c>
      <c r="K821" t="str">
        <f>INDEX(Genomes!$J:$J,(MATCH(AllProteins!H821,Genomes!$B:$B,0)))</f>
        <v>Y</v>
      </c>
    </row>
    <row r="822" spans="1:11" x14ac:dyDescent="0.2">
      <c r="A822">
        <f>INDEX(CoreProteinGroups!A:A,MATCH(B822,CoreProteinGroups!B:B,0))</f>
        <v>16</v>
      </c>
      <c r="B822" s="1" t="s">
        <v>1435</v>
      </c>
      <c r="C822" t="str">
        <f>VLOOKUP(B822,CoreProteinGroups!$B:$C,2,FALSE)</f>
        <v>polyA polymerase large</v>
      </c>
      <c r="D822" t="s">
        <v>1452</v>
      </c>
      <c r="E822" s="6" t="str">
        <f t="shared" si="12"/>
        <v>PROT:AUD40206.1</v>
      </c>
      <c r="F822" t="s">
        <v>1444</v>
      </c>
      <c r="G822" t="s">
        <v>32</v>
      </c>
      <c r="H822" t="s">
        <v>2665</v>
      </c>
      <c r="I822" t="str">
        <f>INDEX(Genomes!$I:$I,(MATCH(AllProteins!H822,Genomes!$B:$B,0)))</f>
        <v>MF678796-flamingopox_virus</v>
      </c>
      <c r="J822">
        <f>INDEX(Genomes!$A:$A,(MATCH(AllProteins!H822,Genomes!$B:$B,0)))</f>
        <v>20</v>
      </c>
      <c r="K822" t="str">
        <f>INDEX(Genomes!$J:$J,(MATCH(AllProteins!H822,Genomes!$B:$B,0)))</f>
        <v>Y</v>
      </c>
    </row>
    <row r="823" spans="1:11" x14ac:dyDescent="0.2">
      <c r="A823">
        <f>INDEX(CoreProteinGroups!A:A,MATCH(B823,CoreProteinGroups!B:B,0))</f>
        <v>16</v>
      </c>
      <c r="B823" s="1" t="s">
        <v>1435</v>
      </c>
      <c r="C823" t="str">
        <f>VLOOKUP(B823,CoreProteinGroups!$B:$C,2,FALSE)</f>
        <v>polyA polymerase large</v>
      </c>
      <c r="D823" t="s">
        <v>1453</v>
      </c>
      <c r="E823" s="6" t="str">
        <f t="shared" si="12"/>
        <v>PROT:AID46841.1</v>
      </c>
      <c r="F823" t="s">
        <v>1454</v>
      </c>
      <c r="G823" t="s">
        <v>34</v>
      </c>
      <c r="H823" t="s">
        <v>2681</v>
      </c>
      <c r="I823" t="str">
        <f>INDEX(Genomes!$I:$I,(MATCH(AllProteins!H823,Genomes!$B:$B,0)))</f>
        <v>KJ859677-penguinpox_virus</v>
      </c>
      <c r="J823">
        <f>INDEX(Genomes!$A:$A,(MATCH(AllProteins!H823,Genomes!$B:$B,0)))</f>
        <v>39</v>
      </c>
      <c r="K823" t="str">
        <f>INDEX(Genomes!$J:$J,(MATCH(AllProteins!H823,Genomes!$B:$B,0)))</f>
        <v>Y</v>
      </c>
    </row>
    <row r="824" spans="1:11" x14ac:dyDescent="0.2">
      <c r="A824">
        <f>INDEX(CoreProteinGroups!A:A,MATCH(B824,CoreProteinGroups!B:B,0))</f>
        <v>16</v>
      </c>
      <c r="B824" s="1" t="s">
        <v>1435</v>
      </c>
      <c r="C824" t="str">
        <f>VLOOKUP(B824,CoreProteinGroups!$B:$C,2,FALSE)</f>
        <v>polyA polymerase large</v>
      </c>
      <c r="D824" t="s">
        <v>1455</v>
      </c>
      <c r="E824" s="6" t="str">
        <f t="shared" si="12"/>
        <v>PROT:AID46612.1</v>
      </c>
      <c r="F824" t="s">
        <v>1454</v>
      </c>
      <c r="G824" t="s">
        <v>36</v>
      </c>
      <c r="H824" t="s">
        <v>2680</v>
      </c>
      <c r="I824" t="str">
        <f>INDEX(Genomes!$I:$I,(MATCH(AllProteins!H824,Genomes!$B:$B,0)))</f>
        <v>KJ801920-pigeonpox_virus</v>
      </c>
      <c r="J824">
        <f>INDEX(Genomes!$A:$A,(MATCH(AllProteins!H824,Genomes!$B:$B,0)))</f>
        <v>38</v>
      </c>
      <c r="K824" t="str">
        <f>INDEX(Genomes!$J:$J,(MATCH(AllProteins!H824,Genomes!$B:$B,0)))</f>
        <v>Y</v>
      </c>
    </row>
    <row r="825" spans="1:11" x14ac:dyDescent="0.2">
      <c r="A825">
        <f>INDEX(CoreProteinGroups!A:A,MATCH(B825,CoreProteinGroups!B:B,0))</f>
        <v>16</v>
      </c>
      <c r="B825" s="1" t="s">
        <v>1435</v>
      </c>
      <c r="C825" t="str">
        <f>VLOOKUP(B825,CoreProteinGroups!$B:$C,2,FALSE)</f>
        <v>polyA polymerase large</v>
      </c>
      <c r="D825" t="s">
        <v>1456</v>
      </c>
      <c r="E825" s="6" t="str">
        <f t="shared" si="12"/>
        <v>PROT:ALA62447.1</v>
      </c>
      <c r="F825" t="s">
        <v>1457</v>
      </c>
      <c r="G825" t="s">
        <v>39</v>
      </c>
      <c r="H825" t="s">
        <v>2692</v>
      </c>
      <c r="I825" t="str">
        <f>INDEX(Genomes!$I:$I,(MATCH(AllProteins!H825,Genomes!$B:$B,0)))</f>
        <v>KP728110-turkeypox_virus</v>
      </c>
      <c r="J825">
        <f>INDEX(Genomes!$A:$A,(MATCH(AllProteins!H825,Genomes!$B:$B,0)))</f>
        <v>51</v>
      </c>
      <c r="K825" t="str">
        <f>INDEX(Genomes!$J:$J,(MATCH(AllProteins!H825,Genomes!$B:$B,0)))</f>
        <v>Y</v>
      </c>
    </row>
    <row r="826" spans="1:11" x14ac:dyDescent="0.2">
      <c r="A826">
        <f>INDEX(CoreProteinGroups!A:A,MATCH(B826,CoreProteinGroups!B:B,0))</f>
        <v>16</v>
      </c>
      <c r="B826" s="1" t="s">
        <v>1435</v>
      </c>
      <c r="C826" t="str">
        <f>VLOOKUP(B826,CoreProteinGroups!$B:$C,2,FALSE)</f>
        <v>polyA polymerase large</v>
      </c>
      <c r="D826" t="s">
        <v>1458</v>
      </c>
      <c r="E826" s="6" t="str">
        <f t="shared" si="12"/>
        <v>PROT:AAR83475.1</v>
      </c>
      <c r="F826" t="s">
        <v>1459</v>
      </c>
      <c r="G826" t="s">
        <v>42</v>
      </c>
      <c r="H826" t="s">
        <v>2657</v>
      </c>
      <c r="I826" t="str">
        <f>INDEX(Genomes!$I:$I,(MATCH(AllProteins!H826,Genomes!$B:$B,0)))</f>
        <v>AY318871-canarypox_virus</v>
      </c>
      <c r="J826">
        <f>INDEX(Genomes!$A:$A,(MATCH(AllProteins!H826,Genomes!$B:$B,0)))</f>
        <v>11</v>
      </c>
      <c r="K826" t="str">
        <f>INDEX(Genomes!$J:$J,(MATCH(AllProteins!H826,Genomes!$B:$B,0)))</f>
        <v>Y</v>
      </c>
    </row>
    <row r="827" spans="1:11" x14ac:dyDescent="0.2">
      <c r="A827">
        <f>INDEX(CoreProteinGroups!A:A,MATCH(B827,CoreProteinGroups!B:B,0))</f>
        <v>16</v>
      </c>
      <c r="B827" s="1" t="s">
        <v>1435</v>
      </c>
      <c r="C827" t="str">
        <f>VLOOKUP(B827,CoreProteinGroups!$B:$C,2,FALSE)</f>
        <v>polyA polymerase large</v>
      </c>
      <c r="D827" t="s">
        <v>1460</v>
      </c>
      <c r="E827" s="6" t="str">
        <f t="shared" si="12"/>
        <v>PROT:AAF44446.1</v>
      </c>
      <c r="F827" t="s">
        <v>1461</v>
      </c>
      <c r="G827" t="s">
        <v>45</v>
      </c>
      <c r="H827" t="s">
        <v>2666</v>
      </c>
      <c r="I827" t="str">
        <f>INDEX(Genomes!$I:$I,(MATCH(AllProteins!H827,Genomes!$B:$B,0)))</f>
        <v>AF198100-fowlpox_virus</v>
      </c>
      <c r="J827">
        <f>INDEX(Genomes!$A:$A,(MATCH(AllProteins!H827,Genomes!$B:$B,0)))</f>
        <v>21</v>
      </c>
      <c r="K827" t="str">
        <f>INDEX(Genomes!$J:$J,(MATCH(AllProteins!H827,Genomes!$B:$B,0)))</f>
        <v>Y</v>
      </c>
    </row>
    <row r="828" spans="1:11" x14ac:dyDescent="0.2">
      <c r="A828">
        <f>INDEX(CoreProteinGroups!A:A,MATCH(B828,CoreProteinGroups!B:B,0))</f>
        <v>16</v>
      </c>
      <c r="B828" s="1" t="s">
        <v>1435</v>
      </c>
      <c r="C828" t="str">
        <f>VLOOKUP(B828,CoreProteinGroups!$B:$C,2,FALSE)</f>
        <v>polyA polymerase large</v>
      </c>
      <c r="D828" t="s">
        <v>1462</v>
      </c>
      <c r="E828" s="6" t="str">
        <f t="shared" si="12"/>
        <v>PROT:AAK84993.1</v>
      </c>
      <c r="F828" t="s">
        <v>1463</v>
      </c>
      <c r="G828" t="s">
        <v>48</v>
      </c>
      <c r="H828" t="s">
        <v>2669</v>
      </c>
      <c r="I828" t="str">
        <f>INDEX(Genomes!$I:$I,(MATCH(AllProteins!H828,Genomes!$B:$B,0)))</f>
        <v>AF325528-lumpy_skin_disease_virus</v>
      </c>
      <c r="J828">
        <f>INDEX(Genomes!$A:$A,(MATCH(AllProteins!H828,Genomes!$B:$B,0)))</f>
        <v>25</v>
      </c>
      <c r="K828" t="str">
        <f>INDEX(Genomes!$J:$J,(MATCH(AllProteins!H828,Genomes!$B:$B,0)))</f>
        <v>Y</v>
      </c>
    </row>
    <row r="829" spans="1:11" x14ac:dyDescent="0.2">
      <c r="A829">
        <f>INDEX(CoreProteinGroups!A:A,MATCH(B829,CoreProteinGroups!B:B,0))</f>
        <v>16</v>
      </c>
      <c r="B829" s="1" t="s">
        <v>1435</v>
      </c>
      <c r="C829" t="str">
        <f>VLOOKUP(B829,CoreProteinGroups!$B:$C,2,FALSE)</f>
        <v>polyA polymerase large</v>
      </c>
      <c r="D829" t="s">
        <v>1464</v>
      </c>
      <c r="E829" s="6" t="str">
        <f t="shared" si="12"/>
        <v>PROT:AST09248.1</v>
      </c>
      <c r="F829" t="s">
        <v>1465</v>
      </c>
      <c r="G829" t="s">
        <v>50</v>
      </c>
      <c r="H829" t="s">
        <v>2671</v>
      </c>
      <c r="I829" t="str">
        <f>INDEX(Genomes!$I:$I,(MATCH(AllProteins!H829,Genomes!$B:$B,0)))</f>
        <v>MF001304-Murmansk_poxvirus</v>
      </c>
      <c r="J829">
        <f>INDEX(Genomes!$A:$A,(MATCH(AllProteins!H829,Genomes!$B:$B,0)))</f>
        <v>27</v>
      </c>
      <c r="K829" t="str">
        <f>INDEX(Genomes!$J:$J,(MATCH(AllProteins!H829,Genomes!$B:$B,0)))</f>
        <v>Y</v>
      </c>
    </row>
    <row r="830" spans="1:11" x14ac:dyDescent="0.2">
      <c r="A830">
        <f>INDEX(CoreProteinGroups!A:A,MATCH(B830,CoreProteinGroups!B:B,0))</f>
        <v>16</v>
      </c>
      <c r="B830" s="1" t="s">
        <v>1435</v>
      </c>
      <c r="C830" t="str">
        <f>VLOOKUP(B830,CoreProteinGroups!$B:$C,2,FALSE)</f>
        <v>polyA polymerase large</v>
      </c>
      <c r="D830" t="s">
        <v>1466</v>
      </c>
      <c r="E830" s="6" t="str">
        <f t="shared" si="12"/>
        <v>PROT:AEN03624.1</v>
      </c>
      <c r="F830" t="s">
        <v>1465</v>
      </c>
      <c r="G830" t="s">
        <v>52</v>
      </c>
      <c r="H830" t="s">
        <v>2698</v>
      </c>
      <c r="I830" t="str">
        <f>INDEX(Genomes!$I:$I,(MATCH(AllProteins!H830,Genomes!$B:$B,0)))</f>
        <v>HQ849551-yokapox_virus</v>
      </c>
      <c r="J830">
        <f>INDEX(Genomes!$A:$A,(MATCH(AllProteins!H830,Genomes!$B:$B,0)))</f>
        <v>57</v>
      </c>
      <c r="K830" t="str">
        <f>INDEX(Genomes!$J:$J,(MATCH(AllProteins!H830,Genomes!$B:$B,0)))</f>
        <v>Y</v>
      </c>
    </row>
    <row r="831" spans="1:11" x14ac:dyDescent="0.2">
      <c r="A831">
        <f>INDEX(CoreProteinGroups!A:A,MATCH(B831,CoreProteinGroups!B:B,0))</f>
        <v>16</v>
      </c>
      <c r="B831" s="1" t="s">
        <v>1435</v>
      </c>
      <c r="C831" t="str">
        <f>VLOOKUP(B831,CoreProteinGroups!$B:$C,2,FALSE)</f>
        <v>polyA polymerase large</v>
      </c>
      <c r="D831" t="s">
        <v>1467</v>
      </c>
      <c r="E831" s="6" t="str">
        <f t="shared" si="12"/>
        <v>PROT:ABI99196.1</v>
      </c>
      <c r="F831" t="s">
        <v>1468</v>
      </c>
      <c r="G831" t="s">
        <v>54</v>
      </c>
      <c r="H831" t="s">
        <v>2661</v>
      </c>
      <c r="I831" t="str">
        <f>INDEX(Genomes!$I:$I,(MATCH(AllProteins!H831,Genomes!$B:$B,0)))</f>
        <v>AY689436-mule_deerpox_virus</v>
      </c>
      <c r="J831">
        <f>INDEX(Genomes!$A:$A,(MATCH(AllProteins!H831,Genomes!$B:$B,0)))</f>
        <v>15</v>
      </c>
      <c r="K831" t="str">
        <f>INDEX(Genomes!$J:$J,(MATCH(AllProteins!H831,Genomes!$B:$B,0)))</f>
        <v>Y</v>
      </c>
    </row>
    <row r="832" spans="1:11" x14ac:dyDescent="0.2">
      <c r="A832">
        <f>INDEX(CoreProteinGroups!A:A,MATCH(B832,CoreProteinGroups!B:B,0))</f>
        <v>16</v>
      </c>
      <c r="B832" s="1" t="s">
        <v>1435</v>
      </c>
      <c r="C832" t="str">
        <f>VLOOKUP(B832,CoreProteinGroups!$B:$C,2,FALSE)</f>
        <v>polyA polymerase large</v>
      </c>
      <c r="D832" t="s">
        <v>1469</v>
      </c>
      <c r="E832" s="6" t="str">
        <f t="shared" si="12"/>
        <v>PROT:ABJ08945.1</v>
      </c>
      <c r="F832" t="s">
        <v>1468</v>
      </c>
      <c r="G832" t="s">
        <v>56</v>
      </c>
      <c r="H832" t="s">
        <v>2677</v>
      </c>
      <c r="I832" t="str">
        <f>INDEX(Genomes!$I:$I,(MATCH(AllProteins!H832,Genomes!$B:$B,0)))</f>
        <v>DQ356948-Nile_crocodilepox_virus</v>
      </c>
      <c r="J832">
        <f>INDEX(Genomes!$A:$A,(MATCH(AllProteins!H832,Genomes!$B:$B,0)))</f>
        <v>34</v>
      </c>
      <c r="K832" t="str">
        <f>INDEX(Genomes!$J:$J,(MATCH(AllProteins!H832,Genomes!$B:$B,0)))</f>
        <v>Y</v>
      </c>
    </row>
    <row r="833" spans="1:11" x14ac:dyDescent="0.2">
      <c r="A833">
        <f>INDEX(CoreProteinGroups!A:A,MATCH(B833,CoreProteinGroups!B:B,0))</f>
        <v>16</v>
      </c>
      <c r="B833" s="1" t="s">
        <v>1435</v>
      </c>
      <c r="C833" t="str">
        <f>VLOOKUP(B833,CoreProteinGroups!$B:$C,2,FALSE)</f>
        <v>polyA polymerase large</v>
      </c>
      <c r="D833" t="s">
        <v>1470</v>
      </c>
      <c r="E833" s="6" t="str">
        <f t="shared" si="12"/>
        <v>PROT:AAF14915.1</v>
      </c>
      <c r="F833" t="s">
        <v>1471</v>
      </c>
      <c r="G833" t="s">
        <v>2584</v>
      </c>
      <c r="H833" t="s">
        <v>2676</v>
      </c>
      <c r="I833" t="str">
        <f>INDEX(Genomes!$I:$I,(MATCH(AllProteins!H833,Genomes!$B:$B,0)))</f>
        <v>AF170726-myxoma_virus</v>
      </c>
      <c r="J833">
        <f>INDEX(Genomes!$A:$A,(MATCH(AllProteins!H833,Genomes!$B:$B,0)))</f>
        <v>32</v>
      </c>
      <c r="K833" t="str">
        <f>INDEX(Genomes!$J:$J,(MATCH(AllProteins!H833,Genomes!$B:$B,0)))</f>
        <v>Y</v>
      </c>
    </row>
    <row r="834" spans="1:11" x14ac:dyDescent="0.2">
      <c r="A834">
        <f>INDEX(CoreProteinGroups!A:A,MATCH(B834,CoreProteinGroups!B:B,0))</f>
        <v>16</v>
      </c>
      <c r="B834" s="1" t="s">
        <v>1435</v>
      </c>
      <c r="C834" t="str">
        <f>VLOOKUP(B834,CoreProteinGroups!$B:$C,2,FALSE)</f>
        <v>polyA polymerase large</v>
      </c>
      <c r="D834" t="s">
        <v>1472</v>
      </c>
      <c r="E834" s="6" t="str">
        <f t="shared" ref="E834:E897" si="13">HYPERLINK(_xlfn.CONCAT("https://www.ncbi.nlm.nih.gov/protein/",D834),_xlfn.CONCAT("PROT:",D834))</f>
        <v>PROT:AFU77292.1</v>
      </c>
      <c r="F834" t="s">
        <v>1471</v>
      </c>
      <c r="G834" t="s">
        <v>2553</v>
      </c>
      <c r="H834" t="s">
        <v>2646</v>
      </c>
      <c r="I834" t="str">
        <f>INDEX(Genomes!$I:$I,(MATCH(AllProteins!H834,Genomes!$B:$B,0)))</f>
        <v>JX565564-myxoma_virus_isolate_BRK_897</v>
      </c>
      <c r="J834">
        <f>INDEX(Genomes!$A:$A,(MATCH(AllProteins!H834,Genomes!$B:$B,0)))</f>
        <v>33</v>
      </c>
      <c r="K834" t="str">
        <f>INDEX(Genomes!$J:$J,(MATCH(AllProteins!H834,Genomes!$B:$B,0)))</f>
        <v>N</v>
      </c>
    </row>
    <row r="835" spans="1:11" x14ac:dyDescent="0.2">
      <c r="A835">
        <f>INDEX(CoreProteinGroups!A:A,MATCH(B835,CoreProteinGroups!B:B,0))</f>
        <v>16</v>
      </c>
      <c r="B835" s="1" t="s">
        <v>1435</v>
      </c>
      <c r="C835" t="str">
        <f>VLOOKUP(B835,CoreProteinGroups!$B:$C,2,FALSE)</f>
        <v>polyA polymerase large</v>
      </c>
      <c r="D835" t="s">
        <v>1473</v>
      </c>
      <c r="E835" s="6" t="str">
        <f t="shared" si="13"/>
        <v>PROT:AAF17910.1</v>
      </c>
      <c r="F835" t="s">
        <v>1474</v>
      </c>
      <c r="G835" t="s">
        <v>62</v>
      </c>
      <c r="H835" t="s">
        <v>2685</v>
      </c>
      <c r="I835" t="str">
        <f>INDEX(Genomes!$I:$I,(MATCH(AllProteins!H835,Genomes!$B:$B,0)))</f>
        <v>AF170722-rabbit_fibroma_virus</v>
      </c>
      <c r="J835">
        <f>INDEX(Genomes!$A:$A,(MATCH(AllProteins!H835,Genomes!$B:$B,0)))</f>
        <v>43</v>
      </c>
      <c r="K835" t="str">
        <f>INDEX(Genomes!$J:$J,(MATCH(AllProteins!H835,Genomes!$B:$B,0)))</f>
        <v>Y</v>
      </c>
    </row>
    <row r="836" spans="1:11" x14ac:dyDescent="0.2">
      <c r="A836">
        <f>INDEX(CoreProteinGroups!A:A,MATCH(B836,CoreProteinGroups!B:B,0))</f>
        <v>16</v>
      </c>
      <c r="B836" s="1" t="s">
        <v>1435</v>
      </c>
      <c r="C836" t="str">
        <f>VLOOKUP(B836,CoreProteinGroups!$B:$C,2,FALSE)</f>
        <v>polyA polymerase large</v>
      </c>
      <c r="D836" t="s">
        <v>1475</v>
      </c>
      <c r="E836" s="6" t="str">
        <f t="shared" si="13"/>
        <v>PROT:AAC55159.1</v>
      </c>
      <c r="F836" t="s">
        <v>1476</v>
      </c>
      <c r="G836" t="s">
        <v>65</v>
      </c>
      <c r="H836" t="s">
        <v>2670</v>
      </c>
      <c r="I836" t="str">
        <f>INDEX(Genomes!$I:$I,(MATCH(AllProteins!H836,Genomes!$B:$B,0)))</f>
        <v>U60315-molluscum_contagiosum_virus</v>
      </c>
      <c r="J836">
        <f>INDEX(Genomes!$A:$A,(MATCH(AllProteins!H836,Genomes!$B:$B,0)))</f>
        <v>26</v>
      </c>
      <c r="K836" t="str">
        <f>INDEX(Genomes!$J:$J,(MATCH(AllProteins!H836,Genomes!$B:$B,0)))</f>
        <v>Y</v>
      </c>
    </row>
    <row r="837" spans="1:11" x14ac:dyDescent="0.2">
      <c r="A837">
        <f>INDEX(CoreProteinGroups!A:A,MATCH(B837,CoreProteinGroups!B:B,0))</f>
        <v>16</v>
      </c>
      <c r="B837" s="1" t="s">
        <v>1435</v>
      </c>
      <c r="C837" t="str">
        <f>VLOOKUP(B837,CoreProteinGroups!$B:$C,2,FALSE)</f>
        <v>polyA polymerase large</v>
      </c>
      <c r="D837" t="s">
        <v>1477</v>
      </c>
      <c r="E837" s="6" t="str">
        <f t="shared" si="13"/>
        <v>PROT:AYN64624.1</v>
      </c>
      <c r="F837" t="s">
        <v>1478</v>
      </c>
      <c r="G837" t="s">
        <v>68</v>
      </c>
      <c r="H837" t="s">
        <v>2647</v>
      </c>
      <c r="I837" t="str">
        <f>INDEX(Genomes!$I:$I,(MATCH(AllProteins!H837,Genomes!$B:$B,0)))</f>
        <v>MH816996-orthopoxvirus_abatino</v>
      </c>
      <c r="J837">
        <f>INDEX(Genomes!$A:$A,(MATCH(AllProteins!H837,Genomes!$B:$B,0)))</f>
        <v>1</v>
      </c>
      <c r="K837" t="str">
        <f>INDEX(Genomes!$J:$J,(MATCH(AllProteins!H837,Genomes!$B:$B,0)))</f>
        <v>Y</v>
      </c>
    </row>
    <row r="838" spans="1:11" x14ac:dyDescent="0.2">
      <c r="A838">
        <f>INDEX(CoreProteinGroups!A:A,MATCH(B838,CoreProteinGroups!B:B,0))</f>
        <v>16</v>
      </c>
      <c r="B838" s="1" t="s">
        <v>1435</v>
      </c>
      <c r="C838" t="str">
        <f>VLOOKUP(B838,CoreProteinGroups!$B:$C,2,FALSE)</f>
        <v>polyA polymerase large</v>
      </c>
      <c r="D838" t="s">
        <v>1479</v>
      </c>
      <c r="E838" s="6" t="str">
        <f t="shared" si="13"/>
        <v>PROT:AXN74848.1</v>
      </c>
      <c r="F838" t="s">
        <v>1468</v>
      </c>
      <c r="G838" t="s">
        <v>70</v>
      </c>
      <c r="H838" t="s">
        <v>2650</v>
      </c>
      <c r="I838" t="str">
        <f>INDEX(Genomes!$I:$I,(MATCH(AllProteins!H838,Genomes!$B:$B,0)))</f>
        <v>MH607141-Akhmeta_virus</v>
      </c>
      <c r="J838">
        <f>INDEX(Genomes!$A:$A,(MATCH(AllProteins!H838,Genomes!$B:$B,0)))</f>
        <v>4</v>
      </c>
      <c r="K838" t="str">
        <f>INDEX(Genomes!$J:$J,(MATCH(AllProteins!H838,Genomes!$B:$B,0)))</f>
        <v>Y</v>
      </c>
    </row>
    <row r="839" spans="1:11" x14ac:dyDescent="0.2">
      <c r="A839">
        <f>INDEX(CoreProteinGroups!A:A,MATCH(B839,CoreProteinGroups!B:B,0))</f>
        <v>16</v>
      </c>
      <c r="B839" s="1" t="s">
        <v>1435</v>
      </c>
      <c r="C839" t="str">
        <f>VLOOKUP(B839,CoreProteinGroups!$B:$C,2,FALSE)</f>
        <v>polyA polymerase large</v>
      </c>
      <c r="D839" t="s">
        <v>1480</v>
      </c>
      <c r="E839" s="6" t="str">
        <f t="shared" si="13"/>
        <v>PROT:ABH08161.1</v>
      </c>
      <c r="F839" t="s">
        <v>1481</v>
      </c>
      <c r="G839" t="s">
        <v>73</v>
      </c>
      <c r="H839" t="s">
        <v>2668</v>
      </c>
      <c r="I839" t="str">
        <f>INDEX(Genomes!$I:$I,(MATCH(AllProteins!H839,Genomes!$B:$B,0)))</f>
        <v>DQ792504-horsepox_virus</v>
      </c>
      <c r="J839">
        <f>INDEX(Genomes!$A:$A,(MATCH(AllProteins!H839,Genomes!$B:$B,0)))</f>
        <v>24</v>
      </c>
      <c r="K839" t="str">
        <f>INDEX(Genomes!$J:$J,(MATCH(AllProteins!H839,Genomes!$B:$B,0)))</f>
        <v>Y</v>
      </c>
    </row>
    <row r="840" spans="1:11" x14ac:dyDescent="0.2">
      <c r="A840">
        <f>INDEX(CoreProteinGroups!A:A,MATCH(B840,CoreProteinGroups!B:B,0))</f>
        <v>16</v>
      </c>
      <c r="B840" s="1" t="s">
        <v>1435</v>
      </c>
      <c r="C840" t="str">
        <f>VLOOKUP(B840,CoreProteinGroups!$B:$C,2,FALSE)</f>
        <v>polyA polymerase large</v>
      </c>
      <c r="D840" t="s">
        <v>1482</v>
      </c>
      <c r="E840" s="6" t="str">
        <f t="shared" si="13"/>
        <v>PROT:AAG37515.1</v>
      </c>
      <c r="F840" t="s">
        <v>1483</v>
      </c>
      <c r="G840" t="s">
        <v>76</v>
      </c>
      <c r="H840" t="s">
        <v>2655</v>
      </c>
      <c r="I840" t="str">
        <f>INDEX(Genomes!$I:$I,(MATCH(AllProteins!H840,Genomes!$B:$B,0)))</f>
        <v>AY009089-camelpox_virus_CMS</v>
      </c>
      <c r="J840">
        <f>INDEX(Genomes!$A:$A,(MATCH(AllProteins!H840,Genomes!$B:$B,0)))</f>
        <v>9</v>
      </c>
      <c r="K840" t="str">
        <f>INDEX(Genomes!$J:$J,(MATCH(AllProteins!H840,Genomes!$B:$B,0)))</f>
        <v>N</v>
      </c>
    </row>
    <row r="841" spans="1:11" x14ac:dyDescent="0.2">
      <c r="A841">
        <f>INDEX(CoreProteinGroups!A:A,MATCH(B841,CoreProteinGroups!B:B,0))</f>
        <v>16</v>
      </c>
      <c r="B841" s="1" t="s">
        <v>1435</v>
      </c>
      <c r="C841" t="str">
        <f>VLOOKUP(B841,CoreProteinGroups!$B:$C,2,FALSE)</f>
        <v>polyA polymerase large</v>
      </c>
      <c r="D841" t="s">
        <v>1484</v>
      </c>
      <c r="E841" s="6" t="str">
        <f t="shared" si="13"/>
        <v>PROT:AAL73760.1</v>
      </c>
      <c r="F841" t="s">
        <v>1485</v>
      </c>
      <c r="G841" t="s">
        <v>79</v>
      </c>
      <c r="H841" t="s">
        <v>2654</v>
      </c>
      <c r="I841" t="str">
        <f>INDEX(Genomes!$I:$I,(MATCH(AllProteins!H841,Genomes!$B:$B,0)))</f>
        <v>AF438165-camelpox_virus</v>
      </c>
      <c r="J841">
        <f>INDEX(Genomes!$A:$A,(MATCH(AllProteins!H841,Genomes!$B:$B,0)))</f>
        <v>8</v>
      </c>
      <c r="K841" t="str">
        <f>INDEX(Genomes!$J:$J,(MATCH(AllProteins!H841,Genomes!$B:$B,0)))</f>
        <v>Y</v>
      </c>
    </row>
    <row r="842" spans="1:11" x14ac:dyDescent="0.2">
      <c r="A842">
        <f>INDEX(CoreProteinGroups!A:A,MATCH(B842,CoreProteinGroups!B:B,0))</f>
        <v>16</v>
      </c>
      <c r="B842" s="1" t="s">
        <v>1435</v>
      </c>
      <c r="C842" t="str">
        <f>VLOOKUP(B842,CoreProteinGroups!$B:$C,2,FALSE)</f>
        <v>polyA polymerase large</v>
      </c>
      <c r="D842" t="s">
        <v>1486</v>
      </c>
      <c r="E842" s="6" t="str">
        <f t="shared" si="13"/>
        <v>PROT:AAM13512.1</v>
      </c>
      <c r="F842" t="s">
        <v>1487</v>
      </c>
      <c r="G842" t="s">
        <v>82</v>
      </c>
      <c r="H842" t="s">
        <v>2659</v>
      </c>
      <c r="I842" t="str">
        <f>INDEX(Genomes!$I:$I,(MATCH(AllProteins!H842,Genomes!$B:$B,0)))</f>
        <v>AF482758-cowpox_virus</v>
      </c>
      <c r="J842">
        <f>INDEX(Genomes!$A:$A,(MATCH(AllProteins!H842,Genomes!$B:$B,0)))</f>
        <v>13</v>
      </c>
      <c r="K842" t="str">
        <f>INDEX(Genomes!$J:$J,(MATCH(AllProteins!H842,Genomes!$B:$B,0)))</f>
        <v>Y</v>
      </c>
    </row>
    <row r="843" spans="1:11" x14ac:dyDescent="0.2">
      <c r="A843">
        <f>INDEX(CoreProteinGroups!A:A,MATCH(B843,CoreProteinGroups!B:B,0))</f>
        <v>16</v>
      </c>
      <c r="B843" s="1" t="s">
        <v>1435</v>
      </c>
      <c r="C843" t="str">
        <f>VLOOKUP(B843,CoreProteinGroups!$B:$C,2,FALSE)</f>
        <v>polyA polymerase large</v>
      </c>
      <c r="D843" t="s">
        <v>1488</v>
      </c>
      <c r="E843" s="6" t="str">
        <f t="shared" si="13"/>
        <v>PROT:AAM92345.1</v>
      </c>
      <c r="F843" t="s">
        <v>1489</v>
      </c>
      <c r="G843" t="s">
        <v>85</v>
      </c>
      <c r="H843" t="s">
        <v>2662</v>
      </c>
      <c r="I843" t="str">
        <f>INDEX(Genomes!$I:$I,(MATCH(AllProteins!H843,Genomes!$B:$B,0)))</f>
        <v>AF012825-ectromelia_virus</v>
      </c>
      <c r="J843">
        <f>INDEX(Genomes!$A:$A,(MATCH(AllProteins!H843,Genomes!$B:$B,0)))</f>
        <v>16</v>
      </c>
      <c r="K843" t="str">
        <f>INDEX(Genomes!$J:$J,(MATCH(AllProteins!H843,Genomes!$B:$B,0)))</f>
        <v>Y</v>
      </c>
    </row>
    <row r="844" spans="1:11" x14ac:dyDescent="0.2">
      <c r="A844">
        <f>INDEX(CoreProteinGroups!A:A,MATCH(B844,CoreProteinGroups!B:B,0))</f>
        <v>16</v>
      </c>
      <c r="B844" s="1" t="s">
        <v>1435</v>
      </c>
      <c r="C844" t="str">
        <f>VLOOKUP(B844,CoreProteinGroups!$B:$C,2,FALSE)</f>
        <v>polyA polymerase large</v>
      </c>
      <c r="D844" t="s">
        <v>1490</v>
      </c>
      <c r="E844" s="6" t="str">
        <f t="shared" si="13"/>
        <v>PROT:AFH54603.1</v>
      </c>
      <c r="F844" t="s">
        <v>1491</v>
      </c>
      <c r="G844" t="s">
        <v>87</v>
      </c>
      <c r="H844" t="s">
        <v>2619</v>
      </c>
      <c r="I844" t="str">
        <f>INDEX(Genomes!$I:$I,(MATCH(AllProteins!H844,Genomes!$B:$B,0)))</f>
        <v>JQ410350-ectromelia_virus_strain_ERPV</v>
      </c>
      <c r="J844">
        <f>INDEX(Genomes!$A:$A,(MATCH(AllProteins!H844,Genomes!$B:$B,0)))</f>
        <v>17</v>
      </c>
      <c r="K844" t="str">
        <f>INDEX(Genomes!$J:$J,(MATCH(AllProteins!H844,Genomes!$B:$B,0)))</f>
        <v>N</v>
      </c>
    </row>
    <row r="845" spans="1:11" x14ac:dyDescent="0.2">
      <c r="A845">
        <f>INDEX(CoreProteinGroups!A:A,MATCH(B845,CoreProteinGroups!B:B,0))</f>
        <v>16</v>
      </c>
      <c r="B845" s="1" t="s">
        <v>1435</v>
      </c>
      <c r="C845" t="str">
        <f>VLOOKUP(B845,CoreProteinGroups!$B:$C,2,FALSE)</f>
        <v>polyA polymerase large</v>
      </c>
      <c r="D845" t="s">
        <v>1492</v>
      </c>
      <c r="E845" s="6" t="str">
        <f t="shared" si="13"/>
        <v>PROT:AAL40508.1</v>
      </c>
      <c r="F845" t="s">
        <v>1493</v>
      </c>
      <c r="G845" t="s">
        <v>90</v>
      </c>
      <c r="H845" t="s">
        <v>2673</v>
      </c>
      <c r="I845" t="str">
        <f>INDEX(Genomes!$I:$I,(MATCH(AllProteins!H845,Genomes!$B:$B,0)))</f>
        <v>AF380138-monkeypox_virus_(clade_I)</v>
      </c>
      <c r="J845">
        <f>INDEX(Genomes!$A:$A,(MATCH(AllProteins!H845,Genomes!$B:$B,0)))</f>
        <v>29</v>
      </c>
      <c r="K845" t="str">
        <f>INDEX(Genomes!$J:$J,(MATCH(AllProteins!H845,Genomes!$B:$B,0)))</f>
        <v>Y</v>
      </c>
    </row>
    <row r="846" spans="1:11" x14ac:dyDescent="0.2">
      <c r="A846">
        <f>INDEX(CoreProteinGroups!A:A,MATCH(B846,CoreProteinGroups!B:B,0))</f>
        <v>16</v>
      </c>
      <c r="B846" s="1" t="s">
        <v>1435</v>
      </c>
      <c r="C846" t="str">
        <f>VLOOKUP(B846,CoreProteinGroups!$B:$C,2,FALSE)</f>
        <v>polyA polymerase large</v>
      </c>
      <c r="D846" t="s">
        <v>1494</v>
      </c>
      <c r="E846" s="6" t="str">
        <f t="shared" si="13"/>
        <v>PROT:AAX09145.1</v>
      </c>
      <c r="F846" t="s">
        <v>1495</v>
      </c>
      <c r="G846" t="s">
        <v>93</v>
      </c>
      <c r="H846" t="s">
        <v>2672</v>
      </c>
      <c r="I846" t="str">
        <f>INDEX(Genomes!$I:$I,(MATCH(AllProteins!H846,Genomes!$B:$B,0)))</f>
        <v>AY753185-monkeypox_virus_(clade_IIa)</v>
      </c>
      <c r="J846">
        <f>INDEX(Genomes!$A:$A,(MATCH(AllProteins!H846,Genomes!$B:$B,0)))</f>
        <v>28</v>
      </c>
      <c r="K846" t="str">
        <f>INDEX(Genomes!$J:$J,(MATCH(AllProteins!H846,Genomes!$B:$B,0)))</f>
        <v>Y</v>
      </c>
    </row>
    <row r="847" spans="1:11" x14ac:dyDescent="0.2">
      <c r="A847">
        <f>INDEX(CoreProteinGroups!A:A,MATCH(B847,CoreProteinGroups!B:B,0))</f>
        <v>16</v>
      </c>
      <c r="B847" s="1" t="s">
        <v>1435</v>
      </c>
      <c r="C847" t="str">
        <f>VLOOKUP(B847,CoreProteinGroups!$B:$C,2,FALSE)</f>
        <v>polyA polymerase large</v>
      </c>
      <c r="D847" t="s">
        <v>1496</v>
      </c>
      <c r="E847" s="6" t="str">
        <f t="shared" si="13"/>
        <v>PROT:AKJ93685.1</v>
      </c>
      <c r="F847" t="s">
        <v>1497</v>
      </c>
      <c r="G847" t="s">
        <v>95</v>
      </c>
      <c r="H847" t="s">
        <v>2683</v>
      </c>
      <c r="I847" t="str">
        <f>INDEX(Genomes!$I:$I,(MATCH(AllProteins!H847,Genomes!$B:$B,0)))</f>
        <v>KP143769-raccoonpox_virus</v>
      </c>
      <c r="J847">
        <f>INDEX(Genomes!$A:$A,(MATCH(AllProteins!H847,Genomes!$B:$B,0)))</f>
        <v>41</v>
      </c>
      <c r="K847" t="str">
        <f>INDEX(Genomes!$J:$J,(MATCH(AllProteins!H847,Genomes!$B:$B,0)))</f>
        <v>Y</v>
      </c>
    </row>
    <row r="848" spans="1:11" x14ac:dyDescent="0.2">
      <c r="A848">
        <f>INDEX(CoreProteinGroups!A:A,MATCH(B848,CoreProteinGroups!B:B,0))</f>
        <v>16</v>
      </c>
      <c r="B848" s="1" t="s">
        <v>1435</v>
      </c>
      <c r="C848" t="str">
        <f>VLOOKUP(B848,CoreProteinGroups!$B:$C,2,FALSE)</f>
        <v>polyA polymerase large</v>
      </c>
      <c r="D848" t="s">
        <v>1498</v>
      </c>
      <c r="E848" s="6" t="str">
        <f t="shared" si="13"/>
        <v>PROT:AOP31534.1</v>
      </c>
      <c r="F848" t="s">
        <v>1440</v>
      </c>
      <c r="G848" t="s">
        <v>97</v>
      </c>
      <c r="H848" t="s">
        <v>2686</v>
      </c>
      <c r="I848" t="str">
        <f>INDEX(Genomes!$I:$I,(MATCH(AllProteins!H848,Genomes!$B:$B,0)))</f>
        <v>KU749310-skunkpox_virus</v>
      </c>
      <c r="J848">
        <f>INDEX(Genomes!$A:$A,(MATCH(AllProteins!H848,Genomes!$B:$B,0)))</f>
        <v>45</v>
      </c>
      <c r="K848" t="str">
        <f>INDEX(Genomes!$J:$J,(MATCH(AllProteins!H848,Genomes!$B:$B,0)))</f>
        <v>Y</v>
      </c>
    </row>
    <row r="849" spans="1:11" x14ac:dyDescent="0.2">
      <c r="A849">
        <f>INDEX(CoreProteinGroups!A:A,MATCH(B849,CoreProteinGroups!B:B,0))</f>
        <v>16</v>
      </c>
      <c r="B849" s="1" t="s">
        <v>1435</v>
      </c>
      <c r="C849" t="str">
        <f>VLOOKUP(B849,CoreProteinGroups!$B:$C,2,FALSE)</f>
        <v>polyA polymerase large</v>
      </c>
      <c r="D849" t="s">
        <v>1499</v>
      </c>
      <c r="E849" s="6" t="str">
        <f t="shared" si="13"/>
        <v>PROT:ABD97624.1</v>
      </c>
      <c r="F849" t="s">
        <v>1500</v>
      </c>
      <c r="G849" t="s">
        <v>99</v>
      </c>
      <c r="H849" t="s">
        <v>2691</v>
      </c>
      <c r="I849" t="str">
        <f>INDEX(Genomes!$I:$I,(MATCH(AllProteins!H849,Genomes!$B:$B,0)))</f>
        <v>DQ437594-taterapox_virus</v>
      </c>
      <c r="J849">
        <f>INDEX(Genomes!$A:$A,(MATCH(AllProteins!H849,Genomes!$B:$B,0)))</f>
        <v>50</v>
      </c>
      <c r="K849" t="str">
        <f>INDEX(Genomes!$J:$J,(MATCH(AllProteins!H849,Genomes!$B:$B,0)))</f>
        <v>Y</v>
      </c>
    </row>
    <row r="850" spans="1:11" x14ac:dyDescent="0.2">
      <c r="A850">
        <f>INDEX(CoreProteinGroups!A:A,MATCH(B850,CoreProteinGroups!B:B,0))</f>
        <v>16</v>
      </c>
      <c r="B850" s="1" t="s">
        <v>1435</v>
      </c>
      <c r="C850" t="str">
        <f>VLOOKUP(B850,CoreProteinGroups!$B:$C,2,FALSE)</f>
        <v>polyA polymerase large</v>
      </c>
      <c r="D850" t="s">
        <v>1501</v>
      </c>
      <c r="E850" s="6" t="str">
        <f t="shared" si="13"/>
        <v>PROT:AAO89336.1</v>
      </c>
      <c r="F850" t="s">
        <v>1500</v>
      </c>
      <c r="G850" t="s">
        <v>101</v>
      </c>
      <c r="H850" t="s">
        <v>2693</v>
      </c>
      <c r="I850" t="str">
        <f>INDEX(Genomes!$I:$I,(MATCH(AllProteins!H850,Genomes!$B:$B,0)))</f>
        <v>AY243312-vaccinia_virus</v>
      </c>
      <c r="J850">
        <f>INDEX(Genomes!$A:$A,(MATCH(AllProteins!H850,Genomes!$B:$B,0)))</f>
        <v>52</v>
      </c>
      <c r="K850" t="str">
        <f>INDEX(Genomes!$J:$J,(MATCH(AllProteins!H850,Genomes!$B:$B,0)))</f>
        <v>Y</v>
      </c>
    </row>
    <row r="851" spans="1:11" x14ac:dyDescent="0.2">
      <c r="A851">
        <f>INDEX(CoreProteinGroups!A:A,MATCH(B851,CoreProteinGroups!B:B,0))</f>
        <v>16</v>
      </c>
      <c r="B851" s="1" t="s">
        <v>1435</v>
      </c>
      <c r="C851" t="str">
        <f>VLOOKUP(B851,CoreProteinGroups!$B:$C,2,FALSE)</f>
        <v>polyA polymerase large</v>
      </c>
      <c r="D851" t="s">
        <v>1502</v>
      </c>
      <c r="E851" s="6" t="str">
        <f t="shared" si="13"/>
        <v>PROT:CAA48983.1</v>
      </c>
      <c r="F851" t="s">
        <v>1503</v>
      </c>
      <c r="G851" t="s">
        <v>2585</v>
      </c>
      <c r="H851" t="s">
        <v>2694</v>
      </c>
      <c r="I851" t="str">
        <f>INDEX(Genomes!$I:$I,(MATCH(AllProteins!H851,Genomes!$B:$B,0)))</f>
        <v>X69198-variola_major_virus</v>
      </c>
      <c r="J851">
        <f>INDEX(Genomes!$A:$A,(MATCH(AllProteins!H851,Genomes!$B:$B,0)))</f>
        <v>53</v>
      </c>
      <c r="K851" t="str">
        <f>INDEX(Genomes!$J:$J,(MATCH(AllProteins!H851,Genomes!$B:$B,0)))</f>
        <v>Y</v>
      </c>
    </row>
    <row r="852" spans="1:11" x14ac:dyDescent="0.2">
      <c r="A852">
        <f>INDEX(CoreProteinGroups!A:A,MATCH(B852,CoreProteinGroups!B:B,0))</f>
        <v>16</v>
      </c>
      <c r="B852" s="1" t="s">
        <v>1435</v>
      </c>
      <c r="C852" t="str">
        <f>VLOOKUP(B852,CoreProteinGroups!$B:$C,2,FALSE)</f>
        <v>polyA polymerase large</v>
      </c>
      <c r="D852" t="s">
        <v>1504</v>
      </c>
      <c r="E852" s="6" t="str">
        <f t="shared" si="13"/>
        <v>PROT:CAB54642.1</v>
      </c>
      <c r="F852" t="s">
        <v>1505</v>
      </c>
      <c r="G852" t="s">
        <v>106</v>
      </c>
      <c r="H852" t="s">
        <v>2695</v>
      </c>
      <c r="I852" t="str">
        <f>INDEX(Genomes!$I:$I,(MATCH(AllProteins!H852,Genomes!$B:$B,0)))</f>
        <v>Y16780-variola_minor_virus</v>
      </c>
      <c r="J852">
        <f>INDEX(Genomes!$A:$A,(MATCH(AllProteins!H852,Genomes!$B:$B,0)))</f>
        <v>54</v>
      </c>
      <c r="K852" t="str">
        <f>INDEX(Genomes!$J:$J,(MATCH(AllProteins!H852,Genomes!$B:$B,0)))</f>
        <v>Y</v>
      </c>
    </row>
    <row r="853" spans="1:11" x14ac:dyDescent="0.2">
      <c r="A853">
        <f>INDEX(CoreProteinGroups!A:A,MATCH(B853,CoreProteinGroups!B:B,0))</f>
        <v>16</v>
      </c>
      <c r="B853" s="1" t="s">
        <v>1435</v>
      </c>
      <c r="C853" t="str">
        <f>VLOOKUP(B853,CoreProteinGroups!$B:$C,2,FALSE)</f>
        <v>polyA polymerase large</v>
      </c>
      <c r="D853" t="s">
        <v>1506</v>
      </c>
      <c r="E853" s="6" t="str">
        <f t="shared" si="13"/>
        <v>PROT:AOP31745.1</v>
      </c>
      <c r="F853" t="s">
        <v>1440</v>
      </c>
      <c r="G853" t="s">
        <v>108</v>
      </c>
      <c r="H853" t="s">
        <v>2696</v>
      </c>
      <c r="I853" t="str">
        <f>INDEX(Genomes!$I:$I,(MATCH(AllProteins!H853,Genomes!$B:$B,0)))</f>
        <v>KU749311-volepox_virus</v>
      </c>
      <c r="J853">
        <f>INDEX(Genomes!$A:$A,(MATCH(AllProteins!H853,Genomes!$B:$B,0)))</f>
        <v>55</v>
      </c>
      <c r="K853" t="str">
        <f>INDEX(Genomes!$J:$J,(MATCH(AllProteins!H853,Genomes!$B:$B,0)))</f>
        <v>Y</v>
      </c>
    </row>
    <row r="854" spans="1:11" x14ac:dyDescent="0.2">
      <c r="A854">
        <f>INDEX(CoreProteinGroups!A:A,MATCH(B854,CoreProteinGroups!B:B,0))</f>
        <v>16</v>
      </c>
      <c r="B854" s="1" t="s">
        <v>1435</v>
      </c>
      <c r="C854" t="str">
        <f>VLOOKUP(B854,CoreProteinGroups!$B:$C,2,FALSE)</f>
        <v>polyA polymerase large</v>
      </c>
      <c r="D854" t="s">
        <v>1507</v>
      </c>
      <c r="E854" s="6" t="str">
        <f t="shared" si="13"/>
        <v>PROT:ASC55617.1</v>
      </c>
      <c r="F854" t="s">
        <v>1508</v>
      </c>
      <c r="G854" t="s">
        <v>111</v>
      </c>
      <c r="H854" t="s">
        <v>2667</v>
      </c>
      <c r="I854" t="str">
        <f>INDEX(Genomes!$I:$I,(MATCH(AllProteins!H854,Genomes!$B:$B,0)))</f>
        <v>KY382358-seal_parapoxvirus</v>
      </c>
      <c r="J854">
        <f>INDEX(Genomes!$A:$A,(MATCH(AllProteins!H854,Genomes!$B:$B,0)))</f>
        <v>22</v>
      </c>
      <c r="K854" t="str">
        <f>INDEX(Genomes!$J:$J,(MATCH(AllProteins!H854,Genomes!$B:$B,0)))</f>
        <v>Y</v>
      </c>
    </row>
    <row r="855" spans="1:11" x14ac:dyDescent="0.2">
      <c r="A855">
        <f>INDEX(CoreProteinGroups!A:A,MATCH(B855,CoreProteinGroups!B:B,0))</f>
        <v>16</v>
      </c>
      <c r="B855" s="1" t="s">
        <v>1435</v>
      </c>
      <c r="C855" t="str">
        <f>VLOOKUP(B855,CoreProteinGroups!$B:$C,2,FALSE)</f>
        <v>polyA polymerase large</v>
      </c>
      <c r="D855" t="s">
        <v>1509</v>
      </c>
      <c r="E855" s="6" t="str">
        <f t="shared" si="13"/>
        <v>PROT:AAR98375.1</v>
      </c>
      <c r="F855" t="s">
        <v>1510</v>
      </c>
      <c r="G855" t="s">
        <v>114</v>
      </c>
      <c r="H855" t="s">
        <v>2652</v>
      </c>
      <c r="I855" t="str">
        <f>INDEX(Genomes!$I:$I,(MATCH(AllProteins!H855,Genomes!$B:$B,0)))</f>
        <v>AY386265-bovine_papular_stomatitis_virus</v>
      </c>
      <c r="J855">
        <f>INDEX(Genomes!$A:$A,(MATCH(AllProteins!H855,Genomes!$B:$B,0)))</f>
        <v>6</v>
      </c>
      <c r="K855" t="str">
        <f>INDEX(Genomes!$J:$J,(MATCH(AllProteins!H855,Genomes!$B:$B,0)))</f>
        <v>Y</v>
      </c>
    </row>
    <row r="856" spans="1:11" x14ac:dyDescent="0.2">
      <c r="A856">
        <f>INDEX(CoreProteinGroups!A:A,MATCH(B856,CoreProteinGroups!B:B,0))</f>
        <v>16</v>
      </c>
      <c r="B856" s="1" t="s">
        <v>1435</v>
      </c>
      <c r="C856" t="str">
        <f>VLOOKUP(B856,CoreProteinGroups!$B:$C,2,FALSE)</f>
        <v>polyA polymerase large</v>
      </c>
      <c r="D856" t="s">
        <v>1511</v>
      </c>
      <c r="E856" s="6" t="str">
        <f t="shared" si="13"/>
        <v>PROT:AAR98243.1</v>
      </c>
      <c r="F856" t="s">
        <v>1510</v>
      </c>
      <c r="G856" t="s">
        <v>2702</v>
      </c>
      <c r="H856" t="s">
        <v>2678</v>
      </c>
      <c r="I856" t="str">
        <f>INDEX(Genomes!$I:$I,(MATCH(AllProteins!H856,Genomes!$B:$B,0)))</f>
        <v>AY386264-orf_virus</v>
      </c>
      <c r="J856">
        <f>INDEX(Genomes!$A:$A,(MATCH(AllProteins!H856,Genomes!$B:$B,0)))</f>
        <v>35</v>
      </c>
      <c r="K856" t="str">
        <f>INDEX(Genomes!$J:$J,(MATCH(AllProteins!H856,Genomes!$B:$B,0)))</f>
        <v>Y</v>
      </c>
    </row>
    <row r="857" spans="1:11" x14ac:dyDescent="0.2">
      <c r="A857">
        <f>INDEX(CoreProteinGroups!A:A,MATCH(B857,CoreProteinGroups!B:B,0))</f>
        <v>16</v>
      </c>
      <c r="B857" s="1" t="s">
        <v>1435</v>
      </c>
      <c r="C857" t="str">
        <f>VLOOKUP(B857,CoreProteinGroups!$B:$C,2,FALSE)</f>
        <v>polyA polymerase large</v>
      </c>
      <c r="D857" t="s">
        <v>1512</v>
      </c>
      <c r="E857" s="6" t="str">
        <f t="shared" si="13"/>
        <v>PROT:ABA00535.1</v>
      </c>
      <c r="F857" t="s">
        <v>1513</v>
      </c>
      <c r="G857" t="s">
        <v>2555</v>
      </c>
      <c r="H857" t="s">
        <v>2645</v>
      </c>
      <c r="I857" t="str">
        <f>INDEX(Genomes!$I:$I,(MATCH(AllProteins!H857,Genomes!$B:$B,0)))</f>
        <v>DQ184476-orf_virus_strain_NZ2</v>
      </c>
      <c r="J857">
        <f>INDEX(Genomes!$A:$A,(MATCH(AllProteins!H857,Genomes!$B:$B,0)))</f>
        <v>36</v>
      </c>
      <c r="K857" t="str">
        <f>INDEX(Genomes!$J:$J,(MATCH(AllProteins!H857,Genomes!$B:$B,0)))</f>
        <v>N</v>
      </c>
    </row>
    <row r="858" spans="1:11" x14ac:dyDescent="0.2">
      <c r="A858">
        <f>INDEX(CoreProteinGroups!A:A,MATCH(B858,CoreProteinGroups!B:B,0))</f>
        <v>16</v>
      </c>
      <c r="B858" s="1" t="s">
        <v>1435</v>
      </c>
      <c r="C858" t="str">
        <f>VLOOKUP(B858,CoreProteinGroups!$B:$C,2,FALSE)</f>
        <v>polyA polymerase large</v>
      </c>
      <c r="D858" t="s">
        <v>1514</v>
      </c>
      <c r="E858" s="6" t="str">
        <f t="shared" si="13"/>
        <v>PROT:AIZ77269.1</v>
      </c>
      <c r="F858" t="s">
        <v>1515</v>
      </c>
      <c r="G858" t="s">
        <v>119</v>
      </c>
      <c r="H858" t="s">
        <v>2684</v>
      </c>
      <c r="I858" t="str">
        <f>INDEX(Genomes!$I:$I,(MATCH(AllProteins!H858,Genomes!$B:$B,0)))</f>
        <v>KM502564-parapoxvirus_red_deer</v>
      </c>
      <c r="J858">
        <f>INDEX(Genomes!$A:$A,(MATCH(AllProteins!H858,Genomes!$B:$B,0)))</f>
        <v>42</v>
      </c>
      <c r="K858" t="str">
        <f>INDEX(Genomes!$J:$J,(MATCH(AllProteins!H858,Genomes!$B:$B,0)))</f>
        <v>Y</v>
      </c>
    </row>
    <row r="859" spans="1:11" x14ac:dyDescent="0.2">
      <c r="A859">
        <f>INDEX(CoreProteinGroups!A:A,MATCH(B859,CoreProteinGroups!B:B,0))</f>
        <v>16</v>
      </c>
      <c r="B859" s="1" t="s">
        <v>1435</v>
      </c>
      <c r="C859" t="str">
        <f>VLOOKUP(B859,CoreProteinGroups!$B:$C,2,FALSE)</f>
        <v>polyA polymerase large</v>
      </c>
      <c r="D859" t="s">
        <v>1516</v>
      </c>
      <c r="E859" s="6" t="str">
        <f t="shared" si="13"/>
        <v>PROT:ADC53919.1</v>
      </c>
      <c r="F859" t="s">
        <v>1517</v>
      </c>
      <c r="G859" t="s">
        <v>121</v>
      </c>
      <c r="H859" t="s">
        <v>2679</v>
      </c>
      <c r="I859" t="str">
        <f>INDEX(Genomes!$I:$I,(MATCH(AllProteins!H859,Genomes!$B:$B,0)))</f>
        <v>GQ329670-pseudocowpox_virus</v>
      </c>
      <c r="J859">
        <f>INDEX(Genomes!$A:$A,(MATCH(AllProteins!H859,Genomes!$B:$B,0)))</f>
        <v>37</v>
      </c>
      <c r="K859" t="str">
        <f>INDEX(Genomes!$J:$J,(MATCH(AllProteins!H859,Genomes!$B:$B,0)))</f>
        <v>Y</v>
      </c>
    </row>
    <row r="860" spans="1:11" x14ac:dyDescent="0.2">
      <c r="A860">
        <f>INDEX(CoreProteinGroups!A:A,MATCH(B860,CoreProteinGroups!B:B,0))</f>
        <v>16</v>
      </c>
      <c r="B860" s="1" t="s">
        <v>1435</v>
      </c>
      <c r="C860" t="str">
        <f>VLOOKUP(B860,CoreProteinGroups!$B:$C,2,FALSE)</f>
        <v>polyA polymerase large</v>
      </c>
      <c r="D860" t="s">
        <v>1518</v>
      </c>
      <c r="E860" s="6" t="str">
        <f t="shared" si="13"/>
        <v>PROT:AAL69769.1</v>
      </c>
      <c r="F860" t="s">
        <v>1519</v>
      </c>
      <c r="G860" t="s">
        <v>124</v>
      </c>
      <c r="H860" t="s">
        <v>2690</v>
      </c>
      <c r="I860" t="str">
        <f>INDEX(Genomes!$I:$I,(MATCH(AllProteins!H860,Genomes!$B:$B,0)))</f>
        <v>AF410153-swinepox_virus</v>
      </c>
      <c r="J860">
        <f>INDEX(Genomes!$A:$A,(MATCH(AllProteins!H860,Genomes!$B:$B,0)))</f>
        <v>49</v>
      </c>
      <c r="K860" t="str">
        <f>INDEX(Genomes!$J:$J,(MATCH(AllProteins!H860,Genomes!$B:$B,0)))</f>
        <v>Y</v>
      </c>
    </row>
    <row r="861" spans="1:11" x14ac:dyDescent="0.2">
      <c r="A861">
        <f>INDEX(CoreProteinGroups!A:A,MATCH(B861,CoreProteinGroups!B:B,0))</f>
        <v>16</v>
      </c>
      <c r="B861" s="1" t="s">
        <v>1435</v>
      </c>
      <c r="C861" t="str">
        <f>VLOOKUP(B861,CoreProteinGroups!$B:$C,2,FALSE)</f>
        <v>polyA polymerase large</v>
      </c>
      <c r="D861" t="s">
        <v>1520</v>
      </c>
      <c r="E861" s="6" t="str">
        <f t="shared" si="13"/>
        <v>PROT:CAC21270.1</v>
      </c>
      <c r="F861" t="s">
        <v>1521</v>
      </c>
      <c r="G861" t="s">
        <v>127</v>
      </c>
      <c r="H861" t="s">
        <v>2699</v>
      </c>
      <c r="I861" t="str">
        <f>INDEX(Genomes!$I:$I,(MATCH(AllProteins!H861,Genomes!$B:$B,0)))</f>
        <v>AJ293568-tanapox_virus</v>
      </c>
      <c r="J861">
        <f>INDEX(Genomes!$A:$A,(MATCH(AllProteins!H861,Genomes!$B:$B,0)))</f>
        <v>58</v>
      </c>
      <c r="K861" t="str">
        <f>INDEX(Genomes!$J:$J,(MATCH(AllProteins!H861,Genomes!$B:$B,0)))</f>
        <v>Y</v>
      </c>
    </row>
    <row r="862" spans="1:11" x14ac:dyDescent="0.2">
      <c r="A862">
        <f>INDEX(CoreProteinGroups!A:A,MATCH(B862,CoreProteinGroups!B:B,0))</f>
        <v>16</v>
      </c>
      <c r="B862" s="1" t="s">
        <v>1435</v>
      </c>
      <c r="C862" t="str">
        <f>VLOOKUP(B862,CoreProteinGroups!$B:$C,2,FALSE)</f>
        <v>polyA polymerase large</v>
      </c>
      <c r="D862" t="s">
        <v>1522</v>
      </c>
      <c r="E862" s="6" t="str">
        <f t="shared" si="13"/>
        <v>PROT:AAR07389.1</v>
      </c>
      <c r="F862" t="s">
        <v>1523</v>
      </c>
      <c r="G862" t="s">
        <v>130</v>
      </c>
      <c r="H862" t="s">
        <v>2700</v>
      </c>
      <c r="I862" t="str">
        <f>INDEX(Genomes!$I:$I,(MATCH(AllProteins!H862,Genomes!$B:$B,0)))</f>
        <v>AY386371-Yaba_monkey_tumor_virus</v>
      </c>
      <c r="J862">
        <f>INDEX(Genomes!$A:$A,(MATCH(AllProteins!H862,Genomes!$B:$B,0)))</f>
        <v>59</v>
      </c>
      <c r="K862" t="str">
        <f>INDEX(Genomes!$J:$J,(MATCH(AllProteins!H862,Genomes!$B:$B,0)))</f>
        <v>Y</v>
      </c>
    </row>
    <row r="863" spans="1:11" x14ac:dyDescent="0.2">
      <c r="A863">
        <f>INDEX(CoreProteinGroups!A:A,MATCH(B863,CoreProteinGroups!B:B,0))</f>
        <v>16</v>
      </c>
      <c r="B863" s="1" t="s">
        <v>1435</v>
      </c>
      <c r="C863" t="str">
        <f>VLOOKUP(B863,CoreProteinGroups!$B:$C,2,FALSE)</f>
        <v>polyA polymerase large</v>
      </c>
      <c r="D863" t="s">
        <v>1524</v>
      </c>
      <c r="E863" s="6" t="str">
        <f t="shared" si="13"/>
        <v>PROT:AAC97789.1</v>
      </c>
      <c r="F863" t="s">
        <v>1525</v>
      </c>
      <c r="G863" t="s">
        <v>133</v>
      </c>
      <c r="H863" t="s">
        <v>2674</v>
      </c>
      <c r="I863" t="str">
        <f>INDEX(Genomes!$I:$I,(MATCH(AllProteins!H863,Genomes!$B:$B,0)))</f>
        <v>AF063866-Melanoplus_sanguinipes_entomopoxvirus</v>
      </c>
      <c r="J863">
        <f>INDEX(Genomes!$A:$A,(MATCH(AllProteins!H863,Genomes!$B:$B,0)))</f>
        <v>30</v>
      </c>
      <c r="K863" t="str">
        <f>INDEX(Genomes!$J:$J,(MATCH(AllProteins!H863,Genomes!$B:$B,0)))</f>
        <v>Y</v>
      </c>
    </row>
    <row r="864" spans="1:11" x14ac:dyDescent="0.2">
      <c r="A864">
        <f>INDEX(CoreProteinGroups!A:A,MATCH(B864,CoreProteinGroups!B:B,0))</f>
        <v>16</v>
      </c>
      <c r="B864" s="1" t="s">
        <v>1435</v>
      </c>
      <c r="C864" t="str">
        <f>VLOOKUP(B864,CoreProteinGroups!$B:$C,2,FALSE)</f>
        <v>polyA polymerase large</v>
      </c>
      <c r="D864" t="s">
        <v>1526</v>
      </c>
      <c r="E864" s="6" t="str">
        <f t="shared" si="13"/>
        <v>PROT:BAO49506.1</v>
      </c>
      <c r="F864" t="s">
        <v>1527</v>
      </c>
      <c r="G864" t="s">
        <v>136</v>
      </c>
      <c r="H864" t="s">
        <v>2648</v>
      </c>
      <c r="I864" t="str">
        <f>INDEX(Genomes!$I:$I,(MATCH(AllProteins!H864,Genomes!$B:$B,0)))</f>
        <v>AP013055-Anomala_cuprea_entomopoxvirus</v>
      </c>
      <c r="J864">
        <f>INDEX(Genomes!$A:$A,(MATCH(AllProteins!H864,Genomes!$B:$B,0)))</f>
        <v>2</v>
      </c>
      <c r="K864" t="str">
        <f>INDEX(Genomes!$J:$J,(MATCH(AllProteins!H864,Genomes!$B:$B,0)))</f>
        <v>Y</v>
      </c>
    </row>
    <row r="865" spans="1:11" x14ac:dyDescent="0.2">
      <c r="A865">
        <f>INDEX(CoreProteinGroups!A:A,MATCH(B865,CoreProteinGroups!B:B,0))</f>
        <v>16</v>
      </c>
      <c r="B865" s="1" t="s">
        <v>1435</v>
      </c>
      <c r="C865" t="str">
        <f>VLOOKUP(B865,CoreProteinGroups!$B:$C,2,FALSE)</f>
        <v>polyA polymerase large</v>
      </c>
      <c r="D865" t="s">
        <v>1528</v>
      </c>
      <c r="E865" s="6" t="str">
        <f t="shared" si="13"/>
        <v>PROT:CCU55359.1</v>
      </c>
      <c r="F865" t="s">
        <v>1529</v>
      </c>
      <c r="G865" t="s">
        <v>138</v>
      </c>
      <c r="H865" t="s">
        <v>2649</v>
      </c>
      <c r="I865" t="str">
        <f>INDEX(Genomes!$I:$I,(MATCH(AllProteins!H865,Genomes!$B:$B,0)))</f>
        <v>HF679131-Adoxophyes_honmai_entomopoxvirus</v>
      </c>
      <c r="J865">
        <f>INDEX(Genomes!$A:$A,(MATCH(AllProteins!H865,Genomes!$B:$B,0)))</f>
        <v>3</v>
      </c>
      <c r="K865" t="str">
        <f>INDEX(Genomes!$J:$J,(MATCH(AllProteins!H865,Genomes!$B:$B,0)))</f>
        <v>Y</v>
      </c>
    </row>
    <row r="866" spans="1:11" x14ac:dyDescent="0.2">
      <c r="A866">
        <f>INDEX(CoreProteinGroups!A:A,MATCH(B866,CoreProteinGroups!B:B,0))</f>
        <v>16</v>
      </c>
      <c r="B866" s="1" t="s">
        <v>1435</v>
      </c>
      <c r="C866" t="str">
        <f>VLOOKUP(B866,CoreProteinGroups!$B:$C,2,FALSE)</f>
        <v>polyA polymerase large</v>
      </c>
      <c r="D866" t="s">
        <v>1530</v>
      </c>
      <c r="E866" s="6" t="str">
        <f t="shared" si="13"/>
        <v>PROT:AAG02744.1</v>
      </c>
      <c r="F866" t="s">
        <v>1531</v>
      </c>
      <c r="G866" t="s">
        <v>141</v>
      </c>
      <c r="H866" t="s">
        <v>2651</v>
      </c>
      <c r="I866" t="str">
        <f>INDEX(Genomes!$I:$I,(MATCH(AllProteins!H866,Genomes!$B:$B,0)))</f>
        <v>AF250284-Amsacta_moorei_entomopoxvirus</v>
      </c>
      <c r="J866">
        <f>INDEX(Genomes!$A:$A,(MATCH(AllProteins!H866,Genomes!$B:$B,0)))</f>
        <v>5</v>
      </c>
      <c r="K866" t="str">
        <f>INDEX(Genomes!$J:$J,(MATCH(AllProteins!H866,Genomes!$B:$B,0)))</f>
        <v>Y</v>
      </c>
    </row>
    <row r="867" spans="1:11" x14ac:dyDescent="0.2">
      <c r="A867">
        <f>INDEX(CoreProteinGroups!A:A,MATCH(B867,CoreProteinGroups!B:B,0))</f>
        <v>16</v>
      </c>
      <c r="B867" s="1" t="s">
        <v>1435</v>
      </c>
      <c r="C867" t="str">
        <f>VLOOKUP(B867,CoreProteinGroups!$B:$C,2,FALSE)</f>
        <v>polyA polymerase large</v>
      </c>
      <c r="D867" t="s">
        <v>1532</v>
      </c>
      <c r="E867" s="6" t="str">
        <f t="shared" si="13"/>
        <v>PROT:CCU55653.1</v>
      </c>
      <c r="F867" t="s">
        <v>1529</v>
      </c>
      <c r="G867" t="s">
        <v>143</v>
      </c>
      <c r="H867" t="s">
        <v>2656</v>
      </c>
      <c r="I867" t="str">
        <f>INDEX(Genomes!$I:$I,(MATCH(AllProteins!H867,Genomes!$B:$B,0)))</f>
        <v>HF679132-Choristoneura_biennis_entomopoxvirus</v>
      </c>
      <c r="J867">
        <f>INDEX(Genomes!$A:$A,(MATCH(AllProteins!H867,Genomes!$B:$B,0)))</f>
        <v>10</v>
      </c>
      <c r="K867" t="str">
        <f>INDEX(Genomes!$J:$J,(MATCH(AllProteins!H867,Genomes!$B:$B,0)))</f>
        <v>Y</v>
      </c>
    </row>
    <row r="868" spans="1:11" x14ac:dyDescent="0.2">
      <c r="A868">
        <f>INDEX(CoreProteinGroups!A:A,MATCH(B868,CoreProteinGroups!B:B,0))</f>
        <v>16</v>
      </c>
      <c r="B868" s="1" t="s">
        <v>1435</v>
      </c>
      <c r="C868" t="str">
        <f>VLOOKUP(B868,CoreProteinGroups!$B:$C,2,FALSE)</f>
        <v>polyA polymerase large</v>
      </c>
      <c r="D868" t="s">
        <v>1533</v>
      </c>
      <c r="E868" s="6" t="str">
        <f t="shared" si="13"/>
        <v>PROT:CCU55966.1</v>
      </c>
      <c r="F868" t="s">
        <v>1529</v>
      </c>
      <c r="G868" t="s">
        <v>145</v>
      </c>
      <c r="H868" t="s">
        <v>2660</v>
      </c>
      <c r="I868" t="str">
        <f>INDEX(Genomes!$I:$I,(MATCH(AllProteins!H868,Genomes!$B:$B,0)))</f>
        <v>HF679133-Choristoneura_rosaceana_entomopoxvirus</v>
      </c>
      <c r="J868">
        <f>INDEX(Genomes!$A:$A,(MATCH(AllProteins!H868,Genomes!$B:$B,0)))</f>
        <v>14</v>
      </c>
      <c r="K868" t="str">
        <f>INDEX(Genomes!$J:$J,(MATCH(AllProteins!H868,Genomes!$B:$B,0)))</f>
        <v>Y</v>
      </c>
    </row>
    <row r="869" spans="1:11" x14ac:dyDescent="0.2">
      <c r="A869">
        <f>INDEX(CoreProteinGroups!A:A,MATCH(B869,CoreProteinGroups!B:B,0))</f>
        <v>16</v>
      </c>
      <c r="B869" s="1" t="s">
        <v>1435</v>
      </c>
      <c r="C869" t="str">
        <f>VLOOKUP(B869,CoreProteinGroups!$B:$C,2,FALSE)</f>
        <v>polyA polymerase large</v>
      </c>
      <c r="D869" t="s">
        <v>1534</v>
      </c>
      <c r="E869" s="6" t="str">
        <f t="shared" si="13"/>
        <v>PROT:CCU56262.1</v>
      </c>
      <c r="F869" t="s">
        <v>1529</v>
      </c>
      <c r="G869" t="s">
        <v>147</v>
      </c>
      <c r="H869" t="s">
        <v>2675</v>
      </c>
      <c r="I869" t="str">
        <f>INDEX(Genomes!$I:$I,(MATCH(AllProteins!H869,Genomes!$B:$B,0)))</f>
        <v>HF679134-Mythimna_separata_entomopoxvirus</v>
      </c>
      <c r="J869">
        <f>INDEX(Genomes!$A:$A,(MATCH(AllProteins!H869,Genomes!$B:$B,0)))</f>
        <v>31</v>
      </c>
      <c r="K869" t="str">
        <f>INDEX(Genomes!$J:$J,(MATCH(AllProteins!H869,Genomes!$B:$B,0)))</f>
        <v>Y</v>
      </c>
    </row>
    <row r="870" spans="1:11" x14ac:dyDescent="0.2">
      <c r="A870">
        <f>INDEX(CoreProteinGroups!A:A,MATCH(B870,CoreProteinGroups!B:B,0))</f>
        <v>16</v>
      </c>
      <c r="B870" s="1" t="s">
        <v>1435</v>
      </c>
      <c r="C870" t="str">
        <f>VLOOKUP(B870,CoreProteinGroups!$B:$C,2,FALSE)</f>
        <v>polyA polymerase large</v>
      </c>
      <c r="D870" t="s">
        <v>1535</v>
      </c>
      <c r="E870" s="6" t="str">
        <f t="shared" si="13"/>
        <v>PROT:NP_659604.1</v>
      </c>
      <c r="F870" t="s">
        <v>1536</v>
      </c>
      <c r="G870" t="s">
        <v>150</v>
      </c>
      <c r="H870" t="s">
        <v>2620</v>
      </c>
      <c r="I870" t="str">
        <f>INDEX(Genomes!$I:$I,(MATCH(AllProteins!H870,Genomes!$B:$B,0)))</f>
        <v>NC_004002-sheeppox_virus</v>
      </c>
      <c r="J870">
        <f>INDEX(Genomes!$A:$A,(MATCH(AllProteins!H870,Genomes!$B:$B,0)))</f>
        <v>44</v>
      </c>
      <c r="K870" t="str">
        <f>INDEX(Genomes!$J:$J,(MATCH(AllProteins!H870,Genomes!$B:$B,0)))</f>
        <v>Y</v>
      </c>
    </row>
    <row r="871" spans="1:11" x14ac:dyDescent="0.2">
      <c r="A871">
        <f>INDEX(CoreProteinGroups!A:A,MATCH(B871,CoreProteinGroups!B:B,0))</f>
        <v>16</v>
      </c>
      <c r="B871" s="1" t="s">
        <v>1435</v>
      </c>
      <c r="C871" t="str">
        <f>VLOOKUP(B871,CoreProteinGroups!$B:$C,2,FALSE)</f>
        <v>polyA polymerase large</v>
      </c>
      <c r="D871" t="s">
        <v>1537</v>
      </c>
      <c r="E871" s="6" t="str">
        <f t="shared" si="13"/>
        <v>PROT:YP_001293223.1</v>
      </c>
      <c r="F871" t="s">
        <v>1538</v>
      </c>
      <c r="G871" t="s">
        <v>153</v>
      </c>
      <c r="H871" t="s">
        <v>2644</v>
      </c>
      <c r="I871" t="str">
        <f>INDEX(Genomes!$I:$I,(MATCH(AllProteins!H871,Genomes!$B:$B,0)))</f>
        <v>NC_004003-goatpox_virus</v>
      </c>
      <c r="J871">
        <f>INDEX(Genomes!$A:$A,(MATCH(AllProteins!H871,Genomes!$B:$B,0)))</f>
        <v>23</v>
      </c>
      <c r="K871" t="str">
        <f>INDEX(Genomes!$J:$J,(MATCH(AllProteins!H871,Genomes!$B:$B,0)))</f>
        <v>Y</v>
      </c>
    </row>
    <row r="872" spans="1:11" x14ac:dyDescent="0.2">
      <c r="A872">
        <f>INDEX(CoreProteinGroups!A:A,MATCH(B872,CoreProteinGroups!B:B,0))</f>
        <v>15</v>
      </c>
      <c r="B872" s="1" t="s">
        <v>1539</v>
      </c>
      <c r="C872" t="str">
        <f>VLOOKUP(B872,CoreProteinGroups!$B:$C,2,FALSE)</f>
        <v>sulfhydryl oxidase</v>
      </c>
      <c r="D872" t="s">
        <v>1541</v>
      </c>
      <c r="E872" s="6" t="str">
        <f t="shared" si="13"/>
        <v>PROT:ATI21146.1</v>
      </c>
      <c r="F872" t="s">
        <v>1540</v>
      </c>
      <c r="G872" t="s">
        <v>11</v>
      </c>
      <c r="H872" t="s">
        <v>2663</v>
      </c>
      <c r="I872" t="str">
        <f>INDEX(Genomes!$I:$I,(MATCH(AllProteins!H872,Genomes!$B:$B,0)))</f>
        <v>MF467281-Eastern_grey_kangaroopox_virus</v>
      </c>
      <c r="J872">
        <f>INDEX(Genomes!$A:$A,(MATCH(AllProteins!H872,Genomes!$B:$B,0)))</f>
        <v>18</v>
      </c>
      <c r="K872" t="str">
        <f>INDEX(Genomes!$J:$J,(MATCH(AllProteins!H872,Genomes!$B:$B,0)))</f>
        <v>Y</v>
      </c>
    </row>
    <row r="873" spans="1:11" x14ac:dyDescent="0.2">
      <c r="A873">
        <f>INDEX(CoreProteinGroups!A:A,MATCH(B873,CoreProteinGroups!B:B,0))</f>
        <v>15</v>
      </c>
      <c r="B873" s="1" t="s">
        <v>1539</v>
      </c>
      <c r="C873" t="str">
        <f>VLOOKUP(B873,CoreProteinGroups!$B:$C,2,FALSE)</f>
        <v>sulfhydryl oxidase</v>
      </c>
      <c r="D873" t="s">
        <v>1542</v>
      </c>
      <c r="E873" s="6" t="str">
        <f t="shared" si="13"/>
        <v>PROT:AWU47083.1</v>
      </c>
      <c r="F873" t="s">
        <v>1543</v>
      </c>
      <c r="G873" t="s">
        <v>13</v>
      </c>
      <c r="H873" t="s">
        <v>2688</v>
      </c>
      <c r="I873" t="str">
        <f>INDEX(Genomes!$I:$I,(MATCH(AllProteins!H873,Genomes!$B:$B,0)))</f>
        <v>MH427217-sea_otter_poxvirus</v>
      </c>
      <c r="J873">
        <f>INDEX(Genomes!$A:$A,(MATCH(AllProteins!H873,Genomes!$B:$B,0)))</f>
        <v>47</v>
      </c>
      <c r="K873" t="str">
        <f>INDEX(Genomes!$J:$J,(MATCH(AllProteins!H873,Genomes!$B:$B,0)))</f>
        <v>Y</v>
      </c>
    </row>
    <row r="874" spans="1:11" x14ac:dyDescent="0.2">
      <c r="A874">
        <f>INDEX(CoreProteinGroups!A:A,MATCH(B874,CoreProteinGroups!B:B,0))</f>
        <v>15</v>
      </c>
      <c r="B874" s="1" t="s">
        <v>1539</v>
      </c>
      <c r="C874" t="str">
        <f>VLOOKUP(B874,CoreProteinGroups!$B:$C,2,FALSE)</f>
        <v>sulfhydryl oxidase</v>
      </c>
      <c r="D874" t="s">
        <v>1544</v>
      </c>
      <c r="E874" s="6" t="str">
        <f t="shared" si="13"/>
        <v>PROT:APG58250.1</v>
      </c>
      <c r="F874" t="s">
        <v>1545</v>
      </c>
      <c r="G874" t="s">
        <v>16</v>
      </c>
      <c r="H874" t="s">
        <v>2653</v>
      </c>
      <c r="I874" t="str">
        <f>INDEX(Genomes!$I:$I,(MATCH(AllProteins!H874,Genomes!$B:$B,0)))</f>
        <v>KY094066-BeAn_58058_virus</v>
      </c>
      <c r="J874">
        <f>INDEX(Genomes!$A:$A,(MATCH(AllProteins!H874,Genomes!$B:$B,0)))</f>
        <v>7</v>
      </c>
      <c r="K874" t="str">
        <f>INDEX(Genomes!$J:$J,(MATCH(AllProteins!H874,Genomes!$B:$B,0)))</f>
        <v>N</v>
      </c>
    </row>
    <row r="875" spans="1:11" x14ac:dyDescent="0.2">
      <c r="A875">
        <f>INDEX(CoreProteinGroups!A:A,MATCH(B875,CoreProteinGroups!B:B,0))</f>
        <v>15</v>
      </c>
      <c r="B875" s="1" t="s">
        <v>1539</v>
      </c>
      <c r="C875" t="str">
        <f>VLOOKUP(B875,CoreProteinGroups!$B:$C,2,FALSE)</f>
        <v>sulfhydryl oxidase</v>
      </c>
      <c r="D875" t="s">
        <v>1546</v>
      </c>
      <c r="E875" s="6" t="str">
        <f t="shared" si="13"/>
        <v>PROT:ADT91073.1</v>
      </c>
      <c r="F875" t="s">
        <v>1540</v>
      </c>
      <c r="G875" t="s">
        <v>19</v>
      </c>
      <c r="H875" t="s">
        <v>2658</v>
      </c>
      <c r="I875" t="str">
        <f>INDEX(Genomes!$I:$I,(MATCH(AllProteins!H875,Genomes!$B:$B,0)))</f>
        <v>HQ647181-Cotia_virus</v>
      </c>
      <c r="J875">
        <f>INDEX(Genomes!$A:$A,(MATCH(AllProteins!H875,Genomes!$B:$B,0)))</f>
        <v>12</v>
      </c>
      <c r="K875" t="str">
        <f>INDEX(Genomes!$J:$J,(MATCH(AllProteins!H875,Genomes!$B:$B,0)))</f>
        <v>Y</v>
      </c>
    </row>
    <row r="876" spans="1:11" x14ac:dyDescent="0.2">
      <c r="A876">
        <f>INDEX(CoreProteinGroups!A:A,MATCH(B876,CoreProteinGroups!B:B,0))</f>
        <v>15</v>
      </c>
      <c r="B876" s="1" t="s">
        <v>1539</v>
      </c>
      <c r="C876" t="str">
        <f>VLOOKUP(B876,CoreProteinGroups!$B:$C,2,FALSE)</f>
        <v>sulfhydryl oxidase</v>
      </c>
      <c r="D876" t="s">
        <v>1547</v>
      </c>
      <c r="E876" s="6" t="str">
        <f t="shared" si="13"/>
        <v>PROT:ANS71127.1</v>
      </c>
      <c r="F876" t="s">
        <v>1540</v>
      </c>
      <c r="G876" t="s">
        <v>21</v>
      </c>
      <c r="H876" t="s">
        <v>2682</v>
      </c>
      <c r="I876" t="str">
        <f>INDEX(Genomes!$I:$I,(MATCH(AllProteins!H876,Genomes!$B:$B,0)))</f>
        <v>KU980965-pteropox_virus</v>
      </c>
      <c r="J876">
        <f>INDEX(Genomes!$A:$A,(MATCH(AllProteins!H876,Genomes!$B:$B,0)))</f>
        <v>40</v>
      </c>
      <c r="K876" t="str">
        <f>INDEX(Genomes!$J:$J,(MATCH(AllProteins!H876,Genomes!$B:$B,0)))</f>
        <v>Y</v>
      </c>
    </row>
    <row r="877" spans="1:11" x14ac:dyDescent="0.2">
      <c r="A877">
        <f>INDEX(CoreProteinGroups!A:A,MATCH(B877,CoreProteinGroups!B:B,0))</f>
        <v>15</v>
      </c>
      <c r="B877" s="1" t="s">
        <v>1539</v>
      </c>
      <c r="C877" t="str">
        <f>VLOOKUP(B877,CoreProteinGroups!$B:$C,2,FALSE)</f>
        <v>sulfhydryl oxidase</v>
      </c>
      <c r="D877" t="s">
        <v>1548</v>
      </c>
      <c r="E877" s="6" t="str">
        <f t="shared" si="13"/>
        <v>PROT:AKR04201.1</v>
      </c>
      <c r="F877" t="s">
        <v>1549</v>
      </c>
      <c r="G877" t="s">
        <v>24</v>
      </c>
      <c r="H877" t="s">
        <v>2687</v>
      </c>
      <c r="I877" t="str">
        <f>INDEX(Genomes!$I:$I,(MATCH(AllProteins!H877,Genomes!$B:$B,0)))</f>
        <v>KT159937-salmon_gill_poxvirus</v>
      </c>
      <c r="J877">
        <f>INDEX(Genomes!$A:$A,(MATCH(AllProteins!H877,Genomes!$B:$B,0)))</f>
        <v>46</v>
      </c>
      <c r="K877" t="str">
        <f>INDEX(Genomes!$J:$J,(MATCH(AllProteins!H877,Genomes!$B:$B,0)))</f>
        <v>Y</v>
      </c>
    </row>
    <row r="878" spans="1:11" x14ac:dyDescent="0.2">
      <c r="A878">
        <f>INDEX(CoreProteinGroups!A:A,MATCH(B878,CoreProteinGroups!B:B,0))</f>
        <v>15</v>
      </c>
      <c r="B878" s="1" t="s">
        <v>1539</v>
      </c>
      <c r="C878" t="str">
        <f>VLOOKUP(B878,CoreProteinGroups!$B:$C,2,FALSE)</f>
        <v>sulfhydryl oxidase</v>
      </c>
      <c r="D878" t="s">
        <v>1550</v>
      </c>
      <c r="E878" s="6" t="str">
        <f t="shared" si="13"/>
        <v>PROT:CCD83216.1</v>
      </c>
      <c r="F878" t="s">
        <v>1551</v>
      </c>
      <c r="G878" t="s">
        <v>27</v>
      </c>
      <c r="H878" t="s">
        <v>2689</v>
      </c>
      <c r="I878" t="str">
        <f>INDEX(Genomes!$I:$I,(MATCH(AllProteins!H878,Genomes!$B:$B,0)))</f>
        <v>HE601899-squirrelpox_virus</v>
      </c>
      <c r="J878">
        <f>INDEX(Genomes!$A:$A,(MATCH(AllProteins!H878,Genomes!$B:$B,0)))</f>
        <v>48</v>
      </c>
      <c r="K878" t="str">
        <f>INDEX(Genomes!$J:$J,(MATCH(AllProteins!H878,Genomes!$B:$B,0)))</f>
        <v>Y</v>
      </c>
    </row>
    <row r="879" spans="1:11" x14ac:dyDescent="0.2">
      <c r="A879">
        <f>INDEX(CoreProteinGroups!A:A,MATCH(B879,CoreProteinGroups!B:B,0))</f>
        <v>15</v>
      </c>
      <c r="B879" s="1" t="s">
        <v>1539</v>
      </c>
      <c r="C879" t="str">
        <f>VLOOKUP(B879,CoreProteinGroups!$B:$C,2,FALSE)</f>
        <v>sulfhydryl oxidase</v>
      </c>
      <c r="D879" t="s">
        <v>1552</v>
      </c>
      <c r="E879" s="6" t="str">
        <f t="shared" si="13"/>
        <v>PROT:ASK51243.1</v>
      </c>
      <c r="F879" t="s">
        <v>1553</v>
      </c>
      <c r="G879" t="s">
        <v>30</v>
      </c>
      <c r="H879" t="s">
        <v>2664</v>
      </c>
      <c r="I879" t="str">
        <f>INDEX(Genomes!$I:$I,(MATCH(AllProteins!H879,Genomes!$B:$B,0)))</f>
        <v>KY747497-eptesipox_virus</v>
      </c>
      <c r="J879">
        <f>INDEX(Genomes!$A:$A,(MATCH(AllProteins!H879,Genomes!$B:$B,0)))</f>
        <v>19</v>
      </c>
      <c r="K879" t="str">
        <f>INDEX(Genomes!$J:$J,(MATCH(AllProteins!H879,Genomes!$B:$B,0)))</f>
        <v>Y</v>
      </c>
    </row>
    <row r="880" spans="1:11" x14ac:dyDescent="0.2">
      <c r="A880">
        <f>INDEX(CoreProteinGroups!A:A,MATCH(B880,CoreProteinGroups!B:B,0))</f>
        <v>15</v>
      </c>
      <c r="B880" s="1" t="s">
        <v>1539</v>
      </c>
      <c r="C880" t="str">
        <f>VLOOKUP(B880,CoreProteinGroups!$B:$C,2,FALSE)</f>
        <v>sulfhydryl oxidase</v>
      </c>
      <c r="D880" t="s">
        <v>1554</v>
      </c>
      <c r="E880" s="6" t="str">
        <f t="shared" si="13"/>
        <v>PROT:AUD40197.1</v>
      </c>
      <c r="F880" t="s">
        <v>1540</v>
      </c>
      <c r="G880" t="s">
        <v>32</v>
      </c>
      <c r="H880" t="s">
        <v>2665</v>
      </c>
      <c r="I880" t="str">
        <f>INDEX(Genomes!$I:$I,(MATCH(AllProteins!H880,Genomes!$B:$B,0)))</f>
        <v>MF678796-flamingopox_virus</v>
      </c>
      <c r="J880">
        <f>INDEX(Genomes!$A:$A,(MATCH(AllProteins!H880,Genomes!$B:$B,0)))</f>
        <v>20</v>
      </c>
      <c r="K880" t="str">
        <f>INDEX(Genomes!$J:$J,(MATCH(AllProteins!H880,Genomes!$B:$B,0)))</f>
        <v>Y</v>
      </c>
    </row>
    <row r="881" spans="1:11" x14ac:dyDescent="0.2">
      <c r="A881">
        <f>INDEX(CoreProteinGroups!A:A,MATCH(B881,CoreProteinGroups!B:B,0))</f>
        <v>15</v>
      </c>
      <c r="B881" s="1" t="s">
        <v>1539</v>
      </c>
      <c r="C881" t="str">
        <f>VLOOKUP(B881,CoreProteinGroups!$B:$C,2,FALSE)</f>
        <v>sulfhydryl oxidase</v>
      </c>
      <c r="D881" t="s">
        <v>1555</v>
      </c>
      <c r="E881" s="6" t="str">
        <f t="shared" si="13"/>
        <v>PROT:AID46832.1</v>
      </c>
      <c r="F881" t="s">
        <v>1556</v>
      </c>
      <c r="G881" t="s">
        <v>34</v>
      </c>
      <c r="H881" t="s">
        <v>2681</v>
      </c>
      <c r="I881" t="str">
        <f>INDEX(Genomes!$I:$I,(MATCH(AllProteins!H881,Genomes!$B:$B,0)))</f>
        <v>KJ859677-penguinpox_virus</v>
      </c>
      <c r="J881">
        <f>INDEX(Genomes!$A:$A,(MATCH(AllProteins!H881,Genomes!$B:$B,0)))</f>
        <v>39</v>
      </c>
      <c r="K881" t="str">
        <f>INDEX(Genomes!$J:$J,(MATCH(AllProteins!H881,Genomes!$B:$B,0)))</f>
        <v>Y</v>
      </c>
    </row>
    <row r="882" spans="1:11" x14ac:dyDescent="0.2">
      <c r="A882">
        <f>INDEX(CoreProteinGroups!A:A,MATCH(B882,CoreProteinGroups!B:B,0))</f>
        <v>15</v>
      </c>
      <c r="B882" s="1" t="s">
        <v>1539</v>
      </c>
      <c r="C882" t="str">
        <f>VLOOKUP(B882,CoreProteinGroups!$B:$C,2,FALSE)</f>
        <v>sulfhydryl oxidase</v>
      </c>
      <c r="D882" t="s">
        <v>1557</v>
      </c>
      <c r="E882" s="6" t="str">
        <f t="shared" si="13"/>
        <v>PROT:AID46603.1</v>
      </c>
      <c r="F882" t="s">
        <v>1556</v>
      </c>
      <c r="G882" t="s">
        <v>36</v>
      </c>
      <c r="H882" t="s">
        <v>2680</v>
      </c>
      <c r="I882" t="str">
        <f>INDEX(Genomes!$I:$I,(MATCH(AllProteins!H882,Genomes!$B:$B,0)))</f>
        <v>KJ801920-pigeonpox_virus</v>
      </c>
      <c r="J882">
        <f>INDEX(Genomes!$A:$A,(MATCH(AllProteins!H882,Genomes!$B:$B,0)))</f>
        <v>38</v>
      </c>
      <c r="K882" t="str">
        <f>INDEX(Genomes!$J:$J,(MATCH(AllProteins!H882,Genomes!$B:$B,0)))</f>
        <v>Y</v>
      </c>
    </row>
    <row r="883" spans="1:11" x14ac:dyDescent="0.2">
      <c r="A883">
        <f>INDEX(CoreProteinGroups!A:A,MATCH(B883,CoreProteinGroups!B:B,0))</f>
        <v>15</v>
      </c>
      <c r="B883" s="1" t="s">
        <v>1539</v>
      </c>
      <c r="C883" t="str">
        <f>VLOOKUP(B883,CoreProteinGroups!$B:$C,2,FALSE)</f>
        <v>sulfhydryl oxidase</v>
      </c>
      <c r="D883" t="s">
        <v>1558</v>
      </c>
      <c r="E883" s="6" t="str">
        <f t="shared" si="13"/>
        <v>PROT:ALA62441.1</v>
      </c>
      <c r="F883" t="s">
        <v>1559</v>
      </c>
      <c r="G883" t="s">
        <v>39</v>
      </c>
      <c r="H883" t="s">
        <v>2692</v>
      </c>
      <c r="I883" t="str">
        <f>INDEX(Genomes!$I:$I,(MATCH(AllProteins!H883,Genomes!$B:$B,0)))</f>
        <v>KP728110-turkeypox_virus</v>
      </c>
      <c r="J883">
        <f>INDEX(Genomes!$A:$A,(MATCH(AllProteins!H883,Genomes!$B:$B,0)))</f>
        <v>51</v>
      </c>
      <c r="K883" t="str">
        <f>INDEX(Genomes!$J:$J,(MATCH(AllProteins!H883,Genomes!$B:$B,0)))</f>
        <v>Y</v>
      </c>
    </row>
    <row r="884" spans="1:11" x14ac:dyDescent="0.2">
      <c r="A884">
        <f>INDEX(CoreProteinGroups!A:A,MATCH(B884,CoreProteinGroups!B:B,0))</f>
        <v>15</v>
      </c>
      <c r="B884" s="1" t="s">
        <v>1539</v>
      </c>
      <c r="C884" t="str">
        <f>VLOOKUP(B884,CoreProteinGroups!$B:$C,2,FALSE)</f>
        <v>sulfhydryl oxidase</v>
      </c>
      <c r="D884" t="s">
        <v>1560</v>
      </c>
      <c r="E884" s="6" t="str">
        <f t="shared" si="13"/>
        <v>PROT:AAR83466.1</v>
      </c>
      <c r="F884" t="s">
        <v>1561</v>
      </c>
      <c r="G884" t="s">
        <v>42</v>
      </c>
      <c r="H884" t="s">
        <v>2657</v>
      </c>
      <c r="I884" t="str">
        <f>INDEX(Genomes!$I:$I,(MATCH(AllProteins!H884,Genomes!$B:$B,0)))</f>
        <v>AY318871-canarypox_virus</v>
      </c>
      <c r="J884">
        <f>INDEX(Genomes!$A:$A,(MATCH(AllProteins!H884,Genomes!$B:$B,0)))</f>
        <v>11</v>
      </c>
      <c r="K884" t="str">
        <f>INDEX(Genomes!$J:$J,(MATCH(AllProteins!H884,Genomes!$B:$B,0)))</f>
        <v>Y</v>
      </c>
    </row>
    <row r="885" spans="1:11" x14ac:dyDescent="0.2">
      <c r="A885">
        <f>INDEX(CoreProteinGroups!A:A,MATCH(B885,CoreProteinGroups!B:B,0))</f>
        <v>15</v>
      </c>
      <c r="B885" s="1" t="s">
        <v>1539</v>
      </c>
      <c r="C885" t="str">
        <f>VLOOKUP(B885,CoreProteinGroups!$B:$C,2,FALSE)</f>
        <v>sulfhydryl oxidase</v>
      </c>
      <c r="D885" t="s">
        <v>1562</v>
      </c>
      <c r="E885" s="6" t="str">
        <f t="shared" si="13"/>
        <v>PROT:AAF44437.1</v>
      </c>
      <c r="F885" t="s">
        <v>1563</v>
      </c>
      <c r="G885" t="s">
        <v>45</v>
      </c>
      <c r="H885" t="s">
        <v>2666</v>
      </c>
      <c r="I885" t="str">
        <f>INDEX(Genomes!$I:$I,(MATCH(AllProteins!H885,Genomes!$B:$B,0)))</f>
        <v>AF198100-fowlpox_virus</v>
      </c>
      <c r="J885">
        <f>INDEX(Genomes!$A:$A,(MATCH(AllProteins!H885,Genomes!$B:$B,0)))</f>
        <v>21</v>
      </c>
      <c r="K885" t="str">
        <f>INDEX(Genomes!$J:$J,(MATCH(AllProteins!H885,Genomes!$B:$B,0)))</f>
        <v>Y</v>
      </c>
    </row>
    <row r="886" spans="1:11" x14ac:dyDescent="0.2">
      <c r="A886">
        <f>INDEX(CoreProteinGroups!A:A,MATCH(B886,CoreProteinGroups!B:B,0))</f>
        <v>15</v>
      </c>
      <c r="B886" s="1" t="s">
        <v>1539</v>
      </c>
      <c r="C886" t="str">
        <f>VLOOKUP(B886,CoreProteinGroups!$B:$C,2,FALSE)</f>
        <v>sulfhydryl oxidase</v>
      </c>
      <c r="D886" t="s">
        <v>1564</v>
      </c>
      <c r="E886" s="6" t="str">
        <f t="shared" si="13"/>
        <v>PROT:AAK85001.1</v>
      </c>
      <c r="F886" t="s">
        <v>1565</v>
      </c>
      <c r="G886" t="s">
        <v>48</v>
      </c>
      <c r="H886" t="s">
        <v>2669</v>
      </c>
      <c r="I886" t="str">
        <f>INDEX(Genomes!$I:$I,(MATCH(AllProteins!H886,Genomes!$B:$B,0)))</f>
        <v>AF325528-lumpy_skin_disease_virus</v>
      </c>
      <c r="J886">
        <f>INDEX(Genomes!$A:$A,(MATCH(AllProteins!H886,Genomes!$B:$B,0)))</f>
        <v>25</v>
      </c>
      <c r="K886" t="str">
        <f>INDEX(Genomes!$J:$J,(MATCH(AllProteins!H886,Genomes!$B:$B,0)))</f>
        <v>Y</v>
      </c>
    </row>
    <row r="887" spans="1:11" x14ac:dyDescent="0.2">
      <c r="A887">
        <f>INDEX(CoreProteinGroups!A:A,MATCH(B887,CoreProteinGroups!B:B,0))</f>
        <v>15</v>
      </c>
      <c r="B887" s="1" t="s">
        <v>1539</v>
      </c>
      <c r="C887" t="str">
        <f>VLOOKUP(B887,CoreProteinGroups!$B:$C,2,FALSE)</f>
        <v>sulfhydryl oxidase</v>
      </c>
      <c r="D887" t="s">
        <v>1566</v>
      </c>
      <c r="E887" s="6" t="str">
        <f t="shared" si="13"/>
        <v>PROT:AST09256.1</v>
      </c>
      <c r="F887" t="s">
        <v>1540</v>
      </c>
      <c r="G887" t="s">
        <v>50</v>
      </c>
      <c r="H887" t="s">
        <v>2671</v>
      </c>
      <c r="I887" t="str">
        <f>INDEX(Genomes!$I:$I,(MATCH(AllProteins!H887,Genomes!$B:$B,0)))</f>
        <v>MF001304-Murmansk_poxvirus</v>
      </c>
      <c r="J887">
        <f>INDEX(Genomes!$A:$A,(MATCH(AllProteins!H887,Genomes!$B:$B,0)))</f>
        <v>27</v>
      </c>
      <c r="K887" t="str">
        <f>INDEX(Genomes!$J:$J,(MATCH(AllProteins!H887,Genomes!$B:$B,0)))</f>
        <v>Y</v>
      </c>
    </row>
    <row r="888" spans="1:11" x14ac:dyDescent="0.2">
      <c r="A888">
        <f>INDEX(CoreProteinGroups!A:A,MATCH(B888,CoreProteinGroups!B:B,0))</f>
        <v>15</v>
      </c>
      <c r="B888" s="1" t="s">
        <v>1539</v>
      </c>
      <c r="C888" t="str">
        <f>VLOOKUP(B888,CoreProteinGroups!$B:$C,2,FALSE)</f>
        <v>sulfhydryl oxidase</v>
      </c>
      <c r="D888" t="s">
        <v>1567</v>
      </c>
      <c r="E888" s="6" t="str">
        <f t="shared" si="13"/>
        <v>PROT:AEN03633.1</v>
      </c>
      <c r="F888" t="s">
        <v>1540</v>
      </c>
      <c r="G888" t="s">
        <v>52</v>
      </c>
      <c r="H888" t="s">
        <v>2698</v>
      </c>
      <c r="I888" t="str">
        <f>INDEX(Genomes!$I:$I,(MATCH(AllProteins!H888,Genomes!$B:$B,0)))</f>
        <v>HQ849551-yokapox_virus</v>
      </c>
      <c r="J888">
        <f>INDEX(Genomes!$A:$A,(MATCH(AllProteins!H888,Genomes!$B:$B,0)))</f>
        <v>57</v>
      </c>
      <c r="K888" t="str">
        <f>INDEX(Genomes!$J:$J,(MATCH(AllProteins!H888,Genomes!$B:$B,0)))</f>
        <v>Y</v>
      </c>
    </row>
    <row r="889" spans="1:11" x14ac:dyDescent="0.2">
      <c r="A889">
        <f>INDEX(CoreProteinGroups!A:A,MATCH(B889,CoreProteinGroups!B:B,0))</f>
        <v>15</v>
      </c>
      <c r="B889" s="1" t="s">
        <v>1539</v>
      </c>
      <c r="C889" t="str">
        <f>VLOOKUP(B889,CoreProteinGroups!$B:$C,2,FALSE)</f>
        <v>sulfhydryl oxidase</v>
      </c>
      <c r="D889" t="s">
        <v>1568</v>
      </c>
      <c r="E889" s="6" t="str">
        <f t="shared" si="13"/>
        <v>PROT:ABI99204.1</v>
      </c>
      <c r="F889" t="s">
        <v>1559</v>
      </c>
      <c r="G889" t="s">
        <v>54</v>
      </c>
      <c r="H889" t="s">
        <v>2661</v>
      </c>
      <c r="I889" t="str">
        <f>INDEX(Genomes!$I:$I,(MATCH(AllProteins!H889,Genomes!$B:$B,0)))</f>
        <v>AY689436-mule_deerpox_virus</v>
      </c>
      <c r="J889">
        <f>INDEX(Genomes!$A:$A,(MATCH(AllProteins!H889,Genomes!$B:$B,0)))</f>
        <v>15</v>
      </c>
      <c r="K889" t="str">
        <f>INDEX(Genomes!$J:$J,(MATCH(AllProteins!H889,Genomes!$B:$B,0)))</f>
        <v>Y</v>
      </c>
    </row>
    <row r="890" spans="1:11" x14ac:dyDescent="0.2">
      <c r="A890">
        <f>INDEX(CoreProteinGroups!A:A,MATCH(B890,CoreProteinGroups!B:B,0))</f>
        <v>15</v>
      </c>
      <c r="B890" s="1" t="s">
        <v>1539</v>
      </c>
      <c r="C890" t="str">
        <f>VLOOKUP(B890,CoreProteinGroups!$B:$C,2,FALSE)</f>
        <v>sulfhydryl oxidase</v>
      </c>
      <c r="D890" t="s">
        <v>1569</v>
      </c>
      <c r="E890" s="6" t="str">
        <f t="shared" si="13"/>
        <v>PROT:ABJ08951.1</v>
      </c>
      <c r="F890" t="s">
        <v>1559</v>
      </c>
      <c r="G890" t="s">
        <v>56</v>
      </c>
      <c r="H890" t="s">
        <v>2677</v>
      </c>
      <c r="I890" t="str">
        <f>INDEX(Genomes!$I:$I,(MATCH(AllProteins!H890,Genomes!$B:$B,0)))</f>
        <v>DQ356948-Nile_crocodilepox_virus</v>
      </c>
      <c r="J890">
        <f>INDEX(Genomes!$A:$A,(MATCH(AllProteins!H890,Genomes!$B:$B,0)))</f>
        <v>34</v>
      </c>
      <c r="K890" t="str">
        <f>INDEX(Genomes!$J:$J,(MATCH(AllProteins!H890,Genomes!$B:$B,0)))</f>
        <v>Y</v>
      </c>
    </row>
    <row r="891" spans="1:11" x14ac:dyDescent="0.2">
      <c r="A891">
        <f>INDEX(CoreProteinGroups!A:A,MATCH(B891,CoreProteinGroups!B:B,0))</f>
        <v>15</v>
      </c>
      <c r="B891" s="1" t="s">
        <v>1539</v>
      </c>
      <c r="C891" t="str">
        <f>VLOOKUP(B891,CoreProteinGroups!$B:$C,2,FALSE)</f>
        <v>sulfhydryl oxidase</v>
      </c>
      <c r="D891" t="s">
        <v>1570</v>
      </c>
      <c r="E891" s="6" t="str">
        <f t="shared" si="13"/>
        <v>PROT:AAF14923.1</v>
      </c>
      <c r="F891" t="s">
        <v>1571</v>
      </c>
      <c r="G891" t="s">
        <v>2584</v>
      </c>
      <c r="H891" t="s">
        <v>2676</v>
      </c>
      <c r="I891" t="str">
        <f>INDEX(Genomes!$I:$I,(MATCH(AllProteins!H891,Genomes!$B:$B,0)))</f>
        <v>AF170726-myxoma_virus</v>
      </c>
      <c r="J891">
        <f>INDEX(Genomes!$A:$A,(MATCH(AllProteins!H891,Genomes!$B:$B,0)))</f>
        <v>32</v>
      </c>
      <c r="K891" t="str">
        <f>INDEX(Genomes!$J:$J,(MATCH(AllProteins!H891,Genomes!$B:$B,0)))</f>
        <v>Y</v>
      </c>
    </row>
    <row r="892" spans="1:11" x14ac:dyDescent="0.2">
      <c r="A892">
        <f>INDEX(CoreProteinGroups!A:A,MATCH(B892,CoreProteinGroups!B:B,0))</f>
        <v>15</v>
      </c>
      <c r="B892" s="1" t="s">
        <v>1539</v>
      </c>
      <c r="C892" t="str">
        <f>VLOOKUP(B892,CoreProteinGroups!$B:$C,2,FALSE)</f>
        <v>sulfhydryl oxidase</v>
      </c>
      <c r="D892" t="s">
        <v>1572</v>
      </c>
      <c r="E892" s="6" t="str">
        <f t="shared" si="13"/>
        <v>PROT:AFU77300.1</v>
      </c>
      <c r="F892" t="s">
        <v>1571</v>
      </c>
      <c r="G892" t="s">
        <v>2553</v>
      </c>
      <c r="H892" t="s">
        <v>2646</v>
      </c>
      <c r="I892" t="str">
        <f>INDEX(Genomes!$I:$I,(MATCH(AllProteins!H892,Genomes!$B:$B,0)))</f>
        <v>JX565564-myxoma_virus_isolate_BRK_897</v>
      </c>
      <c r="J892">
        <f>INDEX(Genomes!$A:$A,(MATCH(AllProteins!H892,Genomes!$B:$B,0)))</f>
        <v>33</v>
      </c>
      <c r="K892" t="str">
        <f>INDEX(Genomes!$J:$J,(MATCH(AllProteins!H892,Genomes!$B:$B,0)))</f>
        <v>N</v>
      </c>
    </row>
    <row r="893" spans="1:11" x14ac:dyDescent="0.2">
      <c r="A893">
        <f>INDEX(CoreProteinGroups!A:A,MATCH(B893,CoreProteinGroups!B:B,0))</f>
        <v>15</v>
      </c>
      <c r="B893" s="1" t="s">
        <v>1539</v>
      </c>
      <c r="C893" t="str">
        <f>VLOOKUP(B893,CoreProteinGroups!$B:$C,2,FALSE)</f>
        <v>sulfhydryl oxidase</v>
      </c>
      <c r="D893" t="s">
        <v>1573</v>
      </c>
      <c r="E893" s="6" t="str">
        <f t="shared" si="13"/>
        <v>PROT:AAF17917.1</v>
      </c>
      <c r="F893" t="s">
        <v>1574</v>
      </c>
      <c r="G893" t="s">
        <v>62</v>
      </c>
      <c r="H893" t="s">
        <v>2685</v>
      </c>
      <c r="I893" t="str">
        <f>INDEX(Genomes!$I:$I,(MATCH(AllProteins!H893,Genomes!$B:$B,0)))</f>
        <v>AF170722-rabbit_fibroma_virus</v>
      </c>
      <c r="J893">
        <f>INDEX(Genomes!$A:$A,(MATCH(AllProteins!H893,Genomes!$B:$B,0)))</f>
        <v>43</v>
      </c>
      <c r="K893" t="str">
        <f>INDEX(Genomes!$J:$J,(MATCH(AllProteins!H893,Genomes!$B:$B,0)))</f>
        <v>Y</v>
      </c>
    </row>
    <row r="894" spans="1:11" x14ac:dyDescent="0.2">
      <c r="A894">
        <f>INDEX(CoreProteinGroups!A:A,MATCH(B894,CoreProteinGroups!B:B,0))</f>
        <v>15</v>
      </c>
      <c r="B894" s="1" t="s">
        <v>1539</v>
      </c>
      <c r="C894" t="str">
        <f>VLOOKUP(B894,CoreProteinGroups!$B:$C,2,FALSE)</f>
        <v>sulfhydryl oxidase</v>
      </c>
      <c r="D894" t="s">
        <v>1575</v>
      </c>
      <c r="E894" s="6" t="str">
        <f t="shared" si="13"/>
        <v>PROT:AAC55168.1</v>
      </c>
      <c r="F894" t="s">
        <v>1576</v>
      </c>
      <c r="G894" t="s">
        <v>65</v>
      </c>
      <c r="H894" t="s">
        <v>2670</v>
      </c>
      <c r="I894" t="str">
        <f>INDEX(Genomes!$I:$I,(MATCH(AllProteins!H894,Genomes!$B:$B,0)))</f>
        <v>U60315-molluscum_contagiosum_virus</v>
      </c>
      <c r="J894">
        <f>INDEX(Genomes!$A:$A,(MATCH(AllProteins!H894,Genomes!$B:$B,0)))</f>
        <v>26</v>
      </c>
      <c r="K894" t="str">
        <f>INDEX(Genomes!$J:$J,(MATCH(AllProteins!H894,Genomes!$B:$B,0)))</f>
        <v>Y</v>
      </c>
    </row>
    <row r="895" spans="1:11" x14ac:dyDescent="0.2">
      <c r="A895">
        <f>INDEX(CoreProteinGroups!A:A,MATCH(B895,CoreProteinGroups!B:B,0))</f>
        <v>15</v>
      </c>
      <c r="B895" s="1" t="s">
        <v>1539</v>
      </c>
      <c r="C895" t="str">
        <f>VLOOKUP(B895,CoreProteinGroups!$B:$C,2,FALSE)</f>
        <v>sulfhydryl oxidase</v>
      </c>
      <c r="D895" t="s">
        <v>1577</v>
      </c>
      <c r="E895" s="6" t="str">
        <f t="shared" si="13"/>
        <v>PROT:AYN64633.1</v>
      </c>
      <c r="F895" t="s">
        <v>1578</v>
      </c>
      <c r="G895" t="s">
        <v>68</v>
      </c>
      <c r="H895" t="s">
        <v>2647</v>
      </c>
      <c r="I895" t="str">
        <f>INDEX(Genomes!$I:$I,(MATCH(AllProteins!H895,Genomes!$B:$B,0)))</f>
        <v>MH816996-orthopoxvirus_abatino</v>
      </c>
      <c r="J895">
        <f>INDEX(Genomes!$A:$A,(MATCH(AllProteins!H895,Genomes!$B:$B,0)))</f>
        <v>1</v>
      </c>
      <c r="K895" t="str">
        <f>INDEX(Genomes!$J:$J,(MATCH(AllProteins!H895,Genomes!$B:$B,0)))</f>
        <v>Y</v>
      </c>
    </row>
    <row r="896" spans="1:11" x14ac:dyDescent="0.2">
      <c r="A896">
        <f>INDEX(CoreProteinGroups!A:A,MATCH(B896,CoreProteinGroups!B:B,0))</f>
        <v>15</v>
      </c>
      <c r="B896" s="1" t="s">
        <v>1539</v>
      </c>
      <c r="C896" t="str">
        <f>VLOOKUP(B896,CoreProteinGroups!$B:$C,2,FALSE)</f>
        <v>sulfhydryl oxidase</v>
      </c>
      <c r="D896" t="s">
        <v>1579</v>
      </c>
      <c r="E896" s="6" t="str">
        <f t="shared" si="13"/>
        <v>PROT:AXN74857.1</v>
      </c>
      <c r="F896" t="s">
        <v>1540</v>
      </c>
      <c r="G896" t="s">
        <v>70</v>
      </c>
      <c r="H896" t="s">
        <v>2650</v>
      </c>
      <c r="I896" t="str">
        <f>INDEX(Genomes!$I:$I,(MATCH(AllProteins!H896,Genomes!$B:$B,0)))</f>
        <v>MH607141-Akhmeta_virus</v>
      </c>
      <c r="J896">
        <f>INDEX(Genomes!$A:$A,(MATCH(AllProteins!H896,Genomes!$B:$B,0)))</f>
        <v>4</v>
      </c>
      <c r="K896" t="str">
        <f>INDEX(Genomes!$J:$J,(MATCH(AllProteins!H896,Genomes!$B:$B,0)))</f>
        <v>Y</v>
      </c>
    </row>
    <row r="897" spans="1:11" x14ac:dyDescent="0.2">
      <c r="A897">
        <f>INDEX(CoreProteinGroups!A:A,MATCH(B897,CoreProteinGroups!B:B,0))</f>
        <v>15</v>
      </c>
      <c r="B897" s="1" t="s">
        <v>1539</v>
      </c>
      <c r="C897" t="str">
        <f>VLOOKUP(B897,CoreProteinGroups!$B:$C,2,FALSE)</f>
        <v>sulfhydryl oxidase</v>
      </c>
      <c r="D897" t="s">
        <v>1580</v>
      </c>
      <c r="E897" s="6" t="str">
        <f t="shared" si="13"/>
        <v>PROT:ABH08170.1</v>
      </c>
      <c r="F897" t="s">
        <v>1581</v>
      </c>
      <c r="G897" t="s">
        <v>73</v>
      </c>
      <c r="H897" t="s">
        <v>2668</v>
      </c>
      <c r="I897" t="str">
        <f>INDEX(Genomes!$I:$I,(MATCH(AllProteins!H897,Genomes!$B:$B,0)))</f>
        <v>DQ792504-horsepox_virus</v>
      </c>
      <c r="J897">
        <f>INDEX(Genomes!$A:$A,(MATCH(AllProteins!H897,Genomes!$B:$B,0)))</f>
        <v>24</v>
      </c>
      <c r="K897" t="str">
        <f>INDEX(Genomes!$J:$J,(MATCH(AllProteins!H897,Genomes!$B:$B,0)))</f>
        <v>Y</v>
      </c>
    </row>
    <row r="898" spans="1:11" x14ac:dyDescent="0.2">
      <c r="A898">
        <f>INDEX(CoreProteinGroups!A:A,MATCH(B898,CoreProteinGroups!B:B,0))</f>
        <v>15</v>
      </c>
      <c r="B898" s="1" t="s">
        <v>1539</v>
      </c>
      <c r="C898" t="str">
        <f>VLOOKUP(B898,CoreProteinGroups!$B:$C,2,FALSE)</f>
        <v>sulfhydryl oxidase</v>
      </c>
      <c r="D898" t="s">
        <v>1582</v>
      </c>
      <c r="E898" s="6" t="str">
        <f t="shared" ref="E898:E961" si="14">HYPERLINK(_xlfn.CONCAT("https://www.ncbi.nlm.nih.gov/protein/",D898),_xlfn.CONCAT("PROT:",D898))</f>
        <v>PROT:AAG37528.1</v>
      </c>
      <c r="F898" t="s">
        <v>1583</v>
      </c>
      <c r="G898" t="s">
        <v>76</v>
      </c>
      <c r="H898" t="s">
        <v>2655</v>
      </c>
      <c r="I898" t="str">
        <f>INDEX(Genomes!$I:$I,(MATCH(AllProteins!H898,Genomes!$B:$B,0)))</f>
        <v>AY009089-camelpox_virus_CMS</v>
      </c>
      <c r="J898">
        <f>INDEX(Genomes!$A:$A,(MATCH(AllProteins!H898,Genomes!$B:$B,0)))</f>
        <v>9</v>
      </c>
      <c r="K898" t="str">
        <f>INDEX(Genomes!$J:$J,(MATCH(AllProteins!H898,Genomes!$B:$B,0)))</f>
        <v>N</v>
      </c>
    </row>
    <row r="899" spans="1:11" x14ac:dyDescent="0.2">
      <c r="A899">
        <f>INDEX(CoreProteinGroups!A:A,MATCH(B899,CoreProteinGroups!B:B,0))</f>
        <v>15</v>
      </c>
      <c r="B899" s="1" t="s">
        <v>1539</v>
      </c>
      <c r="C899" t="str">
        <f>VLOOKUP(B899,CoreProteinGroups!$B:$C,2,FALSE)</f>
        <v>sulfhydryl oxidase</v>
      </c>
      <c r="D899" t="s">
        <v>1584</v>
      </c>
      <c r="E899" s="6" t="str">
        <f t="shared" si="14"/>
        <v>PROT:AAL73769.1</v>
      </c>
      <c r="F899" t="s">
        <v>1585</v>
      </c>
      <c r="G899" t="s">
        <v>79</v>
      </c>
      <c r="H899" t="s">
        <v>2654</v>
      </c>
      <c r="I899" t="str">
        <f>INDEX(Genomes!$I:$I,(MATCH(AllProteins!H899,Genomes!$B:$B,0)))</f>
        <v>AF438165-camelpox_virus</v>
      </c>
      <c r="J899">
        <f>INDEX(Genomes!$A:$A,(MATCH(AllProteins!H899,Genomes!$B:$B,0)))</f>
        <v>8</v>
      </c>
      <c r="K899" t="str">
        <f>INDEX(Genomes!$J:$J,(MATCH(AllProteins!H899,Genomes!$B:$B,0)))</f>
        <v>Y</v>
      </c>
    </row>
    <row r="900" spans="1:11" x14ac:dyDescent="0.2">
      <c r="A900">
        <f>INDEX(CoreProteinGroups!A:A,MATCH(B900,CoreProteinGroups!B:B,0))</f>
        <v>15</v>
      </c>
      <c r="B900" s="1" t="s">
        <v>1539</v>
      </c>
      <c r="C900" t="str">
        <f>VLOOKUP(B900,CoreProteinGroups!$B:$C,2,FALSE)</f>
        <v>sulfhydryl oxidase</v>
      </c>
      <c r="D900" t="s">
        <v>1586</v>
      </c>
      <c r="E900" s="6" t="str">
        <f t="shared" si="14"/>
        <v>PROT:AAM13521.1</v>
      </c>
      <c r="F900" t="s">
        <v>1587</v>
      </c>
      <c r="G900" t="s">
        <v>82</v>
      </c>
      <c r="H900" t="s">
        <v>2659</v>
      </c>
      <c r="I900" t="str">
        <f>INDEX(Genomes!$I:$I,(MATCH(AllProteins!H900,Genomes!$B:$B,0)))</f>
        <v>AF482758-cowpox_virus</v>
      </c>
      <c r="J900">
        <f>INDEX(Genomes!$A:$A,(MATCH(AllProteins!H900,Genomes!$B:$B,0)))</f>
        <v>13</v>
      </c>
      <c r="K900" t="str">
        <f>INDEX(Genomes!$J:$J,(MATCH(AllProteins!H900,Genomes!$B:$B,0)))</f>
        <v>Y</v>
      </c>
    </row>
    <row r="901" spans="1:11" x14ac:dyDescent="0.2">
      <c r="A901">
        <f>INDEX(CoreProteinGroups!A:A,MATCH(B901,CoreProteinGroups!B:B,0))</f>
        <v>15</v>
      </c>
      <c r="B901" s="1" t="s">
        <v>1539</v>
      </c>
      <c r="C901" t="str">
        <f>VLOOKUP(B901,CoreProteinGroups!$B:$C,2,FALSE)</f>
        <v>sulfhydryl oxidase</v>
      </c>
      <c r="D901" t="s">
        <v>1588</v>
      </c>
      <c r="E901" s="6" t="str">
        <f t="shared" si="14"/>
        <v>PROT:AAM92354.1</v>
      </c>
      <c r="F901" t="s">
        <v>1589</v>
      </c>
      <c r="G901" t="s">
        <v>85</v>
      </c>
      <c r="H901" t="s">
        <v>2662</v>
      </c>
      <c r="I901" t="str">
        <f>INDEX(Genomes!$I:$I,(MATCH(AllProteins!H901,Genomes!$B:$B,0)))</f>
        <v>AF012825-ectromelia_virus</v>
      </c>
      <c r="J901">
        <f>INDEX(Genomes!$A:$A,(MATCH(AllProteins!H901,Genomes!$B:$B,0)))</f>
        <v>16</v>
      </c>
      <c r="K901" t="str">
        <f>INDEX(Genomes!$J:$J,(MATCH(AllProteins!H901,Genomes!$B:$B,0)))</f>
        <v>Y</v>
      </c>
    </row>
    <row r="902" spans="1:11" x14ac:dyDescent="0.2">
      <c r="A902">
        <f>INDEX(CoreProteinGroups!A:A,MATCH(B902,CoreProteinGroups!B:B,0))</f>
        <v>15</v>
      </c>
      <c r="B902" s="1" t="s">
        <v>1539</v>
      </c>
      <c r="C902" t="str">
        <f>VLOOKUP(B902,CoreProteinGroups!$B:$C,2,FALSE)</f>
        <v>sulfhydryl oxidase</v>
      </c>
      <c r="D902" t="s">
        <v>1590</v>
      </c>
      <c r="E902" s="6" t="str">
        <f t="shared" si="14"/>
        <v>PROT:AFH54612.1</v>
      </c>
      <c r="F902" t="s">
        <v>1591</v>
      </c>
      <c r="G902" t="s">
        <v>87</v>
      </c>
      <c r="H902" t="s">
        <v>2619</v>
      </c>
      <c r="I902" t="str">
        <f>INDEX(Genomes!$I:$I,(MATCH(AllProteins!H902,Genomes!$B:$B,0)))</f>
        <v>JQ410350-ectromelia_virus_strain_ERPV</v>
      </c>
      <c r="J902">
        <f>INDEX(Genomes!$A:$A,(MATCH(AllProteins!H902,Genomes!$B:$B,0)))</f>
        <v>17</v>
      </c>
      <c r="K902" t="str">
        <f>INDEX(Genomes!$J:$J,(MATCH(AllProteins!H902,Genomes!$B:$B,0)))</f>
        <v>N</v>
      </c>
    </row>
    <row r="903" spans="1:11" x14ac:dyDescent="0.2">
      <c r="A903">
        <f>INDEX(CoreProteinGroups!A:A,MATCH(B903,CoreProteinGroups!B:B,0))</f>
        <v>15</v>
      </c>
      <c r="B903" s="1" t="s">
        <v>1539</v>
      </c>
      <c r="C903" t="str">
        <f>VLOOKUP(B903,CoreProteinGroups!$B:$C,2,FALSE)</f>
        <v>sulfhydryl oxidase</v>
      </c>
      <c r="D903" t="s">
        <v>1592</v>
      </c>
      <c r="E903" s="6" t="str">
        <f t="shared" si="14"/>
        <v>PROT:AAL40516.1</v>
      </c>
      <c r="F903" t="s">
        <v>1593</v>
      </c>
      <c r="G903" t="s">
        <v>90</v>
      </c>
      <c r="H903" t="s">
        <v>2673</v>
      </c>
      <c r="I903" t="str">
        <f>INDEX(Genomes!$I:$I,(MATCH(AllProteins!H903,Genomes!$B:$B,0)))</f>
        <v>AF380138-monkeypox_virus_(clade_I)</v>
      </c>
      <c r="J903">
        <f>INDEX(Genomes!$A:$A,(MATCH(AllProteins!H903,Genomes!$B:$B,0)))</f>
        <v>29</v>
      </c>
      <c r="K903" t="str">
        <f>INDEX(Genomes!$J:$J,(MATCH(AllProteins!H903,Genomes!$B:$B,0)))</f>
        <v>Y</v>
      </c>
    </row>
    <row r="904" spans="1:11" x14ac:dyDescent="0.2">
      <c r="A904">
        <f>INDEX(CoreProteinGroups!A:A,MATCH(B904,CoreProteinGroups!B:B,0))</f>
        <v>15</v>
      </c>
      <c r="B904" s="1" t="s">
        <v>1539</v>
      </c>
      <c r="C904" t="str">
        <f>VLOOKUP(B904,CoreProteinGroups!$B:$C,2,FALSE)</f>
        <v>sulfhydryl oxidase</v>
      </c>
      <c r="D904" t="s">
        <v>1594</v>
      </c>
      <c r="E904" s="6" t="str">
        <f t="shared" si="14"/>
        <v>PROT:AAX09153.1</v>
      </c>
      <c r="F904" t="s">
        <v>1595</v>
      </c>
      <c r="G904" t="s">
        <v>93</v>
      </c>
      <c r="H904" t="s">
        <v>2672</v>
      </c>
      <c r="I904" t="str">
        <f>INDEX(Genomes!$I:$I,(MATCH(AllProteins!H904,Genomes!$B:$B,0)))</f>
        <v>AY753185-monkeypox_virus_(clade_IIa)</v>
      </c>
      <c r="J904">
        <f>INDEX(Genomes!$A:$A,(MATCH(AllProteins!H904,Genomes!$B:$B,0)))</f>
        <v>28</v>
      </c>
      <c r="K904" t="str">
        <f>INDEX(Genomes!$J:$J,(MATCH(AllProteins!H904,Genomes!$B:$B,0)))</f>
        <v>Y</v>
      </c>
    </row>
    <row r="905" spans="1:11" x14ac:dyDescent="0.2">
      <c r="A905">
        <f>INDEX(CoreProteinGroups!A:A,MATCH(B905,CoreProteinGroups!B:B,0))</f>
        <v>15</v>
      </c>
      <c r="B905" s="1" t="s">
        <v>1539</v>
      </c>
      <c r="C905" t="str">
        <f>VLOOKUP(B905,CoreProteinGroups!$B:$C,2,FALSE)</f>
        <v>sulfhydryl oxidase</v>
      </c>
      <c r="D905" t="s">
        <v>1596</v>
      </c>
      <c r="E905" s="6" t="str">
        <f t="shared" si="14"/>
        <v>PROT:AKJ93694.1</v>
      </c>
      <c r="F905" t="s">
        <v>1553</v>
      </c>
      <c r="G905" t="s">
        <v>95</v>
      </c>
      <c r="H905" t="s">
        <v>2683</v>
      </c>
      <c r="I905" t="str">
        <f>INDEX(Genomes!$I:$I,(MATCH(AllProteins!H905,Genomes!$B:$B,0)))</f>
        <v>KP143769-raccoonpox_virus</v>
      </c>
      <c r="J905">
        <f>INDEX(Genomes!$A:$A,(MATCH(AllProteins!H905,Genomes!$B:$B,0)))</f>
        <v>41</v>
      </c>
      <c r="K905" t="str">
        <f>INDEX(Genomes!$J:$J,(MATCH(AllProteins!H905,Genomes!$B:$B,0)))</f>
        <v>Y</v>
      </c>
    </row>
    <row r="906" spans="1:11" x14ac:dyDescent="0.2">
      <c r="A906">
        <f>INDEX(CoreProteinGroups!A:A,MATCH(B906,CoreProteinGroups!B:B,0))</f>
        <v>15</v>
      </c>
      <c r="B906" s="1" t="s">
        <v>1539</v>
      </c>
      <c r="C906" t="str">
        <f>VLOOKUP(B906,CoreProteinGroups!$B:$C,2,FALSE)</f>
        <v>sulfhydryl oxidase</v>
      </c>
      <c r="D906" t="s">
        <v>1597</v>
      </c>
      <c r="E906" s="6" t="str">
        <f t="shared" si="14"/>
        <v>PROT:AOP31543.1</v>
      </c>
      <c r="F906" t="s">
        <v>1540</v>
      </c>
      <c r="G906" t="s">
        <v>97</v>
      </c>
      <c r="H906" t="s">
        <v>2686</v>
      </c>
      <c r="I906" t="str">
        <f>INDEX(Genomes!$I:$I,(MATCH(AllProteins!H906,Genomes!$B:$B,0)))</f>
        <v>KU749310-skunkpox_virus</v>
      </c>
      <c r="J906">
        <f>INDEX(Genomes!$A:$A,(MATCH(AllProteins!H906,Genomes!$B:$B,0)))</f>
        <v>45</v>
      </c>
      <c r="K906" t="str">
        <f>INDEX(Genomes!$J:$J,(MATCH(AllProteins!H906,Genomes!$B:$B,0)))</f>
        <v>Y</v>
      </c>
    </row>
    <row r="907" spans="1:11" x14ac:dyDescent="0.2">
      <c r="A907">
        <f>INDEX(CoreProteinGroups!A:A,MATCH(B907,CoreProteinGroups!B:B,0))</f>
        <v>15</v>
      </c>
      <c r="B907" s="1" t="s">
        <v>1539</v>
      </c>
      <c r="C907" t="str">
        <f>VLOOKUP(B907,CoreProteinGroups!$B:$C,2,FALSE)</f>
        <v>sulfhydryl oxidase</v>
      </c>
      <c r="D907" t="s">
        <v>1598</v>
      </c>
      <c r="E907" s="6" t="str">
        <f t="shared" si="14"/>
        <v>PROT:ABD97633.1</v>
      </c>
      <c r="F907" t="s">
        <v>1540</v>
      </c>
      <c r="G907" t="s">
        <v>99</v>
      </c>
      <c r="H907" t="s">
        <v>2691</v>
      </c>
      <c r="I907" t="str">
        <f>INDEX(Genomes!$I:$I,(MATCH(AllProteins!H907,Genomes!$B:$B,0)))</f>
        <v>DQ437594-taterapox_virus</v>
      </c>
      <c r="J907">
        <f>INDEX(Genomes!$A:$A,(MATCH(AllProteins!H907,Genomes!$B:$B,0)))</f>
        <v>50</v>
      </c>
      <c r="K907" t="str">
        <f>INDEX(Genomes!$J:$J,(MATCH(AllProteins!H907,Genomes!$B:$B,0)))</f>
        <v>Y</v>
      </c>
    </row>
    <row r="908" spans="1:11" x14ac:dyDescent="0.2">
      <c r="A908">
        <f>INDEX(CoreProteinGroups!A:A,MATCH(B908,CoreProteinGroups!B:B,0))</f>
        <v>15</v>
      </c>
      <c r="B908" s="1" t="s">
        <v>1539</v>
      </c>
      <c r="C908" t="str">
        <f>VLOOKUP(B908,CoreProteinGroups!$B:$C,2,FALSE)</f>
        <v>sulfhydryl oxidase</v>
      </c>
      <c r="D908" t="s">
        <v>1599</v>
      </c>
      <c r="E908" s="6" t="str">
        <f t="shared" si="14"/>
        <v>PROT:AAO89345.1</v>
      </c>
      <c r="F908" t="s">
        <v>1540</v>
      </c>
      <c r="G908" t="s">
        <v>101</v>
      </c>
      <c r="H908" t="s">
        <v>2693</v>
      </c>
      <c r="I908" t="str">
        <f>INDEX(Genomes!$I:$I,(MATCH(AllProteins!H908,Genomes!$B:$B,0)))</f>
        <v>AY243312-vaccinia_virus</v>
      </c>
      <c r="J908">
        <f>INDEX(Genomes!$A:$A,(MATCH(AllProteins!H908,Genomes!$B:$B,0)))</f>
        <v>52</v>
      </c>
      <c r="K908" t="str">
        <f>INDEX(Genomes!$J:$J,(MATCH(AllProteins!H908,Genomes!$B:$B,0)))</f>
        <v>Y</v>
      </c>
    </row>
    <row r="909" spans="1:11" x14ac:dyDescent="0.2">
      <c r="A909">
        <f>INDEX(CoreProteinGroups!A:A,MATCH(B909,CoreProteinGroups!B:B,0))</f>
        <v>15</v>
      </c>
      <c r="B909" s="1" t="s">
        <v>1539</v>
      </c>
      <c r="C909" t="str">
        <f>VLOOKUP(B909,CoreProteinGroups!$B:$C,2,FALSE)</f>
        <v>sulfhydryl oxidase</v>
      </c>
      <c r="D909" t="s">
        <v>1600</v>
      </c>
      <c r="E909" s="6" t="str">
        <f t="shared" si="14"/>
        <v>PROT:CAA48992.1</v>
      </c>
      <c r="F909" t="s">
        <v>1601</v>
      </c>
      <c r="G909" t="s">
        <v>2585</v>
      </c>
      <c r="H909" t="s">
        <v>2694</v>
      </c>
      <c r="I909" t="str">
        <f>INDEX(Genomes!$I:$I,(MATCH(AllProteins!H909,Genomes!$B:$B,0)))</f>
        <v>X69198-variola_major_virus</v>
      </c>
      <c r="J909">
        <f>INDEX(Genomes!$A:$A,(MATCH(AllProteins!H909,Genomes!$B:$B,0)))</f>
        <v>53</v>
      </c>
      <c r="K909" t="str">
        <f>INDEX(Genomes!$J:$J,(MATCH(AllProteins!H909,Genomes!$B:$B,0)))</f>
        <v>Y</v>
      </c>
    </row>
    <row r="910" spans="1:11" x14ac:dyDescent="0.2">
      <c r="A910">
        <f>INDEX(CoreProteinGroups!A:A,MATCH(B910,CoreProteinGroups!B:B,0))</f>
        <v>15</v>
      </c>
      <c r="B910" s="1" t="s">
        <v>1539</v>
      </c>
      <c r="C910" t="str">
        <f>VLOOKUP(B910,CoreProteinGroups!$B:$C,2,FALSE)</f>
        <v>sulfhydryl oxidase</v>
      </c>
      <c r="D910" t="s">
        <v>1602</v>
      </c>
      <c r="E910" s="6" t="str">
        <f t="shared" si="14"/>
        <v>PROT:CAB54651.1</v>
      </c>
      <c r="F910" t="s">
        <v>1603</v>
      </c>
      <c r="G910" t="s">
        <v>106</v>
      </c>
      <c r="H910" t="s">
        <v>2695</v>
      </c>
      <c r="I910" t="str">
        <f>INDEX(Genomes!$I:$I,(MATCH(AllProteins!H910,Genomes!$B:$B,0)))</f>
        <v>Y16780-variola_minor_virus</v>
      </c>
      <c r="J910">
        <f>INDEX(Genomes!$A:$A,(MATCH(AllProteins!H910,Genomes!$B:$B,0)))</f>
        <v>54</v>
      </c>
      <c r="K910" t="str">
        <f>INDEX(Genomes!$J:$J,(MATCH(AllProteins!H910,Genomes!$B:$B,0)))</f>
        <v>Y</v>
      </c>
    </row>
    <row r="911" spans="1:11" x14ac:dyDescent="0.2">
      <c r="A911">
        <f>INDEX(CoreProteinGroups!A:A,MATCH(B911,CoreProteinGroups!B:B,0))</f>
        <v>15</v>
      </c>
      <c r="B911" s="1" t="s">
        <v>1539</v>
      </c>
      <c r="C911" t="str">
        <f>VLOOKUP(B911,CoreProteinGroups!$B:$C,2,FALSE)</f>
        <v>sulfhydryl oxidase</v>
      </c>
      <c r="D911" t="s">
        <v>1604</v>
      </c>
      <c r="E911" s="6" t="str">
        <f t="shared" si="14"/>
        <v>PROT:AOP31754.1</v>
      </c>
      <c r="F911" t="s">
        <v>1540</v>
      </c>
      <c r="G911" t="s">
        <v>108</v>
      </c>
      <c r="H911" t="s">
        <v>2696</v>
      </c>
      <c r="I911" t="str">
        <f>INDEX(Genomes!$I:$I,(MATCH(AllProteins!H911,Genomes!$B:$B,0)))</f>
        <v>KU749311-volepox_virus</v>
      </c>
      <c r="J911">
        <f>INDEX(Genomes!$A:$A,(MATCH(AllProteins!H911,Genomes!$B:$B,0)))</f>
        <v>55</v>
      </c>
      <c r="K911" t="str">
        <f>INDEX(Genomes!$J:$J,(MATCH(AllProteins!H911,Genomes!$B:$B,0)))</f>
        <v>Y</v>
      </c>
    </row>
    <row r="912" spans="1:11" x14ac:dyDescent="0.2">
      <c r="A912">
        <f>INDEX(CoreProteinGroups!A:A,MATCH(B912,CoreProteinGroups!B:B,0))</f>
        <v>15</v>
      </c>
      <c r="B912" s="1" t="s">
        <v>1539</v>
      </c>
      <c r="C912" t="str">
        <f>VLOOKUP(B912,CoreProteinGroups!$B:$C,2,FALSE)</f>
        <v>sulfhydryl oxidase</v>
      </c>
      <c r="D912" t="s">
        <v>1605</v>
      </c>
      <c r="E912" s="6" t="str">
        <f t="shared" si="14"/>
        <v>PROT:ASF89964.1</v>
      </c>
      <c r="F912" t="s">
        <v>1606</v>
      </c>
      <c r="G912" t="s">
        <v>111</v>
      </c>
      <c r="H912" t="s">
        <v>2667</v>
      </c>
      <c r="I912" t="str">
        <f>INDEX(Genomes!$I:$I,(MATCH(AllProteins!H912,Genomes!$B:$B,0)))</f>
        <v>KY382358-seal_parapoxvirus</v>
      </c>
      <c r="J912">
        <f>INDEX(Genomes!$A:$A,(MATCH(AllProteins!H912,Genomes!$B:$B,0)))</f>
        <v>22</v>
      </c>
      <c r="K912" t="str">
        <f>INDEX(Genomes!$J:$J,(MATCH(AllProteins!H912,Genomes!$B:$B,0)))</f>
        <v>Y</v>
      </c>
    </row>
    <row r="913" spans="1:11" x14ac:dyDescent="0.2">
      <c r="A913">
        <f>INDEX(CoreProteinGroups!A:A,MATCH(B913,CoreProteinGroups!B:B,0))</f>
        <v>15</v>
      </c>
      <c r="B913" s="1" t="s">
        <v>1539</v>
      </c>
      <c r="C913" t="str">
        <f>VLOOKUP(B913,CoreProteinGroups!$B:$C,2,FALSE)</f>
        <v>sulfhydryl oxidase</v>
      </c>
      <c r="D913" t="s">
        <v>1607</v>
      </c>
      <c r="E913" s="6" t="str">
        <f t="shared" si="14"/>
        <v>PROT:AAR98383.1</v>
      </c>
      <c r="F913" t="s">
        <v>1608</v>
      </c>
      <c r="G913" t="s">
        <v>114</v>
      </c>
      <c r="H913" t="s">
        <v>2652</v>
      </c>
      <c r="I913" t="str">
        <f>INDEX(Genomes!$I:$I,(MATCH(AllProteins!H913,Genomes!$B:$B,0)))</f>
        <v>AY386265-bovine_papular_stomatitis_virus</v>
      </c>
      <c r="J913">
        <f>INDEX(Genomes!$A:$A,(MATCH(AllProteins!H913,Genomes!$B:$B,0)))</f>
        <v>6</v>
      </c>
      <c r="K913" t="str">
        <f>INDEX(Genomes!$J:$J,(MATCH(AllProteins!H913,Genomes!$B:$B,0)))</f>
        <v>Y</v>
      </c>
    </row>
    <row r="914" spans="1:11" x14ac:dyDescent="0.2">
      <c r="A914">
        <f>INDEX(CoreProteinGroups!A:A,MATCH(B914,CoreProteinGroups!B:B,0))</f>
        <v>15</v>
      </c>
      <c r="B914" s="1" t="s">
        <v>1539</v>
      </c>
      <c r="C914" t="str">
        <f>VLOOKUP(B914,CoreProteinGroups!$B:$C,2,FALSE)</f>
        <v>sulfhydryl oxidase</v>
      </c>
      <c r="D914" t="s">
        <v>1609</v>
      </c>
      <c r="E914" s="6" t="str">
        <f t="shared" si="14"/>
        <v>PROT:AAR98251.1</v>
      </c>
      <c r="F914" t="s">
        <v>1610</v>
      </c>
      <c r="G914" t="s">
        <v>2702</v>
      </c>
      <c r="H914" t="s">
        <v>2678</v>
      </c>
      <c r="I914" t="str">
        <f>INDEX(Genomes!$I:$I,(MATCH(AllProteins!H914,Genomes!$B:$B,0)))</f>
        <v>AY386264-orf_virus</v>
      </c>
      <c r="J914">
        <f>INDEX(Genomes!$A:$A,(MATCH(AllProteins!H914,Genomes!$B:$B,0)))</f>
        <v>35</v>
      </c>
      <c r="K914" t="str">
        <f>INDEX(Genomes!$J:$J,(MATCH(AllProteins!H914,Genomes!$B:$B,0)))</f>
        <v>Y</v>
      </c>
    </row>
    <row r="915" spans="1:11" x14ac:dyDescent="0.2">
      <c r="A915">
        <f>INDEX(CoreProteinGroups!A:A,MATCH(B915,CoreProteinGroups!B:B,0))</f>
        <v>15</v>
      </c>
      <c r="B915" s="1" t="s">
        <v>1539</v>
      </c>
      <c r="C915" t="str">
        <f>VLOOKUP(B915,CoreProteinGroups!$B:$C,2,FALSE)</f>
        <v>sulfhydryl oxidase</v>
      </c>
      <c r="D915" t="s">
        <v>1611</v>
      </c>
      <c r="E915" s="6" t="str">
        <f t="shared" si="14"/>
        <v>PROT:ABA00543.1</v>
      </c>
      <c r="F915" t="s">
        <v>1612</v>
      </c>
      <c r="G915" t="s">
        <v>2555</v>
      </c>
      <c r="H915" t="s">
        <v>2645</v>
      </c>
      <c r="I915" t="str">
        <f>INDEX(Genomes!$I:$I,(MATCH(AllProteins!H915,Genomes!$B:$B,0)))</f>
        <v>DQ184476-orf_virus_strain_NZ2</v>
      </c>
      <c r="J915">
        <f>INDEX(Genomes!$A:$A,(MATCH(AllProteins!H915,Genomes!$B:$B,0)))</f>
        <v>36</v>
      </c>
      <c r="K915" t="str">
        <f>INDEX(Genomes!$J:$J,(MATCH(AllProteins!H915,Genomes!$B:$B,0)))</f>
        <v>N</v>
      </c>
    </row>
    <row r="916" spans="1:11" x14ac:dyDescent="0.2">
      <c r="A916">
        <f>INDEX(CoreProteinGroups!A:A,MATCH(B916,CoreProteinGroups!B:B,0))</f>
        <v>15</v>
      </c>
      <c r="B916" s="1" t="s">
        <v>1539</v>
      </c>
      <c r="C916" t="str">
        <f>VLOOKUP(B916,CoreProteinGroups!$B:$C,2,FALSE)</f>
        <v>sulfhydryl oxidase</v>
      </c>
      <c r="D916" t="s">
        <v>1613</v>
      </c>
      <c r="E916" s="6" t="str">
        <f t="shared" si="14"/>
        <v>PROT:AIZ77277.1</v>
      </c>
      <c r="F916" t="s">
        <v>1614</v>
      </c>
      <c r="G916" t="s">
        <v>119</v>
      </c>
      <c r="H916" t="s">
        <v>2684</v>
      </c>
      <c r="I916" t="str">
        <f>INDEX(Genomes!$I:$I,(MATCH(AllProteins!H916,Genomes!$B:$B,0)))</f>
        <v>KM502564-parapoxvirus_red_deer</v>
      </c>
      <c r="J916">
        <f>INDEX(Genomes!$A:$A,(MATCH(AllProteins!H916,Genomes!$B:$B,0)))</f>
        <v>42</v>
      </c>
      <c r="K916" t="str">
        <f>INDEX(Genomes!$J:$J,(MATCH(AllProteins!H916,Genomes!$B:$B,0)))</f>
        <v>Y</v>
      </c>
    </row>
    <row r="917" spans="1:11" x14ac:dyDescent="0.2">
      <c r="A917">
        <f>INDEX(CoreProteinGroups!A:A,MATCH(B917,CoreProteinGroups!B:B,0))</f>
        <v>15</v>
      </c>
      <c r="B917" s="1" t="s">
        <v>1539</v>
      </c>
      <c r="C917" t="str">
        <f>VLOOKUP(B917,CoreProteinGroups!$B:$C,2,FALSE)</f>
        <v>sulfhydryl oxidase</v>
      </c>
      <c r="D917" t="s">
        <v>1615</v>
      </c>
      <c r="E917" s="6" t="str">
        <f t="shared" si="14"/>
        <v>PROT:ADC53927.1</v>
      </c>
      <c r="F917" t="s">
        <v>1612</v>
      </c>
      <c r="G917" t="s">
        <v>121</v>
      </c>
      <c r="H917" t="s">
        <v>2679</v>
      </c>
      <c r="I917" t="str">
        <f>INDEX(Genomes!$I:$I,(MATCH(AllProteins!H917,Genomes!$B:$B,0)))</f>
        <v>GQ329670-pseudocowpox_virus</v>
      </c>
      <c r="J917">
        <f>INDEX(Genomes!$A:$A,(MATCH(AllProteins!H917,Genomes!$B:$B,0)))</f>
        <v>37</v>
      </c>
      <c r="K917" t="str">
        <f>INDEX(Genomes!$J:$J,(MATCH(AllProteins!H917,Genomes!$B:$B,0)))</f>
        <v>Y</v>
      </c>
    </row>
    <row r="918" spans="1:11" x14ac:dyDescent="0.2">
      <c r="A918">
        <f>INDEX(CoreProteinGroups!A:A,MATCH(B918,CoreProteinGroups!B:B,0))</f>
        <v>15</v>
      </c>
      <c r="B918" s="1" t="s">
        <v>1539</v>
      </c>
      <c r="C918" t="str">
        <f>VLOOKUP(B918,CoreProteinGroups!$B:$C,2,FALSE)</f>
        <v>sulfhydryl oxidase</v>
      </c>
      <c r="D918" t="s">
        <v>1616</v>
      </c>
      <c r="E918" s="6" t="str">
        <f t="shared" si="14"/>
        <v>PROT:AAL69776.1</v>
      </c>
      <c r="F918" t="s">
        <v>1617</v>
      </c>
      <c r="G918" t="s">
        <v>124</v>
      </c>
      <c r="H918" t="s">
        <v>2690</v>
      </c>
      <c r="I918" t="str">
        <f>INDEX(Genomes!$I:$I,(MATCH(AllProteins!H918,Genomes!$B:$B,0)))</f>
        <v>AF410153-swinepox_virus</v>
      </c>
      <c r="J918">
        <f>INDEX(Genomes!$A:$A,(MATCH(AllProteins!H918,Genomes!$B:$B,0)))</f>
        <v>49</v>
      </c>
      <c r="K918" t="str">
        <f>INDEX(Genomes!$J:$J,(MATCH(AllProteins!H918,Genomes!$B:$B,0)))</f>
        <v>Y</v>
      </c>
    </row>
    <row r="919" spans="1:11" x14ac:dyDescent="0.2">
      <c r="A919">
        <f>INDEX(CoreProteinGroups!A:A,MATCH(B919,CoreProteinGroups!B:B,0))</f>
        <v>15</v>
      </c>
      <c r="B919" s="1" t="s">
        <v>1539</v>
      </c>
      <c r="C919" t="str">
        <f>VLOOKUP(B919,CoreProteinGroups!$B:$C,2,FALSE)</f>
        <v>sulfhydryl oxidase</v>
      </c>
      <c r="D919" t="s">
        <v>1618</v>
      </c>
      <c r="E919" s="6" t="str">
        <f t="shared" si="14"/>
        <v>PROT:CAC21278.1</v>
      </c>
      <c r="F919" t="s">
        <v>1619</v>
      </c>
      <c r="G919" t="s">
        <v>127</v>
      </c>
      <c r="H919" t="s">
        <v>2699</v>
      </c>
      <c r="I919" t="str">
        <f>INDEX(Genomes!$I:$I,(MATCH(AllProteins!H919,Genomes!$B:$B,0)))</f>
        <v>AJ293568-tanapox_virus</v>
      </c>
      <c r="J919">
        <f>INDEX(Genomes!$A:$A,(MATCH(AllProteins!H919,Genomes!$B:$B,0)))</f>
        <v>58</v>
      </c>
      <c r="K919" t="str">
        <f>INDEX(Genomes!$J:$J,(MATCH(AllProteins!H919,Genomes!$B:$B,0)))</f>
        <v>Y</v>
      </c>
    </row>
    <row r="920" spans="1:11" x14ac:dyDescent="0.2">
      <c r="A920">
        <f>INDEX(CoreProteinGroups!A:A,MATCH(B920,CoreProteinGroups!B:B,0))</f>
        <v>15</v>
      </c>
      <c r="B920" s="1" t="s">
        <v>1539</v>
      </c>
      <c r="C920" t="str">
        <f>VLOOKUP(B920,CoreProteinGroups!$B:$C,2,FALSE)</f>
        <v>sulfhydryl oxidase</v>
      </c>
      <c r="D920" t="s">
        <v>1620</v>
      </c>
      <c r="E920" s="6" t="str">
        <f t="shared" si="14"/>
        <v>PROT:AAR07397.1</v>
      </c>
      <c r="F920" t="s">
        <v>1621</v>
      </c>
      <c r="G920" t="s">
        <v>130</v>
      </c>
      <c r="H920" t="s">
        <v>2700</v>
      </c>
      <c r="I920" t="str">
        <f>INDEX(Genomes!$I:$I,(MATCH(AllProteins!H920,Genomes!$B:$B,0)))</f>
        <v>AY386371-Yaba_monkey_tumor_virus</v>
      </c>
      <c r="J920">
        <f>INDEX(Genomes!$A:$A,(MATCH(AllProteins!H920,Genomes!$B:$B,0)))</f>
        <v>59</v>
      </c>
      <c r="K920" t="str">
        <f>INDEX(Genomes!$J:$J,(MATCH(AllProteins!H920,Genomes!$B:$B,0)))</f>
        <v>Y</v>
      </c>
    </row>
    <row r="921" spans="1:11" x14ac:dyDescent="0.2">
      <c r="A921">
        <f>INDEX(CoreProteinGroups!A:A,MATCH(B921,CoreProteinGroups!B:B,0))</f>
        <v>15</v>
      </c>
      <c r="B921" s="1" t="s">
        <v>1539</v>
      </c>
      <c r="C921" t="str">
        <f>VLOOKUP(B921,CoreProteinGroups!$B:$C,2,FALSE)</f>
        <v>sulfhydryl oxidase</v>
      </c>
      <c r="D921" t="s">
        <v>1622</v>
      </c>
      <c r="E921" s="6" t="str">
        <f t="shared" si="14"/>
        <v>PROT:AAC97808.1</v>
      </c>
      <c r="F921" t="s">
        <v>1623</v>
      </c>
      <c r="G921" t="s">
        <v>133</v>
      </c>
      <c r="H921" t="s">
        <v>2674</v>
      </c>
      <c r="I921" t="str">
        <f>INDEX(Genomes!$I:$I,(MATCH(AllProteins!H921,Genomes!$B:$B,0)))</f>
        <v>AF063866-Melanoplus_sanguinipes_entomopoxvirus</v>
      </c>
      <c r="J921">
        <f>INDEX(Genomes!$A:$A,(MATCH(AllProteins!H921,Genomes!$B:$B,0)))</f>
        <v>30</v>
      </c>
      <c r="K921" t="str">
        <f>INDEX(Genomes!$J:$J,(MATCH(AllProteins!H921,Genomes!$B:$B,0)))</f>
        <v>Y</v>
      </c>
    </row>
    <row r="922" spans="1:11" x14ac:dyDescent="0.2">
      <c r="A922">
        <f>INDEX(CoreProteinGroups!A:A,MATCH(B922,CoreProteinGroups!B:B,0))</f>
        <v>15</v>
      </c>
      <c r="B922" s="1" t="s">
        <v>1539</v>
      </c>
      <c r="C922" t="str">
        <f>VLOOKUP(B922,CoreProteinGroups!$B:$C,2,FALSE)</f>
        <v>sulfhydryl oxidase</v>
      </c>
      <c r="D922" t="s">
        <v>1624</v>
      </c>
      <c r="E922" s="6" t="str">
        <f t="shared" si="14"/>
        <v>PROT:BAO49428.1</v>
      </c>
      <c r="F922" t="s">
        <v>1540</v>
      </c>
      <c r="G922" t="s">
        <v>136</v>
      </c>
      <c r="H922" t="s">
        <v>2648</v>
      </c>
      <c r="I922" t="str">
        <f>INDEX(Genomes!$I:$I,(MATCH(AllProteins!H922,Genomes!$B:$B,0)))</f>
        <v>AP013055-Anomala_cuprea_entomopoxvirus</v>
      </c>
      <c r="J922">
        <f>INDEX(Genomes!$A:$A,(MATCH(AllProteins!H922,Genomes!$B:$B,0)))</f>
        <v>2</v>
      </c>
      <c r="K922" t="str">
        <f>INDEX(Genomes!$J:$J,(MATCH(AllProteins!H922,Genomes!$B:$B,0)))</f>
        <v>Y</v>
      </c>
    </row>
    <row r="923" spans="1:11" x14ac:dyDescent="0.2">
      <c r="A923">
        <f>INDEX(CoreProteinGroups!A:A,MATCH(B923,CoreProteinGroups!B:B,0))</f>
        <v>15</v>
      </c>
      <c r="B923" s="1" t="s">
        <v>1539</v>
      </c>
      <c r="C923" t="str">
        <f>VLOOKUP(B923,CoreProteinGroups!$B:$C,2,FALSE)</f>
        <v>sulfhydryl oxidase</v>
      </c>
      <c r="D923" t="s">
        <v>1625</v>
      </c>
      <c r="E923" s="6" t="str">
        <f t="shared" si="14"/>
        <v>PROT:CCU55424.1</v>
      </c>
      <c r="F923" t="s">
        <v>1626</v>
      </c>
      <c r="G923" t="s">
        <v>138</v>
      </c>
      <c r="H923" t="s">
        <v>2649</v>
      </c>
      <c r="I923" t="str">
        <f>INDEX(Genomes!$I:$I,(MATCH(AllProteins!H923,Genomes!$B:$B,0)))</f>
        <v>HF679131-Adoxophyes_honmai_entomopoxvirus</v>
      </c>
      <c r="J923">
        <f>INDEX(Genomes!$A:$A,(MATCH(AllProteins!H923,Genomes!$B:$B,0)))</f>
        <v>3</v>
      </c>
      <c r="K923" t="str">
        <f>INDEX(Genomes!$J:$J,(MATCH(AllProteins!H923,Genomes!$B:$B,0)))</f>
        <v>Y</v>
      </c>
    </row>
    <row r="924" spans="1:11" x14ac:dyDescent="0.2">
      <c r="A924">
        <f>INDEX(CoreProteinGroups!A:A,MATCH(B924,CoreProteinGroups!B:B,0))</f>
        <v>15</v>
      </c>
      <c r="B924" s="1" t="s">
        <v>1539</v>
      </c>
      <c r="C924" t="str">
        <f>VLOOKUP(B924,CoreProteinGroups!$B:$C,2,FALSE)</f>
        <v>sulfhydryl oxidase</v>
      </c>
      <c r="D924" t="s">
        <v>1627</v>
      </c>
      <c r="E924" s="6" t="str">
        <f t="shared" si="14"/>
        <v>PROT:AAG02820.1</v>
      </c>
      <c r="F924" t="s">
        <v>1628</v>
      </c>
      <c r="G924" t="s">
        <v>141</v>
      </c>
      <c r="H924" t="s">
        <v>2651</v>
      </c>
      <c r="I924" t="str">
        <f>INDEX(Genomes!$I:$I,(MATCH(AllProteins!H924,Genomes!$B:$B,0)))</f>
        <v>AF250284-Amsacta_moorei_entomopoxvirus</v>
      </c>
      <c r="J924">
        <f>INDEX(Genomes!$A:$A,(MATCH(AllProteins!H924,Genomes!$B:$B,0)))</f>
        <v>5</v>
      </c>
      <c r="K924" t="str">
        <f>INDEX(Genomes!$J:$J,(MATCH(AllProteins!H924,Genomes!$B:$B,0)))</f>
        <v>Y</v>
      </c>
    </row>
    <row r="925" spans="1:11" x14ac:dyDescent="0.2">
      <c r="A925">
        <f>INDEX(CoreProteinGroups!A:A,MATCH(B925,CoreProteinGroups!B:B,0))</f>
        <v>15</v>
      </c>
      <c r="B925" s="1" t="s">
        <v>1539</v>
      </c>
      <c r="C925" t="str">
        <f>VLOOKUP(B925,CoreProteinGroups!$B:$C,2,FALSE)</f>
        <v>sulfhydryl oxidase</v>
      </c>
      <c r="D925" t="s">
        <v>1629</v>
      </c>
      <c r="E925" s="6" t="str">
        <f t="shared" si="14"/>
        <v>PROT:CCU55729.1</v>
      </c>
      <c r="F925" t="s">
        <v>1626</v>
      </c>
      <c r="G925" t="s">
        <v>143</v>
      </c>
      <c r="H925" t="s">
        <v>2656</v>
      </c>
      <c r="I925" t="str">
        <f>INDEX(Genomes!$I:$I,(MATCH(AllProteins!H925,Genomes!$B:$B,0)))</f>
        <v>HF679132-Choristoneura_biennis_entomopoxvirus</v>
      </c>
      <c r="J925">
        <f>INDEX(Genomes!$A:$A,(MATCH(AllProteins!H925,Genomes!$B:$B,0)))</f>
        <v>10</v>
      </c>
      <c r="K925" t="str">
        <f>INDEX(Genomes!$J:$J,(MATCH(AllProteins!H925,Genomes!$B:$B,0)))</f>
        <v>Y</v>
      </c>
    </row>
    <row r="926" spans="1:11" x14ac:dyDescent="0.2">
      <c r="A926">
        <f>INDEX(CoreProteinGroups!A:A,MATCH(B926,CoreProteinGroups!B:B,0))</f>
        <v>15</v>
      </c>
      <c r="B926" s="1" t="s">
        <v>1539</v>
      </c>
      <c r="C926" t="str">
        <f>VLOOKUP(B926,CoreProteinGroups!$B:$C,2,FALSE)</f>
        <v>sulfhydryl oxidase</v>
      </c>
      <c r="D926" t="s">
        <v>1630</v>
      </c>
      <c r="E926" s="6" t="str">
        <f t="shared" si="14"/>
        <v>PROT:CCU56031.1</v>
      </c>
      <c r="F926" t="s">
        <v>1626</v>
      </c>
      <c r="G926" t="s">
        <v>145</v>
      </c>
      <c r="H926" t="s">
        <v>2660</v>
      </c>
      <c r="I926" t="str">
        <f>INDEX(Genomes!$I:$I,(MATCH(AllProteins!H926,Genomes!$B:$B,0)))</f>
        <v>HF679133-Choristoneura_rosaceana_entomopoxvirus</v>
      </c>
      <c r="J926">
        <f>INDEX(Genomes!$A:$A,(MATCH(AllProteins!H926,Genomes!$B:$B,0)))</f>
        <v>14</v>
      </c>
      <c r="K926" t="str">
        <f>INDEX(Genomes!$J:$J,(MATCH(AllProteins!H926,Genomes!$B:$B,0)))</f>
        <v>Y</v>
      </c>
    </row>
    <row r="927" spans="1:11" x14ac:dyDescent="0.2">
      <c r="A927">
        <f>INDEX(CoreProteinGroups!A:A,MATCH(B927,CoreProteinGroups!B:B,0))</f>
        <v>15</v>
      </c>
      <c r="B927" s="1" t="s">
        <v>1539</v>
      </c>
      <c r="C927" t="str">
        <f>VLOOKUP(B927,CoreProteinGroups!$B:$C,2,FALSE)</f>
        <v>sulfhydryl oxidase</v>
      </c>
      <c r="D927" t="s">
        <v>1631</v>
      </c>
      <c r="E927" s="6" t="str">
        <f t="shared" si="14"/>
        <v>PROT:CCU56368.1</v>
      </c>
      <c r="F927" t="s">
        <v>1626</v>
      </c>
      <c r="G927" t="s">
        <v>147</v>
      </c>
      <c r="H927" t="s">
        <v>2675</v>
      </c>
      <c r="I927" t="str">
        <f>INDEX(Genomes!$I:$I,(MATCH(AllProteins!H927,Genomes!$B:$B,0)))</f>
        <v>HF679134-Mythimna_separata_entomopoxvirus</v>
      </c>
      <c r="J927">
        <f>INDEX(Genomes!$A:$A,(MATCH(AllProteins!H927,Genomes!$B:$B,0)))</f>
        <v>31</v>
      </c>
      <c r="K927" t="str">
        <f>INDEX(Genomes!$J:$J,(MATCH(AllProteins!H927,Genomes!$B:$B,0)))</f>
        <v>Y</v>
      </c>
    </row>
    <row r="928" spans="1:11" x14ac:dyDescent="0.2">
      <c r="A928">
        <f>INDEX(CoreProteinGroups!A:A,MATCH(B928,CoreProteinGroups!B:B,0))</f>
        <v>15</v>
      </c>
      <c r="B928" s="1" t="s">
        <v>1539</v>
      </c>
      <c r="C928" t="str">
        <f>VLOOKUP(B928,CoreProteinGroups!$B:$C,2,FALSE)</f>
        <v>sulfhydryl oxidase</v>
      </c>
      <c r="D928" t="s">
        <v>1632</v>
      </c>
      <c r="E928" s="6" t="str">
        <f t="shared" si="14"/>
        <v>PROT:NP_659612.1</v>
      </c>
      <c r="F928" t="s">
        <v>1633</v>
      </c>
      <c r="G928" t="s">
        <v>150</v>
      </c>
      <c r="H928" t="s">
        <v>2620</v>
      </c>
      <c r="I928" t="str">
        <f>INDEX(Genomes!$I:$I,(MATCH(AllProteins!H928,Genomes!$B:$B,0)))</f>
        <v>NC_004002-sheeppox_virus</v>
      </c>
      <c r="J928">
        <f>INDEX(Genomes!$A:$A,(MATCH(AllProteins!H928,Genomes!$B:$B,0)))</f>
        <v>44</v>
      </c>
      <c r="K928" t="str">
        <f>INDEX(Genomes!$J:$J,(MATCH(AllProteins!H928,Genomes!$B:$B,0)))</f>
        <v>Y</v>
      </c>
    </row>
    <row r="929" spans="1:11" x14ac:dyDescent="0.2">
      <c r="A929">
        <f>INDEX(CoreProteinGroups!A:A,MATCH(B929,CoreProteinGroups!B:B,0))</f>
        <v>15</v>
      </c>
      <c r="B929" s="1" t="s">
        <v>1539</v>
      </c>
      <c r="C929" t="str">
        <f>VLOOKUP(B929,CoreProteinGroups!$B:$C,2,FALSE)</f>
        <v>sulfhydryl oxidase</v>
      </c>
      <c r="D929" t="s">
        <v>1634</v>
      </c>
      <c r="E929" s="6" t="str">
        <f t="shared" si="14"/>
        <v>PROT:YP_001293231.1</v>
      </c>
      <c r="F929" t="s">
        <v>1635</v>
      </c>
      <c r="G929" t="s">
        <v>153</v>
      </c>
      <c r="H929" t="s">
        <v>2644</v>
      </c>
      <c r="I929" t="str">
        <f>INDEX(Genomes!$I:$I,(MATCH(AllProteins!H929,Genomes!$B:$B,0)))</f>
        <v>NC_004003-goatpox_virus</v>
      </c>
      <c r="J929">
        <f>INDEX(Genomes!$A:$A,(MATCH(AllProteins!H929,Genomes!$B:$B,0)))</f>
        <v>23</v>
      </c>
      <c r="K929" t="str">
        <f>INDEX(Genomes!$J:$J,(MATCH(AllProteins!H929,Genomes!$B:$B,0)))</f>
        <v>Y</v>
      </c>
    </row>
    <row r="930" spans="1:11" x14ac:dyDescent="0.2">
      <c r="A930">
        <f>INDEX(CoreProteinGroups!A:A,MATCH(B930,CoreProteinGroups!B:B,0))</f>
        <v>17</v>
      </c>
      <c r="B930" s="1" t="s">
        <v>1636</v>
      </c>
      <c r="C930" t="str">
        <f>VLOOKUP(B930,CoreProteinGroups!$B:$C,2,FALSE)</f>
        <v>DNA-polymerase</v>
      </c>
      <c r="D930" t="s">
        <v>1638</v>
      </c>
      <c r="E930" s="6" t="str">
        <f t="shared" si="14"/>
        <v>PROT:ATI21145.1</v>
      </c>
      <c r="F930" t="s">
        <v>1639</v>
      </c>
      <c r="G930" t="s">
        <v>11</v>
      </c>
      <c r="H930" t="s">
        <v>2663</v>
      </c>
      <c r="I930" t="str">
        <f>INDEX(Genomes!$I:$I,(MATCH(AllProteins!H930,Genomes!$B:$B,0)))</f>
        <v>MF467281-Eastern_grey_kangaroopox_virus</v>
      </c>
      <c r="J930">
        <f>INDEX(Genomes!$A:$A,(MATCH(AllProteins!H930,Genomes!$B:$B,0)))</f>
        <v>18</v>
      </c>
      <c r="K930" t="str">
        <f>INDEX(Genomes!$J:$J,(MATCH(AllProteins!H930,Genomes!$B:$B,0)))</f>
        <v>Y</v>
      </c>
    </row>
    <row r="931" spans="1:11" x14ac:dyDescent="0.2">
      <c r="A931">
        <f>INDEX(CoreProteinGroups!A:A,MATCH(B931,CoreProteinGroups!B:B,0))</f>
        <v>17</v>
      </c>
      <c r="B931" s="1" t="s">
        <v>1636</v>
      </c>
      <c r="C931" t="str">
        <f>VLOOKUP(B931,CoreProteinGroups!$B:$C,2,FALSE)</f>
        <v>DNA-polymerase</v>
      </c>
      <c r="D931" t="s">
        <v>1640</v>
      </c>
      <c r="E931" s="6" t="str">
        <f t="shared" si="14"/>
        <v>PROT:AWU47082.1</v>
      </c>
      <c r="F931" t="s">
        <v>1639</v>
      </c>
      <c r="G931" t="s">
        <v>13</v>
      </c>
      <c r="H931" t="s">
        <v>2688</v>
      </c>
      <c r="I931" t="str">
        <f>INDEX(Genomes!$I:$I,(MATCH(AllProteins!H931,Genomes!$B:$B,0)))</f>
        <v>MH427217-sea_otter_poxvirus</v>
      </c>
      <c r="J931">
        <f>INDEX(Genomes!$A:$A,(MATCH(AllProteins!H931,Genomes!$B:$B,0)))</f>
        <v>47</v>
      </c>
      <c r="K931" t="str">
        <f>INDEX(Genomes!$J:$J,(MATCH(AllProteins!H931,Genomes!$B:$B,0)))</f>
        <v>Y</v>
      </c>
    </row>
    <row r="932" spans="1:11" x14ac:dyDescent="0.2">
      <c r="A932">
        <f>INDEX(CoreProteinGroups!A:A,MATCH(B932,CoreProteinGroups!B:B,0))</f>
        <v>17</v>
      </c>
      <c r="B932" s="1" t="s">
        <v>1636</v>
      </c>
      <c r="C932" t="str">
        <f>VLOOKUP(B932,CoreProteinGroups!$B:$C,2,FALSE)</f>
        <v>DNA-polymerase</v>
      </c>
      <c r="D932" t="s">
        <v>1641</v>
      </c>
      <c r="E932" s="6" t="str">
        <f t="shared" si="14"/>
        <v>PROT:APG58249.1</v>
      </c>
      <c r="F932" t="s">
        <v>1639</v>
      </c>
      <c r="G932" t="s">
        <v>16</v>
      </c>
      <c r="H932" t="s">
        <v>2653</v>
      </c>
      <c r="I932" t="str">
        <f>INDEX(Genomes!$I:$I,(MATCH(AllProteins!H932,Genomes!$B:$B,0)))</f>
        <v>KY094066-BeAn_58058_virus</v>
      </c>
      <c r="J932">
        <f>INDEX(Genomes!$A:$A,(MATCH(AllProteins!H932,Genomes!$B:$B,0)))</f>
        <v>7</v>
      </c>
      <c r="K932" t="str">
        <f>INDEX(Genomes!$J:$J,(MATCH(AllProteins!H932,Genomes!$B:$B,0)))</f>
        <v>N</v>
      </c>
    </row>
    <row r="933" spans="1:11" x14ac:dyDescent="0.2">
      <c r="A933">
        <f>INDEX(CoreProteinGroups!A:A,MATCH(B933,CoreProteinGroups!B:B,0))</f>
        <v>17</v>
      </c>
      <c r="B933" s="1" t="s">
        <v>1636</v>
      </c>
      <c r="C933" t="str">
        <f>VLOOKUP(B933,CoreProteinGroups!$B:$C,2,FALSE)</f>
        <v>DNA-polymerase</v>
      </c>
      <c r="D933" t="s">
        <v>1642</v>
      </c>
      <c r="E933" s="6" t="str">
        <f t="shared" si="14"/>
        <v>PROT:ADT91072.1</v>
      </c>
      <c r="F933" t="s">
        <v>1643</v>
      </c>
      <c r="G933" t="s">
        <v>19</v>
      </c>
      <c r="H933" t="s">
        <v>2658</v>
      </c>
      <c r="I933" t="str">
        <f>INDEX(Genomes!$I:$I,(MATCH(AllProteins!H933,Genomes!$B:$B,0)))</f>
        <v>HQ647181-Cotia_virus</v>
      </c>
      <c r="J933">
        <f>INDEX(Genomes!$A:$A,(MATCH(AllProteins!H933,Genomes!$B:$B,0)))</f>
        <v>12</v>
      </c>
      <c r="K933" t="str">
        <f>INDEX(Genomes!$J:$J,(MATCH(AllProteins!H933,Genomes!$B:$B,0)))</f>
        <v>Y</v>
      </c>
    </row>
    <row r="934" spans="1:11" x14ac:dyDescent="0.2">
      <c r="A934">
        <f>INDEX(CoreProteinGroups!A:A,MATCH(B934,CoreProteinGroups!B:B,0))</f>
        <v>17</v>
      </c>
      <c r="B934" s="1" t="s">
        <v>1636</v>
      </c>
      <c r="C934" t="str">
        <f>VLOOKUP(B934,CoreProteinGroups!$B:$C,2,FALSE)</f>
        <v>DNA-polymerase</v>
      </c>
      <c r="D934" t="s">
        <v>1644</v>
      </c>
      <c r="E934" s="6" t="str">
        <f t="shared" si="14"/>
        <v>PROT:ANS71126.1</v>
      </c>
      <c r="F934" t="s">
        <v>1639</v>
      </c>
      <c r="G934" t="s">
        <v>21</v>
      </c>
      <c r="H934" t="s">
        <v>2682</v>
      </c>
      <c r="I934" t="str">
        <f>INDEX(Genomes!$I:$I,(MATCH(AllProteins!H934,Genomes!$B:$B,0)))</f>
        <v>KU980965-pteropox_virus</v>
      </c>
      <c r="J934">
        <f>INDEX(Genomes!$A:$A,(MATCH(AllProteins!H934,Genomes!$B:$B,0)))</f>
        <v>40</v>
      </c>
      <c r="K934" t="str">
        <f>INDEX(Genomes!$J:$J,(MATCH(AllProteins!H934,Genomes!$B:$B,0)))</f>
        <v>Y</v>
      </c>
    </row>
    <row r="935" spans="1:11" x14ac:dyDescent="0.2">
      <c r="A935">
        <f>INDEX(CoreProteinGroups!A:A,MATCH(B935,CoreProteinGroups!B:B,0))</f>
        <v>17</v>
      </c>
      <c r="B935" s="1" t="s">
        <v>1636</v>
      </c>
      <c r="C935" t="str">
        <f>VLOOKUP(B935,CoreProteinGroups!$B:$C,2,FALSE)</f>
        <v>DNA-polymerase</v>
      </c>
      <c r="D935" t="s">
        <v>1645</v>
      </c>
      <c r="E935" s="6" t="str">
        <f t="shared" si="14"/>
        <v>PROT:AKR04200.1</v>
      </c>
      <c r="F935" t="s">
        <v>1646</v>
      </c>
      <c r="G935" t="s">
        <v>24</v>
      </c>
      <c r="H935" t="s">
        <v>2687</v>
      </c>
      <c r="I935" t="str">
        <f>INDEX(Genomes!$I:$I,(MATCH(AllProteins!H935,Genomes!$B:$B,0)))</f>
        <v>KT159937-salmon_gill_poxvirus</v>
      </c>
      <c r="J935">
        <f>INDEX(Genomes!$A:$A,(MATCH(AllProteins!H935,Genomes!$B:$B,0)))</f>
        <v>46</v>
      </c>
      <c r="K935" t="str">
        <f>INDEX(Genomes!$J:$J,(MATCH(AllProteins!H935,Genomes!$B:$B,0)))</f>
        <v>Y</v>
      </c>
    </row>
    <row r="936" spans="1:11" x14ac:dyDescent="0.2">
      <c r="A936">
        <f>INDEX(CoreProteinGroups!A:A,MATCH(B936,CoreProteinGroups!B:B,0))</f>
        <v>17</v>
      </c>
      <c r="B936" s="1" t="s">
        <v>1636</v>
      </c>
      <c r="C936" t="str">
        <f>VLOOKUP(B936,CoreProteinGroups!$B:$C,2,FALSE)</f>
        <v>DNA-polymerase</v>
      </c>
      <c r="D936" t="s">
        <v>1647</v>
      </c>
      <c r="E936" s="6" t="str">
        <f t="shared" si="14"/>
        <v>PROT:CCD83215.1</v>
      </c>
      <c r="F936" t="s">
        <v>1639</v>
      </c>
      <c r="G936" t="s">
        <v>27</v>
      </c>
      <c r="H936" t="s">
        <v>2689</v>
      </c>
      <c r="I936" t="str">
        <f>INDEX(Genomes!$I:$I,(MATCH(AllProteins!H936,Genomes!$B:$B,0)))</f>
        <v>HE601899-squirrelpox_virus</v>
      </c>
      <c r="J936">
        <f>INDEX(Genomes!$A:$A,(MATCH(AllProteins!H936,Genomes!$B:$B,0)))</f>
        <v>48</v>
      </c>
      <c r="K936" t="str">
        <f>INDEX(Genomes!$J:$J,(MATCH(AllProteins!H936,Genomes!$B:$B,0)))</f>
        <v>Y</v>
      </c>
    </row>
    <row r="937" spans="1:11" x14ac:dyDescent="0.2">
      <c r="A937">
        <f>INDEX(CoreProteinGroups!A:A,MATCH(B937,CoreProteinGroups!B:B,0))</f>
        <v>17</v>
      </c>
      <c r="B937" s="1" t="s">
        <v>1636</v>
      </c>
      <c r="C937" t="str">
        <f>VLOOKUP(B937,CoreProteinGroups!$B:$C,2,FALSE)</f>
        <v>DNA-polymerase</v>
      </c>
      <c r="D937" t="s">
        <v>1648</v>
      </c>
      <c r="E937" s="6" t="str">
        <f t="shared" si="14"/>
        <v>PROT:ASK51242.1</v>
      </c>
      <c r="F937" t="s">
        <v>1639</v>
      </c>
      <c r="G937" t="s">
        <v>30</v>
      </c>
      <c r="H937" t="s">
        <v>2664</v>
      </c>
      <c r="I937" t="str">
        <f>INDEX(Genomes!$I:$I,(MATCH(AllProteins!H937,Genomes!$B:$B,0)))</f>
        <v>KY747497-eptesipox_virus</v>
      </c>
      <c r="J937">
        <f>INDEX(Genomes!$A:$A,(MATCH(AllProteins!H937,Genomes!$B:$B,0)))</f>
        <v>19</v>
      </c>
      <c r="K937" t="str">
        <f>INDEX(Genomes!$J:$J,(MATCH(AllProteins!H937,Genomes!$B:$B,0)))</f>
        <v>Y</v>
      </c>
    </row>
    <row r="938" spans="1:11" x14ac:dyDescent="0.2">
      <c r="A938">
        <f>INDEX(CoreProteinGroups!A:A,MATCH(B938,CoreProteinGroups!B:B,0))</f>
        <v>17</v>
      </c>
      <c r="B938" s="1" t="s">
        <v>1636</v>
      </c>
      <c r="C938" t="str">
        <f>VLOOKUP(B938,CoreProteinGroups!$B:$C,2,FALSE)</f>
        <v>DNA-polymerase</v>
      </c>
      <c r="D938" t="s">
        <v>1649</v>
      </c>
      <c r="E938" s="6" t="str">
        <f t="shared" si="14"/>
        <v>PROT:AUD40198.1</v>
      </c>
      <c r="F938" t="s">
        <v>1639</v>
      </c>
      <c r="G938" t="s">
        <v>32</v>
      </c>
      <c r="H938" t="s">
        <v>2665</v>
      </c>
      <c r="I938" t="str">
        <f>INDEX(Genomes!$I:$I,(MATCH(AllProteins!H938,Genomes!$B:$B,0)))</f>
        <v>MF678796-flamingopox_virus</v>
      </c>
      <c r="J938">
        <f>INDEX(Genomes!$A:$A,(MATCH(AllProteins!H938,Genomes!$B:$B,0)))</f>
        <v>20</v>
      </c>
      <c r="K938" t="str">
        <f>INDEX(Genomes!$J:$J,(MATCH(AllProteins!H938,Genomes!$B:$B,0)))</f>
        <v>Y</v>
      </c>
    </row>
    <row r="939" spans="1:11" x14ac:dyDescent="0.2">
      <c r="A939">
        <f>INDEX(CoreProteinGroups!A:A,MATCH(B939,CoreProteinGroups!B:B,0))</f>
        <v>17</v>
      </c>
      <c r="B939" s="1" t="s">
        <v>1636</v>
      </c>
      <c r="C939" t="str">
        <f>VLOOKUP(B939,CoreProteinGroups!$B:$C,2,FALSE)</f>
        <v>DNA-polymerase</v>
      </c>
      <c r="D939" t="s">
        <v>1650</v>
      </c>
      <c r="E939" s="6" t="str">
        <f t="shared" si="14"/>
        <v>PROT:AID46833.1</v>
      </c>
      <c r="F939" t="s">
        <v>1639</v>
      </c>
      <c r="G939" t="s">
        <v>34</v>
      </c>
      <c r="H939" t="s">
        <v>2681</v>
      </c>
      <c r="I939" t="str">
        <f>INDEX(Genomes!$I:$I,(MATCH(AllProteins!H939,Genomes!$B:$B,0)))</f>
        <v>KJ859677-penguinpox_virus</v>
      </c>
      <c r="J939">
        <f>INDEX(Genomes!$A:$A,(MATCH(AllProteins!H939,Genomes!$B:$B,0)))</f>
        <v>39</v>
      </c>
      <c r="K939" t="str">
        <f>INDEX(Genomes!$J:$J,(MATCH(AllProteins!H939,Genomes!$B:$B,0)))</f>
        <v>Y</v>
      </c>
    </row>
    <row r="940" spans="1:11" x14ac:dyDescent="0.2">
      <c r="A940">
        <f>INDEX(CoreProteinGroups!A:A,MATCH(B940,CoreProteinGroups!B:B,0))</f>
        <v>17</v>
      </c>
      <c r="B940" s="1" t="s">
        <v>1636</v>
      </c>
      <c r="C940" t="str">
        <f>VLOOKUP(B940,CoreProteinGroups!$B:$C,2,FALSE)</f>
        <v>DNA-polymerase</v>
      </c>
      <c r="D940" t="s">
        <v>1651</v>
      </c>
      <c r="E940" s="6" t="str">
        <f t="shared" si="14"/>
        <v>PROT:AID46604.1</v>
      </c>
      <c r="F940" t="s">
        <v>1639</v>
      </c>
      <c r="G940" t="s">
        <v>36</v>
      </c>
      <c r="H940" t="s">
        <v>2680</v>
      </c>
      <c r="I940" t="str">
        <f>INDEX(Genomes!$I:$I,(MATCH(AllProteins!H940,Genomes!$B:$B,0)))</f>
        <v>KJ801920-pigeonpox_virus</v>
      </c>
      <c r="J940">
        <f>INDEX(Genomes!$A:$A,(MATCH(AllProteins!H940,Genomes!$B:$B,0)))</f>
        <v>38</v>
      </c>
      <c r="K940" t="str">
        <f>INDEX(Genomes!$J:$J,(MATCH(AllProteins!H940,Genomes!$B:$B,0)))</f>
        <v>Y</v>
      </c>
    </row>
    <row r="941" spans="1:11" x14ac:dyDescent="0.2">
      <c r="A941">
        <f>INDEX(CoreProteinGroups!A:A,MATCH(B941,CoreProteinGroups!B:B,0))</f>
        <v>17</v>
      </c>
      <c r="B941" s="1" t="s">
        <v>1636</v>
      </c>
      <c r="C941" t="str">
        <f>VLOOKUP(B941,CoreProteinGroups!$B:$C,2,FALSE)</f>
        <v>DNA-polymerase</v>
      </c>
      <c r="D941" t="s">
        <v>1652</v>
      </c>
      <c r="E941" s="6" t="str">
        <f t="shared" si="14"/>
        <v>PROT:ALA62442.1</v>
      </c>
      <c r="F941" t="s">
        <v>1639</v>
      </c>
      <c r="G941" t="s">
        <v>39</v>
      </c>
      <c r="H941" t="s">
        <v>2692</v>
      </c>
      <c r="I941" t="str">
        <f>INDEX(Genomes!$I:$I,(MATCH(AllProteins!H941,Genomes!$B:$B,0)))</f>
        <v>KP728110-turkeypox_virus</v>
      </c>
      <c r="J941">
        <f>INDEX(Genomes!$A:$A,(MATCH(AllProteins!H941,Genomes!$B:$B,0)))</f>
        <v>51</v>
      </c>
      <c r="K941" t="str">
        <f>INDEX(Genomes!$J:$J,(MATCH(AllProteins!H941,Genomes!$B:$B,0)))</f>
        <v>Y</v>
      </c>
    </row>
    <row r="942" spans="1:11" x14ac:dyDescent="0.2">
      <c r="A942">
        <f>INDEX(CoreProteinGroups!A:A,MATCH(B942,CoreProteinGroups!B:B,0))</f>
        <v>17</v>
      </c>
      <c r="B942" s="1" t="s">
        <v>1636</v>
      </c>
      <c r="C942" t="str">
        <f>VLOOKUP(B942,CoreProteinGroups!$B:$C,2,FALSE)</f>
        <v>DNA-polymerase</v>
      </c>
      <c r="D942" t="s">
        <v>1653</v>
      </c>
      <c r="E942" s="6" t="str">
        <f t="shared" si="14"/>
        <v>PROT:AAR83467.1</v>
      </c>
      <c r="F942" t="s">
        <v>1654</v>
      </c>
      <c r="G942" t="s">
        <v>42</v>
      </c>
      <c r="H942" t="s">
        <v>2657</v>
      </c>
      <c r="I942" t="str">
        <f>INDEX(Genomes!$I:$I,(MATCH(AllProteins!H942,Genomes!$B:$B,0)))</f>
        <v>AY318871-canarypox_virus</v>
      </c>
      <c r="J942">
        <f>INDEX(Genomes!$A:$A,(MATCH(AllProteins!H942,Genomes!$B:$B,0)))</f>
        <v>11</v>
      </c>
      <c r="K942" t="str">
        <f>INDEX(Genomes!$J:$J,(MATCH(AllProteins!H942,Genomes!$B:$B,0)))</f>
        <v>Y</v>
      </c>
    </row>
    <row r="943" spans="1:11" x14ac:dyDescent="0.2">
      <c r="A943">
        <f>INDEX(CoreProteinGroups!A:A,MATCH(B943,CoreProteinGroups!B:B,0))</f>
        <v>17</v>
      </c>
      <c r="B943" s="1" t="s">
        <v>1636</v>
      </c>
      <c r="C943" t="str">
        <f>VLOOKUP(B943,CoreProteinGroups!$B:$C,2,FALSE)</f>
        <v>DNA-polymerase</v>
      </c>
      <c r="D943" t="s">
        <v>1655</v>
      </c>
      <c r="E943" s="6" t="str">
        <f t="shared" si="14"/>
        <v>PROT:AAF44438.1</v>
      </c>
      <c r="F943" t="s">
        <v>1656</v>
      </c>
      <c r="G943" t="s">
        <v>45</v>
      </c>
      <c r="H943" t="s">
        <v>2666</v>
      </c>
      <c r="I943" t="str">
        <f>INDEX(Genomes!$I:$I,(MATCH(AllProteins!H943,Genomes!$B:$B,0)))</f>
        <v>AF198100-fowlpox_virus</v>
      </c>
      <c r="J943">
        <f>INDEX(Genomes!$A:$A,(MATCH(AllProteins!H943,Genomes!$B:$B,0)))</f>
        <v>21</v>
      </c>
      <c r="K943" t="str">
        <f>INDEX(Genomes!$J:$J,(MATCH(AllProteins!H943,Genomes!$B:$B,0)))</f>
        <v>Y</v>
      </c>
    </row>
    <row r="944" spans="1:11" x14ac:dyDescent="0.2">
      <c r="A944">
        <f>INDEX(CoreProteinGroups!A:A,MATCH(B944,CoreProteinGroups!B:B,0))</f>
        <v>17</v>
      </c>
      <c r="B944" s="1" t="s">
        <v>1636</v>
      </c>
      <c r="C944" t="str">
        <f>VLOOKUP(B944,CoreProteinGroups!$B:$C,2,FALSE)</f>
        <v>DNA-polymerase</v>
      </c>
      <c r="D944" t="s">
        <v>1657</v>
      </c>
      <c r="E944" s="6" t="str">
        <f t="shared" si="14"/>
        <v>PROT:AAK85000.1</v>
      </c>
      <c r="F944" t="s">
        <v>1658</v>
      </c>
      <c r="G944" t="s">
        <v>48</v>
      </c>
      <c r="H944" t="s">
        <v>2669</v>
      </c>
      <c r="I944" t="str">
        <f>INDEX(Genomes!$I:$I,(MATCH(AllProteins!H944,Genomes!$B:$B,0)))</f>
        <v>AF325528-lumpy_skin_disease_virus</v>
      </c>
      <c r="J944">
        <f>INDEX(Genomes!$A:$A,(MATCH(AllProteins!H944,Genomes!$B:$B,0)))</f>
        <v>25</v>
      </c>
      <c r="K944" t="str">
        <f>INDEX(Genomes!$J:$J,(MATCH(AllProteins!H944,Genomes!$B:$B,0)))</f>
        <v>Y</v>
      </c>
    </row>
    <row r="945" spans="1:11" x14ac:dyDescent="0.2">
      <c r="A945">
        <f>INDEX(CoreProteinGroups!A:A,MATCH(B945,CoreProteinGroups!B:B,0))</f>
        <v>17</v>
      </c>
      <c r="B945" s="1" t="s">
        <v>1636</v>
      </c>
      <c r="C945" t="str">
        <f>VLOOKUP(B945,CoreProteinGroups!$B:$C,2,FALSE)</f>
        <v>DNA-polymerase</v>
      </c>
      <c r="D945" t="s">
        <v>1659</v>
      </c>
      <c r="E945" s="6" t="str">
        <f t="shared" si="14"/>
        <v>PROT:AST09255.1</v>
      </c>
      <c r="F945" t="s">
        <v>1639</v>
      </c>
      <c r="G945" t="s">
        <v>50</v>
      </c>
      <c r="H945" t="s">
        <v>2671</v>
      </c>
      <c r="I945" t="str">
        <f>INDEX(Genomes!$I:$I,(MATCH(AllProteins!H945,Genomes!$B:$B,0)))</f>
        <v>MF001304-Murmansk_poxvirus</v>
      </c>
      <c r="J945">
        <f>INDEX(Genomes!$A:$A,(MATCH(AllProteins!H945,Genomes!$B:$B,0)))</f>
        <v>27</v>
      </c>
      <c r="K945" t="str">
        <f>INDEX(Genomes!$J:$J,(MATCH(AllProteins!H945,Genomes!$B:$B,0)))</f>
        <v>Y</v>
      </c>
    </row>
    <row r="946" spans="1:11" x14ac:dyDescent="0.2">
      <c r="A946">
        <f>INDEX(CoreProteinGroups!A:A,MATCH(B946,CoreProteinGroups!B:B,0))</f>
        <v>17</v>
      </c>
      <c r="B946" s="1" t="s">
        <v>1636</v>
      </c>
      <c r="C946" t="str">
        <f>VLOOKUP(B946,CoreProteinGroups!$B:$C,2,FALSE)</f>
        <v>DNA-polymerase</v>
      </c>
      <c r="D946" t="s">
        <v>1660</v>
      </c>
      <c r="E946" s="6" t="str">
        <f t="shared" si="14"/>
        <v>PROT:AEN03632.1</v>
      </c>
      <c r="F946" t="s">
        <v>1639</v>
      </c>
      <c r="G946" t="s">
        <v>52</v>
      </c>
      <c r="H946" t="s">
        <v>2698</v>
      </c>
      <c r="I946" t="str">
        <f>INDEX(Genomes!$I:$I,(MATCH(AllProteins!H946,Genomes!$B:$B,0)))</f>
        <v>HQ849551-yokapox_virus</v>
      </c>
      <c r="J946">
        <f>INDEX(Genomes!$A:$A,(MATCH(AllProteins!H946,Genomes!$B:$B,0)))</f>
        <v>57</v>
      </c>
      <c r="K946" t="str">
        <f>INDEX(Genomes!$J:$J,(MATCH(AllProteins!H946,Genomes!$B:$B,0)))</f>
        <v>Y</v>
      </c>
    </row>
    <row r="947" spans="1:11" x14ac:dyDescent="0.2">
      <c r="A947">
        <f>INDEX(CoreProteinGroups!A:A,MATCH(B947,CoreProteinGroups!B:B,0))</f>
        <v>17</v>
      </c>
      <c r="B947" s="1" t="s">
        <v>1636</v>
      </c>
      <c r="C947" t="str">
        <f>VLOOKUP(B947,CoreProteinGroups!$B:$C,2,FALSE)</f>
        <v>DNA-polymerase</v>
      </c>
      <c r="D947" t="s">
        <v>1661</v>
      </c>
      <c r="E947" s="6" t="str">
        <f t="shared" si="14"/>
        <v>PROT:ABI99203.1</v>
      </c>
      <c r="F947" t="s">
        <v>1639</v>
      </c>
      <c r="G947" t="s">
        <v>54</v>
      </c>
      <c r="H947" t="s">
        <v>2661</v>
      </c>
      <c r="I947" t="str">
        <f>INDEX(Genomes!$I:$I,(MATCH(AllProteins!H947,Genomes!$B:$B,0)))</f>
        <v>AY689436-mule_deerpox_virus</v>
      </c>
      <c r="J947">
        <f>INDEX(Genomes!$A:$A,(MATCH(AllProteins!H947,Genomes!$B:$B,0)))</f>
        <v>15</v>
      </c>
      <c r="K947" t="str">
        <f>INDEX(Genomes!$J:$J,(MATCH(AllProteins!H947,Genomes!$B:$B,0)))</f>
        <v>Y</v>
      </c>
    </row>
    <row r="948" spans="1:11" x14ac:dyDescent="0.2">
      <c r="A948">
        <f>INDEX(CoreProteinGroups!A:A,MATCH(B948,CoreProteinGroups!B:B,0))</f>
        <v>17</v>
      </c>
      <c r="B948" s="1" t="s">
        <v>1636</v>
      </c>
      <c r="C948" t="str">
        <f>VLOOKUP(B948,CoreProteinGroups!$B:$C,2,FALSE)</f>
        <v>DNA-polymerase</v>
      </c>
      <c r="D948" t="s">
        <v>1662</v>
      </c>
      <c r="E948" s="6" t="str">
        <f t="shared" si="14"/>
        <v>PROT:ABJ08950.1</v>
      </c>
      <c r="F948" t="s">
        <v>1639</v>
      </c>
      <c r="G948" t="s">
        <v>56</v>
      </c>
      <c r="H948" t="s">
        <v>2677</v>
      </c>
      <c r="I948" t="str">
        <f>INDEX(Genomes!$I:$I,(MATCH(AllProteins!H948,Genomes!$B:$B,0)))</f>
        <v>DQ356948-Nile_crocodilepox_virus</v>
      </c>
      <c r="J948">
        <f>INDEX(Genomes!$A:$A,(MATCH(AllProteins!H948,Genomes!$B:$B,0)))</f>
        <v>34</v>
      </c>
      <c r="K948" t="str">
        <f>INDEX(Genomes!$J:$J,(MATCH(AllProteins!H948,Genomes!$B:$B,0)))</f>
        <v>Y</v>
      </c>
    </row>
    <row r="949" spans="1:11" x14ac:dyDescent="0.2">
      <c r="A949">
        <f>INDEX(CoreProteinGroups!A:A,MATCH(B949,CoreProteinGroups!B:B,0))</f>
        <v>17</v>
      </c>
      <c r="B949" s="1" t="s">
        <v>1636</v>
      </c>
      <c r="C949" t="str">
        <f>VLOOKUP(B949,CoreProteinGroups!$B:$C,2,FALSE)</f>
        <v>DNA-polymerase</v>
      </c>
      <c r="D949" t="s">
        <v>1663</v>
      </c>
      <c r="E949" s="6" t="str">
        <f t="shared" si="14"/>
        <v>PROT:AAF14922.1</v>
      </c>
      <c r="F949" t="s">
        <v>1664</v>
      </c>
      <c r="G949" t="s">
        <v>2584</v>
      </c>
      <c r="H949" t="s">
        <v>2676</v>
      </c>
      <c r="I949" t="str">
        <f>INDEX(Genomes!$I:$I,(MATCH(AllProteins!H949,Genomes!$B:$B,0)))</f>
        <v>AF170726-myxoma_virus</v>
      </c>
      <c r="J949">
        <f>INDEX(Genomes!$A:$A,(MATCH(AllProteins!H949,Genomes!$B:$B,0)))</f>
        <v>32</v>
      </c>
      <c r="K949" t="str">
        <f>INDEX(Genomes!$J:$J,(MATCH(AllProteins!H949,Genomes!$B:$B,0)))</f>
        <v>Y</v>
      </c>
    </row>
    <row r="950" spans="1:11" x14ac:dyDescent="0.2">
      <c r="A950">
        <f>INDEX(CoreProteinGroups!A:A,MATCH(B950,CoreProteinGroups!B:B,0))</f>
        <v>17</v>
      </c>
      <c r="B950" s="1" t="s">
        <v>1636</v>
      </c>
      <c r="C950" t="str">
        <f>VLOOKUP(B950,CoreProteinGroups!$B:$C,2,FALSE)</f>
        <v>DNA-polymerase</v>
      </c>
      <c r="D950" t="s">
        <v>1665</v>
      </c>
      <c r="E950" s="6" t="str">
        <f t="shared" si="14"/>
        <v>PROT:AFU77299.1</v>
      </c>
      <c r="F950" t="s">
        <v>1664</v>
      </c>
      <c r="G950" t="s">
        <v>2553</v>
      </c>
      <c r="H950" t="s">
        <v>2646</v>
      </c>
      <c r="I950" t="str">
        <f>INDEX(Genomes!$I:$I,(MATCH(AllProteins!H950,Genomes!$B:$B,0)))</f>
        <v>JX565564-myxoma_virus_isolate_BRK_897</v>
      </c>
      <c r="J950">
        <f>INDEX(Genomes!$A:$A,(MATCH(AllProteins!H950,Genomes!$B:$B,0)))</f>
        <v>33</v>
      </c>
      <c r="K950" t="str">
        <f>INDEX(Genomes!$J:$J,(MATCH(AllProteins!H950,Genomes!$B:$B,0)))</f>
        <v>N</v>
      </c>
    </row>
    <row r="951" spans="1:11" x14ac:dyDescent="0.2">
      <c r="A951">
        <f>INDEX(CoreProteinGroups!A:A,MATCH(B951,CoreProteinGroups!B:B,0))</f>
        <v>17</v>
      </c>
      <c r="B951" s="1" t="s">
        <v>1636</v>
      </c>
      <c r="C951" t="str">
        <f>VLOOKUP(B951,CoreProteinGroups!$B:$C,2,FALSE)</f>
        <v>DNA-polymerase</v>
      </c>
      <c r="D951" t="s">
        <v>1666</v>
      </c>
      <c r="E951" s="6" t="str">
        <f t="shared" si="14"/>
        <v>PROT:AAF17916.1</v>
      </c>
      <c r="F951" t="s">
        <v>1667</v>
      </c>
      <c r="G951" t="s">
        <v>62</v>
      </c>
      <c r="H951" t="s">
        <v>2685</v>
      </c>
      <c r="I951" t="str">
        <f>INDEX(Genomes!$I:$I,(MATCH(AllProteins!H951,Genomes!$B:$B,0)))</f>
        <v>AF170722-rabbit_fibroma_virus</v>
      </c>
      <c r="J951">
        <f>INDEX(Genomes!$A:$A,(MATCH(AllProteins!H951,Genomes!$B:$B,0)))</f>
        <v>43</v>
      </c>
      <c r="K951" t="str">
        <f>INDEX(Genomes!$J:$J,(MATCH(AllProteins!H951,Genomes!$B:$B,0)))</f>
        <v>Y</v>
      </c>
    </row>
    <row r="952" spans="1:11" x14ac:dyDescent="0.2">
      <c r="A952">
        <f>INDEX(CoreProteinGroups!A:A,MATCH(B952,CoreProteinGroups!B:B,0))</f>
        <v>17</v>
      </c>
      <c r="B952" s="1" t="s">
        <v>1636</v>
      </c>
      <c r="C952" t="str">
        <f>VLOOKUP(B952,CoreProteinGroups!$B:$C,2,FALSE)</f>
        <v>DNA-polymerase</v>
      </c>
      <c r="D952" t="s">
        <v>1668</v>
      </c>
      <c r="E952" s="6" t="str">
        <f t="shared" si="14"/>
        <v>PROT:AAC55167.1</v>
      </c>
      <c r="F952" t="s">
        <v>1669</v>
      </c>
      <c r="G952" t="s">
        <v>65</v>
      </c>
      <c r="H952" t="s">
        <v>2670</v>
      </c>
      <c r="I952" t="str">
        <f>INDEX(Genomes!$I:$I,(MATCH(AllProteins!H952,Genomes!$B:$B,0)))</f>
        <v>U60315-molluscum_contagiosum_virus</v>
      </c>
      <c r="J952">
        <f>INDEX(Genomes!$A:$A,(MATCH(AllProteins!H952,Genomes!$B:$B,0)))</f>
        <v>26</v>
      </c>
      <c r="K952" t="str">
        <f>INDEX(Genomes!$J:$J,(MATCH(AllProteins!H952,Genomes!$B:$B,0)))</f>
        <v>Y</v>
      </c>
    </row>
    <row r="953" spans="1:11" x14ac:dyDescent="0.2">
      <c r="A953">
        <f>INDEX(CoreProteinGroups!A:A,MATCH(B953,CoreProteinGroups!B:B,0))</f>
        <v>17</v>
      </c>
      <c r="B953" s="1" t="s">
        <v>1636</v>
      </c>
      <c r="C953" t="str">
        <f>VLOOKUP(B953,CoreProteinGroups!$B:$C,2,FALSE)</f>
        <v>DNA-polymerase</v>
      </c>
      <c r="D953" t="s">
        <v>1670</v>
      </c>
      <c r="E953" s="6" t="str">
        <f t="shared" si="14"/>
        <v>PROT:AYN64632.1</v>
      </c>
      <c r="F953" t="s">
        <v>1671</v>
      </c>
      <c r="G953" t="s">
        <v>68</v>
      </c>
      <c r="H953" t="s">
        <v>2647</v>
      </c>
      <c r="I953" t="str">
        <f>INDEX(Genomes!$I:$I,(MATCH(AllProteins!H953,Genomes!$B:$B,0)))</f>
        <v>MH816996-orthopoxvirus_abatino</v>
      </c>
      <c r="J953">
        <f>INDEX(Genomes!$A:$A,(MATCH(AllProteins!H953,Genomes!$B:$B,0)))</f>
        <v>1</v>
      </c>
      <c r="K953" t="str">
        <f>INDEX(Genomes!$J:$J,(MATCH(AllProteins!H953,Genomes!$B:$B,0)))</f>
        <v>Y</v>
      </c>
    </row>
    <row r="954" spans="1:11" x14ac:dyDescent="0.2">
      <c r="A954">
        <f>INDEX(CoreProteinGroups!A:A,MATCH(B954,CoreProteinGroups!B:B,0))</f>
        <v>17</v>
      </c>
      <c r="B954" s="1" t="s">
        <v>1636</v>
      </c>
      <c r="C954" t="str">
        <f>VLOOKUP(B954,CoreProteinGroups!$B:$C,2,FALSE)</f>
        <v>DNA-polymerase</v>
      </c>
      <c r="D954" t="s">
        <v>1672</v>
      </c>
      <c r="E954" s="6" t="str">
        <f t="shared" si="14"/>
        <v>PROT:AXN74856.1</v>
      </c>
      <c r="F954" t="s">
        <v>1639</v>
      </c>
      <c r="G954" t="s">
        <v>70</v>
      </c>
      <c r="H954" t="s">
        <v>2650</v>
      </c>
      <c r="I954" t="str">
        <f>INDEX(Genomes!$I:$I,(MATCH(AllProteins!H954,Genomes!$B:$B,0)))</f>
        <v>MH607141-Akhmeta_virus</v>
      </c>
      <c r="J954">
        <f>INDEX(Genomes!$A:$A,(MATCH(AllProteins!H954,Genomes!$B:$B,0)))</f>
        <v>4</v>
      </c>
      <c r="K954" t="str">
        <f>INDEX(Genomes!$J:$J,(MATCH(AllProteins!H954,Genomes!$B:$B,0)))</f>
        <v>Y</v>
      </c>
    </row>
    <row r="955" spans="1:11" x14ac:dyDescent="0.2">
      <c r="A955">
        <f>INDEX(CoreProteinGroups!A:A,MATCH(B955,CoreProteinGroups!B:B,0))</f>
        <v>17</v>
      </c>
      <c r="B955" s="1" t="s">
        <v>1636</v>
      </c>
      <c r="C955" t="str">
        <f>VLOOKUP(B955,CoreProteinGroups!$B:$C,2,FALSE)</f>
        <v>DNA-polymerase</v>
      </c>
      <c r="D955" t="s">
        <v>1673</v>
      </c>
      <c r="E955" s="6" t="str">
        <f t="shared" si="14"/>
        <v>PROT:ABH08169.1</v>
      </c>
      <c r="F955" t="s">
        <v>1674</v>
      </c>
      <c r="G955" t="s">
        <v>73</v>
      </c>
      <c r="H955" t="s">
        <v>2668</v>
      </c>
      <c r="I955" t="str">
        <f>INDEX(Genomes!$I:$I,(MATCH(AllProteins!H955,Genomes!$B:$B,0)))</f>
        <v>DQ792504-horsepox_virus</v>
      </c>
      <c r="J955">
        <f>INDEX(Genomes!$A:$A,(MATCH(AllProteins!H955,Genomes!$B:$B,0)))</f>
        <v>24</v>
      </c>
      <c r="K955" t="str">
        <f>INDEX(Genomes!$J:$J,(MATCH(AllProteins!H955,Genomes!$B:$B,0)))</f>
        <v>Y</v>
      </c>
    </row>
    <row r="956" spans="1:11" x14ac:dyDescent="0.2">
      <c r="A956">
        <f>INDEX(CoreProteinGroups!A:A,MATCH(B956,CoreProteinGroups!B:B,0))</f>
        <v>17</v>
      </c>
      <c r="B956" s="1" t="s">
        <v>1636</v>
      </c>
      <c r="C956" t="str">
        <f>VLOOKUP(B956,CoreProteinGroups!$B:$C,2,FALSE)</f>
        <v>DNA-polymerase</v>
      </c>
      <c r="D956" t="s">
        <v>1675</v>
      </c>
      <c r="E956" s="6" t="str">
        <f t="shared" si="14"/>
        <v>PROT:AAG37526.1</v>
      </c>
      <c r="F956" t="s">
        <v>1676</v>
      </c>
      <c r="G956" t="s">
        <v>76</v>
      </c>
      <c r="H956" t="s">
        <v>2655</v>
      </c>
      <c r="I956" t="str">
        <f>INDEX(Genomes!$I:$I,(MATCH(AllProteins!H956,Genomes!$B:$B,0)))</f>
        <v>AY009089-camelpox_virus_CMS</v>
      </c>
      <c r="J956">
        <f>INDEX(Genomes!$A:$A,(MATCH(AllProteins!H956,Genomes!$B:$B,0)))</f>
        <v>9</v>
      </c>
      <c r="K956" t="str">
        <f>INDEX(Genomes!$J:$J,(MATCH(AllProteins!H956,Genomes!$B:$B,0)))</f>
        <v>N</v>
      </c>
    </row>
    <row r="957" spans="1:11" x14ac:dyDescent="0.2">
      <c r="A957">
        <f>INDEX(CoreProteinGroups!A:A,MATCH(B957,CoreProteinGroups!B:B,0))</f>
        <v>17</v>
      </c>
      <c r="B957" s="1" t="s">
        <v>1636</v>
      </c>
      <c r="C957" t="str">
        <f>VLOOKUP(B957,CoreProteinGroups!$B:$C,2,FALSE)</f>
        <v>DNA-polymerase</v>
      </c>
      <c r="D957" t="s">
        <v>1677</v>
      </c>
      <c r="E957" s="6" t="str">
        <f t="shared" si="14"/>
        <v>PROT:AAL73768.1</v>
      </c>
      <c r="F957" t="s">
        <v>1639</v>
      </c>
      <c r="G957" t="s">
        <v>79</v>
      </c>
      <c r="H957" t="s">
        <v>2654</v>
      </c>
      <c r="I957" t="str">
        <f>INDEX(Genomes!$I:$I,(MATCH(AllProteins!H957,Genomes!$B:$B,0)))</f>
        <v>AF438165-camelpox_virus</v>
      </c>
      <c r="J957">
        <f>INDEX(Genomes!$A:$A,(MATCH(AllProteins!H957,Genomes!$B:$B,0)))</f>
        <v>8</v>
      </c>
      <c r="K957" t="str">
        <f>INDEX(Genomes!$J:$J,(MATCH(AllProteins!H957,Genomes!$B:$B,0)))</f>
        <v>Y</v>
      </c>
    </row>
    <row r="958" spans="1:11" x14ac:dyDescent="0.2">
      <c r="A958">
        <f>INDEX(CoreProteinGroups!A:A,MATCH(B958,CoreProteinGroups!B:B,0))</f>
        <v>17</v>
      </c>
      <c r="B958" s="1" t="s">
        <v>1636</v>
      </c>
      <c r="C958" t="str">
        <f>VLOOKUP(B958,CoreProteinGroups!$B:$C,2,FALSE)</f>
        <v>DNA-polymerase</v>
      </c>
      <c r="D958" t="s">
        <v>1678</v>
      </c>
      <c r="E958" s="6" t="str">
        <f t="shared" si="14"/>
        <v>PROT:AAM13520.1</v>
      </c>
      <c r="F958" t="s">
        <v>1679</v>
      </c>
      <c r="G958" t="s">
        <v>82</v>
      </c>
      <c r="H958" t="s">
        <v>2659</v>
      </c>
      <c r="I958" t="str">
        <f>INDEX(Genomes!$I:$I,(MATCH(AllProteins!H958,Genomes!$B:$B,0)))</f>
        <v>AF482758-cowpox_virus</v>
      </c>
      <c r="J958">
        <f>INDEX(Genomes!$A:$A,(MATCH(AllProteins!H958,Genomes!$B:$B,0)))</f>
        <v>13</v>
      </c>
      <c r="K958" t="str">
        <f>INDEX(Genomes!$J:$J,(MATCH(AllProteins!H958,Genomes!$B:$B,0)))</f>
        <v>Y</v>
      </c>
    </row>
    <row r="959" spans="1:11" x14ac:dyDescent="0.2">
      <c r="A959">
        <f>INDEX(CoreProteinGroups!A:A,MATCH(B959,CoreProteinGroups!B:B,0))</f>
        <v>17</v>
      </c>
      <c r="B959" s="1" t="s">
        <v>1636</v>
      </c>
      <c r="C959" t="str">
        <f>VLOOKUP(B959,CoreProteinGroups!$B:$C,2,FALSE)</f>
        <v>DNA-polymerase</v>
      </c>
      <c r="D959" t="s">
        <v>1680</v>
      </c>
      <c r="E959" s="6" t="str">
        <f t="shared" si="14"/>
        <v>PROT:AAM92353.1</v>
      </c>
      <c r="F959" t="s">
        <v>1681</v>
      </c>
      <c r="G959" t="s">
        <v>85</v>
      </c>
      <c r="H959" t="s">
        <v>2662</v>
      </c>
      <c r="I959" t="str">
        <f>INDEX(Genomes!$I:$I,(MATCH(AllProteins!H959,Genomes!$B:$B,0)))</f>
        <v>AF012825-ectromelia_virus</v>
      </c>
      <c r="J959">
        <f>INDEX(Genomes!$A:$A,(MATCH(AllProteins!H959,Genomes!$B:$B,0)))</f>
        <v>16</v>
      </c>
      <c r="K959" t="str">
        <f>INDEX(Genomes!$J:$J,(MATCH(AllProteins!H959,Genomes!$B:$B,0)))</f>
        <v>Y</v>
      </c>
    </row>
    <row r="960" spans="1:11" x14ac:dyDescent="0.2">
      <c r="A960">
        <f>INDEX(CoreProteinGroups!A:A,MATCH(B960,CoreProteinGroups!B:B,0))</f>
        <v>17</v>
      </c>
      <c r="B960" s="1" t="s">
        <v>1636</v>
      </c>
      <c r="C960" t="str">
        <f>VLOOKUP(B960,CoreProteinGroups!$B:$C,2,FALSE)</f>
        <v>DNA-polymerase</v>
      </c>
      <c r="D960" t="s">
        <v>1682</v>
      </c>
      <c r="E960" s="6" t="str">
        <f t="shared" si="14"/>
        <v>PROT:AFH54611.1</v>
      </c>
      <c r="F960" t="s">
        <v>1639</v>
      </c>
      <c r="G960" t="s">
        <v>87</v>
      </c>
      <c r="H960" t="s">
        <v>2619</v>
      </c>
      <c r="I960" t="str">
        <f>INDEX(Genomes!$I:$I,(MATCH(AllProteins!H960,Genomes!$B:$B,0)))</f>
        <v>JQ410350-ectromelia_virus_strain_ERPV</v>
      </c>
      <c r="J960">
        <f>INDEX(Genomes!$A:$A,(MATCH(AllProteins!H960,Genomes!$B:$B,0)))</f>
        <v>17</v>
      </c>
      <c r="K960" t="str">
        <f>INDEX(Genomes!$J:$J,(MATCH(AllProteins!H960,Genomes!$B:$B,0)))</f>
        <v>N</v>
      </c>
    </row>
    <row r="961" spans="1:11" x14ac:dyDescent="0.2">
      <c r="A961">
        <f>INDEX(CoreProteinGroups!A:A,MATCH(B961,CoreProteinGroups!B:B,0))</f>
        <v>17</v>
      </c>
      <c r="B961" s="1" t="s">
        <v>1636</v>
      </c>
      <c r="C961" t="str">
        <f>VLOOKUP(B961,CoreProteinGroups!$B:$C,2,FALSE)</f>
        <v>DNA-polymerase</v>
      </c>
      <c r="D961" t="s">
        <v>1683</v>
      </c>
      <c r="E961" s="6" t="str">
        <f t="shared" si="14"/>
        <v>PROT:AAL40515.1</v>
      </c>
      <c r="F961" t="s">
        <v>1684</v>
      </c>
      <c r="G961" t="s">
        <v>90</v>
      </c>
      <c r="H961" t="s">
        <v>2673</v>
      </c>
      <c r="I961" t="str">
        <f>INDEX(Genomes!$I:$I,(MATCH(AllProteins!H961,Genomes!$B:$B,0)))</f>
        <v>AF380138-monkeypox_virus_(clade_I)</v>
      </c>
      <c r="J961">
        <f>INDEX(Genomes!$A:$A,(MATCH(AllProteins!H961,Genomes!$B:$B,0)))</f>
        <v>29</v>
      </c>
      <c r="K961" t="str">
        <f>INDEX(Genomes!$J:$J,(MATCH(AllProteins!H961,Genomes!$B:$B,0)))</f>
        <v>Y</v>
      </c>
    </row>
    <row r="962" spans="1:11" x14ac:dyDescent="0.2">
      <c r="A962">
        <f>INDEX(CoreProteinGroups!A:A,MATCH(B962,CoreProteinGroups!B:B,0))</f>
        <v>17</v>
      </c>
      <c r="B962" s="1" t="s">
        <v>1636</v>
      </c>
      <c r="C962" t="str">
        <f>VLOOKUP(B962,CoreProteinGroups!$B:$C,2,FALSE)</f>
        <v>DNA-polymerase</v>
      </c>
      <c r="D962" t="s">
        <v>1685</v>
      </c>
      <c r="E962" s="6" t="str">
        <f t="shared" ref="E962:E1025" si="15">HYPERLINK(_xlfn.CONCAT("https://www.ncbi.nlm.nih.gov/protein/",D962),_xlfn.CONCAT("PROT:",D962))</f>
        <v>PROT:AAX09152.1</v>
      </c>
      <c r="F962" t="s">
        <v>1686</v>
      </c>
      <c r="G962" t="s">
        <v>93</v>
      </c>
      <c r="H962" t="s">
        <v>2672</v>
      </c>
      <c r="I962" t="str">
        <f>INDEX(Genomes!$I:$I,(MATCH(AllProteins!H962,Genomes!$B:$B,0)))</f>
        <v>AY753185-monkeypox_virus_(clade_IIa)</v>
      </c>
      <c r="J962">
        <f>INDEX(Genomes!$A:$A,(MATCH(AllProteins!H962,Genomes!$B:$B,0)))</f>
        <v>28</v>
      </c>
      <c r="K962" t="str">
        <f>INDEX(Genomes!$J:$J,(MATCH(AllProteins!H962,Genomes!$B:$B,0)))</f>
        <v>Y</v>
      </c>
    </row>
    <row r="963" spans="1:11" x14ac:dyDescent="0.2">
      <c r="A963">
        <f>INDEX(CoreProteinGroups!A:A,MATCH(B963,CoreProteinGroups!B:B,0))</f>
        <v>17</v>
      </c>
      <c r="B963" s="1" t="s">
        <v>1636</v>
      </c>
      <c r="C963" t="str">
        <f>VLOOKUP(B963,CoreProteinGroups!$B:$C,2,FALSE)</f>
        <v>DNA-polymerase</v>
      </c>
      <c r="D963" t="s">
        <v>1687</v>
      </c>
      <c r="E963" s="6" t="str">
        <f t="shared" si="15"/>
        <v>PROT:AKJ93693.1</v>
      </c>
      <c r="F963" t="s">
        <v>1639</v>
      </c>
      <c r="G963" t="s">
        <v>95</v>
      </c>
      <c r="H963" t="s">
        <v>2683</v>
      </c>
      <c r="I963" t="str">
        <f>INDEX(Genomes!$I:$I,(MATCH(AllProteins!H963,Genomes!$B:$B,0)))</f>
        <v>KP143769-raccoonpox_virus</v>
      </c>
      <c r="J963">
        <f>INDEX(Genomes!$A:$A,(MATCH(AllProteins!H963,Genomes!$B:$B,0)))</f>
        <v>41</v>
      </c>
      <c r="K963" t="str">
        <f>INDEX(Genomes!$J:$J,(MATCH(AllProteins!H963,Genomes!$B:$B,0)))</f>
        <v>Y</v>
      </c>
    </row>
    <row r="964" spans="1:11" x14ac:dyDescent="0.2">
      <c r="A964">
        <f>INDEX(CoreProteinGroups!A:A,MATCH(B964,CoreProteinGroups!B:B,0))</f>
        <v>17</v>
      </c>
      <c r="B964" s="1" t="s">
        <v>1636</v>
      </c>
      <c r="C964" t="str">
        <f>VLOOKUP(B964,CoreProteinGroups!$B:$C,2,FALSE)</f>
        <v>DNA-polymerase</v>
      </c>
      <c r="D964" t="s">
        <v>1688</v>
      </c>
      <c r="E964" s="6" t="str">
        <f t="shared" si="15"/>
        <v>PROT:AOP31542.1</v>
      </c>
      <c r="F964" t="s">
        <v>1639</v>
      </c>
      <c r="G964" t="s">
        <v>97</v>
      </c>
      <c r="H964" t="s">
        <v>2686</v>
      </c>
      <c r="I964" t="str">
        <f>INDEX(Genomes!$I:$I,(MATCH(AllProteins!H964,Genomes!$B:$B,0)))</f>
        <v>KU749310-skunkpox_virus</v>
      </c>
      <c r="J964">
        <f>INDEX(Genomes!$A:$A,(MATCH(AllProteins!H964,Genomes!$B:$B,0)))</f>
        <v>45</v>
      </c>
      <c r="K964" t="str">
        <f>INDEX(Genomes!$J:$J,(MATCH(AllProteins!H964,Genomes!$B:$B,0)))</f>
        <v>Y</v>
      </c>
    </row>
    <row r="965" spans="1:11" x14ac:dyDescent="0.2">
      <c r="A965">
        <f>INDEX(CoreProteinGroups!A:A,MATCH(B965,CoreProteinGroups!B:B,0))</f>
        <v>17</v>
      </c>
      <c r="B965" s="1" t="s">
        <v>1636</v>
      </c>
      <c r="C965" t="str">
        <f>VLOOKUP(B965,CoreProteinGroups!$B:$C,2,FALSE)</f>
        <v>DNA-polymerase</v>
      </c>
      <c r="D965" t="s">
        <v>1689</v>
      </c>
      <c r="E965" s="6" t="str">
        <f t="shared" si="15"/>
        <v>PROT:ABD97632.1</v>
      </c>
      <c r="F965" t="s">
        <v>1639</v>
      </c>
      <c r="G965" t="s">
        <v>99</v>
      </c>
      <c r="H965" t="s">
        <v>2691</v>
      </c>
      <c r="I965" t="str">
        <f>INDEX(Genomes!$I:$I,(MATCH(AllProteins!H965,Genomes!$B:$B,0)))</f>
        <v>DQ437594-taterapox_virus</v>
      </c>
      <c r="J965">
        <f>INDEX(Genomes!$A:$A,(MATCH(AllProteins!H965,Genomes!$B:$B,0)))</f>
        <v>50</v>
      </c>
      <c r="K965" t="str">
        <f>INDEX(Genomes!$J:$J,(MATCH(AllProteins!H965,Genomes!$B:$B,0)))</f>
        <v>Y</v>
      </c>
    </row>
    <row r="966" spans="1:11" x14ac:dyDescent="0.2">
      <c r="A966">
        <f>INDEX(CoreProteinGroups!A:A,MATCH(B966,CoreProteinGroups!B:B,0))</f>
        <v>17</v>
      </c>
      <c r="B966" s="1" t="s">
        <v>1636</v>
      </c>
      <c r="C966" t="str">
        <f>VLOOKUP(B966,CoreProteinGroups!$B:$C,2,FALSE)</f>
        <v>DNA-polymerase</v>
      </c>
      <c r="D966" t="s">
        <v>1690</v>
      </c>
      <c r="E966" s="6" t="str">
        <f t="shared" si="15"/>
        <v>PROT:AAO89344.1</v>
      </c>
      <c r="F966" t="s">
        <v>1639</v>
      </c>
      <c r="G966" t="s">
        <v>101</v>
      </c>
      <c r="H966" t="s">
        <v>2693</v>
      </c>
      <c r="I966" t="str">
        <f>INDEX(Genomes!$I:$I,(MATCH(AllProteins!H966,Genomes!$B:$B,0)))</f>
        <v>AY243312-vaccinia_virus</v>
      </c>
      <c r="J966">
        <f>INDEX(Genomes!$A:$A,(MATCH(AllProteins!H966,Genomes!$B:$B,0)))</f>
        <v>52</v>
      </c>
      <c r="K966" t="str">
        <f>INDEX(Genomes!$J:$J,(MATCH(AllProteins!H966,Genomes!$B:$B,0)))</f>
        <v>Y</v>
      </c>
    </row>
    <row r="967" spans="1:11" x14ac:dyDescent="0.2">
      <c r="A967">
        <f>INDEX(CoreProteinGroups!A:A,MATCH(B967,CoreProteinGroups!B:B,0))</f>
        <v>17</v>
      </c>
      <c r="B967" s="1" t="s">
        <v>1636</v>
      </c>
      <c r="C967" t="str">
        <f>VLOOKUP(B967,CoreProteinGroups!$B:$C,2,FALSE)</f>
        <v>DNA-polymerase</v>
      </c>
      <c r="D967" t="s">
        <v>1691</v>
      </c>
      <c r="E967" s="6" t="str">
        <f t="shared" si="15"/>
        <v>PROT:CAA48991.1</v>
      </c>
      <c r="F967" t="s">
        <v>1692</v>
      </c>
      <c r="G967" t="s">
        <v>2585</v>
      </c>
      <c r="H967" t="s">
        <v>2694</v>
      </c>
      <c r="I967" t="str">
        <f>INDEX(Genomes!$I:$I,(MATCH(AllProteins!H967,Genomes!$B:$B,0)))</f>
        <v>X69198-variola_major_virus</v>
      </c>
      <c r="J967">
        <f>INDEX(Genomes!$A:$A,(MATCH(AllProteins!H967,Genomes!$B:$B,0)))</f>
        <v>53</v>
      </c>
      <c r="K967" t="str">
        <f>INDEX(Genomes!$J:$J,(MATCH(AllProteins!H967,Genomes!$B:$B,0)))</f>
        <v>Y</v>
      </c>
    </row>
    <row r="968" spans="1:11" x14ac:dyDescent="0.2">
      <c r="A968">
        <f>INDEX(CoreProteinGroups!A:A,MATCH(B968,CoreProteinGroups!B:B,0))</f>
        <v>17</v>
      </c>
      <c r="B968" s="1" t="s">
        <v>1636</v>
      </c>
      <c r="C968" t="str">
        <f>VLOOKUP(B968,CoreProteinGroups!$B:$C,2,FALSE)</f>
        <v>DNA-polymerase</v>
      </c>
      <c r="D968" t="s">
        <v>1693</v>
      </c>
      <c r="E968" s="6" t="str">
        <f t="shared" si="15"/>
        <v>PROT:CAB54650.1</v>
      </c>
      <c r="F968" t="s">
        <v>1694</v>
      </c>
      <c r="G968" t="s">
        <v>106</v>
      </c>
      <c r="H968" t="s">
        <v>2695</v>
      </c>
      <c r="I968" t="str">
        <f>INDEX(Genomes!$I:$I,(MATCH(AllProteins!H968,Genomes!$B:$B,0)))</f>
        <v>Y16780-variola_minor_virus</v>
      </c>
      <c r="J968">
        <f>INDEX(Genomes!$A:$A,(MATCH(AllProteins!H968,Genomes!$B:$B,0)))</f>
        <v>54</v>
      </c>
      <c r="K968" t="str">
        <f>INDEX(Genomes!$J:$J,(MATCH(AllProteins!H968,Genomes!$B:$B,0)))</f>
        <v>Y</v>
      </c>
    </row>
    <row r="969" spans="1:11" x14ac:dyDescent="0.2">
      <c r="A969">
        <f>INDEX(CoreProteinGroups!A:A,MATCH(B969,CoreProteinGroups!B:B,0))</f>
        <v>17</v>
      </c>
      <c r="B969" s="1" t="s">
        <v>1636</v>
      </c>
      <c r="C969" t="str">
        <f>VLOOKUP(B969,CoreProteinGroups!$B:$C,2,FALSE)</f>
        <v>DNA-polymerase</v>
      </c>
      <c r="D969" t="s">
        <v>1695</v>
      </c>
      <c r="E969" s="6" t="str">
        <f t="shared" si="15"/>
        <v>PROT:AOP31753.1</v>
      </c>
      <c r="F969" t="s">
        <v>1639</v>
      </c>
      <c r="G969" t="s">
        <v>108</v>
      </c>
      <c r="H969" t="s">
        <v>2696</v>
      </c>
      <c r="I969" t="str">
        <f>INDEX(Genomes!$I:$I,(MATCH(AllProteins!H969,Genomes!$B:$B,0)))</f>
        <v>KU749311-volepox_virus</v>
      </c>
      <c r="J969">
        <f>INDEX(Genomes!$A:$A,(MATCH(AllProteins!H969,Genomes!$B:$B,0)))</f>
        <v>55</v>
      </c>
      <c r="K969" t="str">
        <f>INDEX(Genomes!$J:$J,(MATCH(AllProteins!H969,Genomes!$B:$B,0)))</f>
        <v>Y</v>
      </c>
    </row>
    <row r="970" spans="1:11" x14ac:dyDescent="0.2">
      <c r="A970">
        <f>INDEX(CoreProteinGroups!A:A,MATCH(B970,CoreProteinGroups!B:B,0))</f>
        <v>17</v>
      </c>
      <c r="B970" s="1" t="s">
        <v>1636</v>
      </c>
      <c r="C970" t="str">
        <f>VLOOKUP(B970,CoreProteinGroups!$B:$C,2,FALSE)</f>
        <v>DNA-polymerase</v>
      </c>
      <c r="D970" t="s">
        <v>1696</v>
      </c>
      <c r="E970" s="6" t="str">
        <f t="shared" si="15"/>
        <v>PROT:ASC55610.1</v>
      </c>
      <c r="F970" t="s">
        <v>1697</v>
      </c>
      <c r="G970" t="s">
        <v>111</v>
      </c>
      <c r="H970" t="s">
        <v>2667</v>
      </c>
      <c r="I970" t="str">
        <f>INDEX(Genomes!$I:$I,(MATCH(AllProteins!H970,Genomes!$B:$B,0)))</f>
        <v>KY382358-seal_parapoxvirus</v>
      </c>
      <c r="J970">
        <f>INDEX(Genomes!$A:$A,(MATCH(AllProteins!H970,Genomes!$B:$B,0)))</f>
        <v>22</v>
      </c>
      <c r="K970" t="str">
        <f>INDEX(Genomes!$J:$J,(MATCH(AllProteins!H970,Genomes!$B:$B,0)))</f>
        <v>Y</v>
      </c>
    </row>
    <row r="971" spans="1:11" x14ac:dyDescent="0.2">
      <c r="A971">
        <f>INDEX(CoreProteinGroups!A:A,MATCH(B971,CoreProteinGroups!B:B,0))</f>
        <v>17</v>
      </c>
      <c r="B971" s="1" t="s">
        <v>1636</v>
      </c>
      <c r="C971" t="str">
        <f>VLOOKUP(B971,CoreProteinGroups!$B:$C,2,FALSE)</f>
        <v>DNA-polymerase</v>
      </c>
      <c r="D971" t="s">
        <v>1698</v>
      </c>
      <c r="E971" s="6" t="str">
        <f t="shared" si="15"/>
        <v>PROT:AAR98382.1</v>
      </c>
      <c r="F971" t="s">
        <v>1699</v>
      </c>
      <c r="G971" t="s">
        <v>114</v>
      </c>
      <c r="H971" t="s">
        <v>2652</v>
      </c>
      <c r="I971" t="str">
        <f>INDEX(Genomes!$I:$I,(MATCH(AllProteins!H971,Genomes!$B:$B,0)))</f>
        <v>AY386265-bovine_papular_stomatitis_virus</v>
      </c>
      <c r="J971">
        <f>INDEX(Genomes!$A:$A,(MATCH(AllProteins!H971,Genomes!$B:$B,0)))</f>
        <v>6</v>
      </c>
      <c r="K971" t="str">
        <f>INDEX(Genomes!$J:$J,(MATCH(AllProteins!H971,Genomes!$B:$B,0)))</f>
        <v>Y</v>
      </c>
    </row>
    <row r="972" spans="1:11" x14ac:dyDescent="0.2">
      <c r="A972">
        <f>INDEX(CoreProteinGroups!A:A,MATCH(B972,CoreProteinGroups!B:B,0))</f>
        <v>17</v>
      </c>
      <c r="B972" s="1" t="s">
        <v>1636</v>
      </c>
      <c r="C972" t="str">
        <f>VLOOKUP(B972,CoreProteinGroups!$B:$C,2,FALSE)</f>
        <v>DNA-polymerase</v>
      </c>
      <c r="D972" t="s">
        <v>1700</v>
      </c>
      <c r="E972" s="6" t="str">
        <f t="shared" si="15"/>
        <v>PROT:AAR98250.1</v>
      </c>
      <c r="F972" t="s">
        <v>1699</v>
      </c>
      <c r="G972" t="s">
        <v>2702</v>
      </c>
      <c r="H972" t="s">
        <v>2678</v>
      </c>
      <c r="I972" t="str">
        <f>INDEX(Genomes!$I:$I,(MATCH(AllProteins!H972,Genomes!$B:$B,0)))</f>
        <v>AY386264-orf_virus</v>
      </c>
      <c r="J972">
        <f>INDEX(Genomes!$A:$A,(MATCH(AllProteins!H972,Genomes!$B:$B,0)))</f>
        <v>35</v>
      </c>
      <c r="K972" t="str">
        <f>INDEX(Genomes!$J:$J,(MATCH(AllProteins!H972,Genomes!$B:$B,0)))</f>
        <v>Y</v>
      </c>
    </row>
    <row r="973" spans="1:11" x14ac:dyDescent="0.2">
      <c r="A973">
        <f>INDEX(CoreProteinGroups!A:A,MATCH(B973,CoreProteinGroups!B:B,0))</f>
        <v>17</v>
      </c>
      <c r="B973" s="1" t="s">
        <v>1636</v>
      </c>
      <c r="C973" t="str">
        <f>VLOOKUP(B973,CoreProteinGroups!$B:$C,2,FALSE)</f>
        <v>DNA-polymerase</v>
      </c>
      <c r="D973" t="s">
        <v>1701</v>
      </c>
      <c r="E973" s="6" t="str">
        <f t="shared" si="15"/>
        <v>PROT:ABA00542.1</v>
      </c>
      <c r="F973" t="s">
        <v>1639</v>
      </c>
      <c r="G973" t="s">
        <v>2555</v>
      </c>
      <c r="H973" t="s">
        <v>2645</v>
      </c>
      <c r="I973" t="str">
        <f>INDEX(Genomes!$I:$I,(MATCH(AllProteins!H973,Genomes!$B:$B,0)))</f>
        <v>DQ184476-orf_virus_strain_NZ2</v>
      </c>
      <c r="J973">
        <f>INDEX(Genomes!$A:$A,(MATCH(AllProteins!H973,Genomes!$B:$B,0)))</f>
        <v>36</v>
      </c>
      <c r="K973" t="str">
        <f>INDEX(Genomes!$J:$J,(MATCH(AllProteins!H973,Genomes!$B:$B,0)))</f>
        <v>N</v>
      </c>
    </row>
    <row r="974" spans="1:11" x14ac:dyDescent="0.2">
      <c r="A974">
        <f>INDEX(CoreProteinGroups!A:A,MATCH(B974,CoreProteinGroups!B:B,0))</f>
        <v>17</v>
      </c>
      <c r="B974" s="1" t="s">
        <v>1636</v>
      </c>
      <c r="C974" t="str">
        <f>VLOOKUP(B974,CoreProteinGroups!$B:$C,2,FALSE)</f>
        <v>DNA-polymerase</v>
      </c>
      <c r="D974" t="s">
        <v>1702</v>
      </c>
      <c r="E974" s="6" t="str">
        <f t="shared" si="15"/>
        <v>PROT:AIZ77276.1</v>
      </c>
      <c r="F974" t="s">
        <v>1703</v>
      </c>
      <c r="G974" t="s">
        <v>119</v>
      </c>
      <c r="H974" t="s">
        <v>2684</v>
      </c>
      <c r="I974" t="str">
        <f>INDEX(Genomes!$I:$I,(MATCH(AllProteins!H974,Genomes!$B:$B,0)))</f>
        <v>KM502564-parapoxvirus_red_deer</v>
      </c>
      <c r="J974">
        <f>INDEX(Genomes!$A:$A,(MATCH(AllProteins!H974,Genomes!$B:$B,0)))</f>
        <v>42</v>
      </c>
      <c r="K974" t="str">
        <f>INDEX(Genomes!$J:$J,(MATCH(AllProteins!H974,Genomes!$B:$B,0)))</f>
        <v>Y</v>
      </c>
    </row>
    <row r="975" spans="1:11" x14ac:dyDescent="0.2">
      <c r="A975">
        <f>INDEX(CoreProteinGroups!A:A,MATCH(B975,CoreProteinGroups!B:B,0))</f>
        <v>17</v>
      </c>
      <c r="B975" s="1" t="s">
        <v>1636</v>
      </c>
      <c r="C975" t="str">
        <f>VLOOKUP(B975,CoreProteinGroups!$B:$C,2,FALSE)</f>
        <v>DNA-polymerase</v>
      </c>
      <c r="D975" t="s">
        <v>1704</v>
      </c>
      <c r="E975" s="6" t="str">
        <f t="shared" si="15"/>
        <v>PROT:ADC53926.1</v>
      </c>
      <c r="F975" t="s">
        <v>1637</v>
      </c>
      <c r="G975" t="s">
        <v>121</v>
      </c>
      <c r="H975" t="s">
        <v>2679</v>
      </c>
      <c r="I975" t="str">
        <f>INDEX(Genomes!$I:$I,(MATCH(AllProteins!H975,Genomes!$B:$B,0)))</f>
        <v>GQ329670-pseudocowpox_virus</v>
      </c>
      <c r="J975">
        <f>INDEX(Genomes!$A:$A,(MATCH(AllProteins!H975,Genomes!$B:$B,0)))</f>
        <v>37</v>
      </c>
      <c r="K975" t="str">
        <f>INDEX(Genomes!$J:$J,(MATCH(AllProteins!H975,Genomes!$B:$B,0)))</f>
        <v>Y</v>
      </c>
    </row>
    <row r="976" spans="1:11" x14ac:dyDescent="0.2">
      <c r="A976">
        <f>INDEX(CoreProteinGroups!A:A,MATCH(B976,CoreProteinGroups!B:B,0))</f>
        <v>17</v>
      </c>
      <c r="B976" s="1" t="s">
        <v>1636</v>
      </c>
      <c r="C976" t="str">
        <f>VLOOKUP(B976,CoreProteinGroups!$B:$C,2,FALSE)</f>
        <v>DNA-polymerase</v>
      </c>
      <c r="D976" t="s">
        <v>1705</v>
      </c>
      <c r="E976" s="6" t="str">
        <f t="shared" si="15"/>
        <v>PROT:AAL69775.1</v>
      </c>
      <c r="F976" t="s">
        <v>1706</v>
      </c>
      <c r="G976" t="s">
        <v>124</v>
      </c>
      <c r="H976" t="s">
        <v>2690</v>
      </c>
      <c r="I976" t="str">
        <f>INDEX(Genomes!$I:$I,(MATCH(AllProteins!H976,Genomes!$B:$B,0)))</f>
        <v>AF410153-swinepox_virus</v>
      </c>
      <c r="J976">
        <f>INDEX(Genomes!$A:$A,(MATCH(AllProteins!H976,Genomes!$B:$B,0)))</f>
        <v>49</v>
      </c>
      <c r="K976" t="str">
        <f>INDEX(Genomes!$J:$J,(MATCH(AllProteins!H976,Genomes!$B:$B,0)))</f>
        <v>Y</v>
      </c>
    </row>
    <row r="977" spans="1:11" x14ac:dyDescent="0.2">
      <c r="A977">
        <f>INDEX(CoreProteinGroups!A:A,MATCH(B977,CoreProteinGroups!B:B,0))</f>
        <v>17</v>
      </c>
      <c r="B977" s="1" t="s">
        <v>1636</v>
      </c>
      <c r="C977" t="str">
        <f>VLOOKUP(B977,CoreProteinGroups!$B:$C,2,FALSE)</f>
        <v>DNA-polymerase</v>
      </c>
      <c r="D977" t="s">
        <v>1707</v>
      </c>
      <c r="E977" s="6" t="str">
        <f t="shared" si="15"/>
        <v>PROT:CAC21277.1</v>
      </c>
      <c r="F977" t="s">
        <v>1708</v>
      </c>
      <c r="G977" t="s">
        <v>127</v>
      </c>
      <c r="H977" t="s">
        <v>2699</v>
      </c>
      <c r="I977" t="str">
        <f>INDEX(Genomes!$I:$I,(MATCH(AllProteins!H977,Genomes!$B:$B,0)))</f>
        <v>AJ293568-tanapox_virus</v>
      </c>
      <c r="J977">
        <f>INDEX(Genomes!$A:$A,(MATCH(AllProteins!H977,Genomes!$B:$B,0)))</f>
        <v>58</v>
      </c>
      <c r="K977" t="str">
        <f>INDEX(Genomes!$J:$J,(MATCH(AllProteins!H977,Genomes!$B:$B,0)))</f>
        <v>Y</v>
      </c>
    </row>
    <row r="978" spans="1:11" x14ac:dyDescent="0.2">
      <c r="A978">
        <f>INDEX(CoreProteinGroups!A:A,MATCH(B978,CoreProteinGroups!B:B,0))</f>
        <v>17</v>
      </c>
      <c r="B978" s="1" t="s">
        <v>1636</v>
      </c>
      <c r="C978" t="str">
        <f>VLOOKUP(B978,CoreProteinGroups!$B:$C,2,FALSE)</f>
        <v>DNA-polymerase</v>
      </c>
      <c r="D978" t="s">
        <v>1709</v>
      </c>
      <c r="E978" s="6" t="str">
        <f t="shared" si="15"/>
        <v>PROT:AAR07396.1</v>
      </c>
      <c r="F978" t="s">
        <v>1710</v>
      </c>
      <c r="G978" t="s">
        <v>130</v>
      </c>
      <c r="H978" t="s">
        <v>2700</v>
      </c>
      <c r="I978" t="str">
        <f>INDEX(Genomes!$I:$I,(MATCH(AllProteins!H978,Genomes!$B:$B,0)))</f>
        <v>AY386371-Yaba_monkey_tumor_virus</v>
      </c>
      <c r="J978">
        <f>INDEX(Genomes!$A:$A,(MATCH(AllProteins!H978,Genomes!$B:$B,0)))</f>
        <v>59</v>
      </c>
      <c r="K978" t="str">
        <f>INDEX(Genomes!$J:$J,(MATCH(AllProteins!H978,Genomes!$B:$B,0)))</f>
        <v>Y</v>
      </c>
    </row>
    <row r="979" spans="1:11" x14ac:dyDescent="0.2">
      <c r="A979">
        <f>INDEX(CoreProteinGroups!A:A,MATCH(B979,CoreProteinGroups!B:B,0))</f>
        <v>17</v>
      </c>
      <c r="B979" s="1" t="s">
        <v>1636</v>
      </c>
      <c r="C979" t="str">
        <f>VLOOKUP(B979,CoreProteinGroups!$B:$C,2,FALSE)</f>
        <v>DNA-polymerase</v>
      </c>
      <c r="D979" t="s">
        <v>1711</v>
      </c>
      <c r="E979" s="6" t="str">
        <f t="shared" si="15"/>
        <v>PROT:AAC97837.1</v>
      </c>
      <c r="F979" t="s">
        <v>1712</v>
      </c>
      <c r="G979" t="s">
        <v>133</v>
      </c>
      <c r="H979" t="s">
        <v>2674</v>
      </c>
      <c r="I979" t="str">
        <f>INDEX(Genomes!$I:$I,(MATCH(AllProteins!H979,Genomes!$B:$B,0)))</f>
        <v>AF063866-Melanoplus_sanguinipes_entomopoxvirus</v>
      </c>
      <c r="J979">
        <f>INDEX(Genomes!$A:$A,(MATCH(AllProteins!H979,Genomes!$B:$B,0)))</f>
        <v>30</v>
      </c>
      <c r="K979" t="str">
        <f>INDEX(Genomes!$J:$J,(MATCH(AllProteins!H979,Genomes!$B:$B,0)))</f>
        <v>Y</v>
      </c>
    </row>
    <row r="980" spans="1:11" x14ac:dyDescent="0.2">
      <c r="A980">
        <f>INDEX(CoreProteinGroups!A:A,MATCH(B980,CoreProteinGroups!B:B,0))</f>
        <v>17</v>
      </c>
      <c r="B980" s="1" t="s">
        <v>1636</v>
      </c>
      <c r="C980" t="str">
        <f>VLOOKUP(B980,CoreProteinGroups!$B:$C,2,FALSE)</f>
        <v>DNA-polymerase</v>
      </c>
      <c r="D980" t="s">
        <v>1713</v>
      </c>
      <c r="E980" s="6" t="str">
        <f t="shared" si="15"/>
        <v>PROT:BAO49586.1</v>
      </c>
      <c r="F980" t="s">
        <v>1639</v>
      </c>
      <c r="G980" t="s">
        <v>136</v>
      </c>
      <c r="H980" t="s">
        <v>2648</v>
      </c>
      <c r="I980" t="str">
        <f>INDEX(Genomes!$I:$I,(MATCH(AllProteins!H980,Genomes!$B:$B,0)))</f>
        <v>AP013055-Anomala_cuprea_entomopoxvirus</v>
      </c>
      <c r="J980">
        <f>INDEX(Genomes!$A:$A,(MATCH(AllProteins!H980,Genomes!$B:$B,0)))</f>
        <v>2</v>
      </c>
      <c r="K980" t="str">
        <f>INDEX(Genomes!$J:$J,(MATCH(AllProteins!H980,Genomes!$B:$B,0)))</f>
        <v>Y</v>
      </c>
    </row>
    <row r="981" spans="1:11" x14ac:dyDescent="0.2">
      <c r="A981">
        <f>INDEX(CoreProteinGroups!A:A,MATCH(B981,CoreProteinGroups!B:B,0))</f>
        <v>17</v>
      </c>
      <c r="B981" s="1" t="s">
        <v>1636</v>
      </c>
      <c r="C981" t="str">
        <f>VLOOKUP(B981,CoreProteinGroups!$B:$C,2,FALSE)</f>
        <v>DNA-polymerase</v>
      </c>
      <c r="D981" t="s">
        <v>1714</v>
      </c>
      <c r="E981" s="6" t="str">
        <f t="shared" si="15"/>
        <v>PROT:CCU55370.1</v>
      </c>
      <c r="F981" t="s">
        <v>1639</v>
      </c>
      <c r="G981" t="s">
        <v>138</v>
      </c>
      <c r="H981" t="s">
        <v>2649</v>
      </c>
      <c r="I981" t="str">
        <f>INDEX(Genomes!$I:$I,(MATCH(AllProteins!H981,Genomes!$B:$B,0)))</f>
        <v>HF679131-Adoxophyes_honmai_entomopoxvirus</v>
      </c>
      <c r="J981">
        <f>INDEX(Genomes!$A:$A,(MATCH(AllProteins!H981,Genomes!$B:$B,0)))</f>
        <v>3</v>
      </c>
      <c r="K981" t="str">
        <f>INDEX(Genomes!$J:$J,(MATCH(AllProteins!H981,Genomes!$B:$B,0)))</f>
        <v>Y</v>
      </c>
    </row>
    <row r="982" spans="1:11" x14ac:dyDescent="0.2">
      <c r="A982">
        <f>INDEX(CoreProteinGroups!A:A,MATCH(B982,CoreProteinGroups!B:B,0))</f>
        <v>17</v>
      </c>
      <c r="B982" s="1" t="s">
        <v>1636</v>
      </c>
      <c r="C982" t="str">
        <f>VLOOKUP(B982,CoreProteinGroups!$B:$C,2,FALSE)</f>
        <v>DNA-polymerase</v>
      </c>
      <c r="D982" t="s">
        <v>1715</v>
      </c>
      <c r="E982" s="6" t="str">
        <f t="shared" si="15"/>
        <v>PROT:AAG02756.1</v>
      </c>
      <c r="F982" t="s">
        <v>1716</v>
      </c>
      <c r="G982" t="s">
        <v>141</v>
      </c>
      <c r="H982" t="s">
        <v>2651</v>
      </c>
      <c r="I982" t="str">
        <f>INDEX(Genomes!$I:$I,(MATCH(AllProteins!H982,Genomes!$B:$B,0)))</f>
        <v>AF250284-Amsacta_moorei_entomopoxvirus</v>
      </c>
      <c r="J982">
        <f>INDEX(Genomes!$A:$A,(MATCH(AllProteins!H982,Genomes!$B:$B,0)))</f>
        <v>5</v>
      </c>
      <c r="K982" t="str">
        <f>INDEX(Genomes!$J:$J,(MATCH(AllProteins!H982,Genomes!$B:$B,0)))</f>
        <v>Y</v>
      </c>
    </row>
    <row r="983" spans="1:11" x14ac:dyDescent="0.2">
      <c r="A983">
        <f>INDEX(CoreProteinGroups!A:A,MATCH(B983,CoreProteinGroups!B:B,0))</f>
        <v>17</v>
      </c>
      <c r="B983" s="1" t="s">
        <v>1636</v>
      </c>
      <c r="C983" t="str">
        <f>VLOOKUP(B983,CoreProteinGroups!$B:$C,2,FALSE)</f>
        <v>DNA-polymerase</v>
      </c>
      <c r="D983" t="s">
        <v>1717</v>
      </c>
      <c r="E983" s="6" t="str">
        <f t="shared" si="15"/>
        <v>PROT:CCU55637.1</v>
      </c>
      <c r="F983" t="s">
        <v>1639</v>
      </c>
      <c r="G983" t="s">
        <v>143</v>
      </c>
      <c r="H983" t="s">
        <v>2656</v>
      </c>
      <c r="I983" t="str">
        <f>INDEX(Genomes!$I:$I,(MATCH(AllProteins!H983,Genomes!$B:$B,0)))</f>
        <v>HF679132-Choristoneura_biennis_entomopoxvirus</v>
      </c>
      <c r="J983">
        <f>INDEX(Genomes!$A:$A,(MATCH(AllProteins!H983,Genomes!$B:$B,0)))</f>
        <v>10</v>
      </c>
      <c r="K983" t="str">
        <f>INDEX(Genomes!$J:$J,(MATCH(AllProteins!H983,Genomes!$B:$B,0)))</f>
        <v>Y</v>
      </c>
    </row>
    <row r="984" spans="1:11" x14ac:dyDescent="0.2">
      <c r="A984">
        <f>INDEX(CoreProteinGroups!A:A,MATCH(B984,CoreProteinGroups!B:B,0))</f>
        <v>17</v>
      </c>
      <c r="B984" s="1" t="s">
        <v>1636</v>
      </c>
      <c r="C984" t="str">
        <f>VLOOKUP(B984,CoreProteinGroups!$B:$C,2,FALSE)</f>
        <v>DNA-polymerase</v>
      </c>
      <c r="D984" t="s">
        <v>1718</v>
      </c>
      <c r="E984" s="6" t="str">
        <f t="shared" si="15"/>
        <v>PROT:CCU55950.1</v>
      </c>
      <c r="F984" t="s">
        <v>1639</v>
      </c>
      <c r="G984" t="s">
        <v>145</v>
      </c>
      <c r="H984" t="s">
        <v>2660</v>
      </c>
      <c r="I984" t="str">
        <f>INDEX(Genomes!$I:$I,(MATCH(AllProteins!H984,Genomes!$B:$B,0)))</f>
        <v>HF679133-Choristoneura_rosaceana_entomopoxvirus</v>
      </c>
      <c r="J984">
        <f>INDEX(Genomes!$A:$A,(MATCH(AllProteins!H984,Genomes!$B:$B,0)))</f>
        <v>14</v>
      </c>
      <c r="K984" t="str">
        <f>INDEX(Genomes!$J:$J,(MATCH(AllProteins!H984,Genomes!$B:$B,0)))</f>
        <v>Y</v>
      </c>
    </row>
    <row r="985" spans="1:11" x14ac:dyDescent="0.2">
      <c r="A985">
        <f>INDEX(CoreProteinGroups!A:A,MATCH(B985,CoreProteinGroups!B:B,0))</f>
        <v>17</v>
      </c>
      <c r="B985" s="1" t="s">
        <v>1636</v>
      </c>
      <c r="C985" t="str">
        <f>VLOOKUP(B985,CoreProteinGroups!$B:$C,2,FALSE)</f>
        <v>DNA-polymerase</v>
      </c>
      <c r="D985" t="s">
        <v>1719</v>
      </c>
      <c r="E985" s="6" t="str">
        <f t="shared" si="15"/>
        <v>PROT:CCU56273.1</v>
      </c>
      <c r="F985" t="s">
        <v>1639</v>
      </c>
      <c r="G985" t="s">
        <v>147</v>
      </c>
      <c r="H985" t="s">
        <v>2675</v>
      </c>
      <c r="I985" t="str">
        <f>INDEX(Genomes!$I:$I,(MATCH(AllProteins!H985,Genomes!$B:$B,0)))</f>
        <v>HF679134-Mythimna_separata_entomopoxvirus</v>
      </c>
      <c r="J985">
        <f>INDEX(Genomes!$A:$A,(MATCH(AllProteins!H985,Genomes!$B:$B,0)))</f>
        <v>31</v>
      </c>
      <c r="K985" t="str">
        <f>INDEX(Genomes!$J:$J,(MATCH(AllProteins!H985,Genomes!$B:$B,0)))</f>
        <v>Y</v>
      </c>
    </row>
    <row r="986" spans="1:11" x14ac:dyDescent="0.2">
      <c r="A986">
        <f>INDEX(CoreProteinGroups!A:A,MATCH(B986,CoreProteinGroups!B:B,0))</f>
        <v>17</v>
      </c>
      <c r="B986" s="1" t="s">
        <v>1636</v>
      </c>
      <c r="C986" t="str">
        <f>VLOOKUP(B986,CoreProteinGroups!$B:$C,2,FALSE)</f>
        <v>DNA-polymerase</v>
      </c>
      <c r="D986" t="s">
        <v>1720</v>
      </c>
      <c r="E986" s="6" t="str">
        <f t="shared" si="15"/>
        <v>PROT:NP_659611.1</v>
      </c>
      <c r="F986" t="s">
        <v>1639</v>
      </c>
      <c r="G986" t="s">
        <v>150</v>
      </c>
      <c r="H986" t="s">
        <v>2620</v>
      </c>
      <c r="I986" t="str">
        <f>INDEX(Genomes!$I:$I,(MATCH(AllProteins!H986,Genomes!$B:$B,0)))</f>
        <v>NC_004002-sheeppox_virus</v>
      </c>
      <c r="J986">
        <f>INDEX(Genomes!$A:$A,(MATCH(AllProteins!H986,Genomes!$B:$B,0)))</f>
        <v>44</v>
      </c>
      <c r="K986" t="str">
        <f>INDEX(Genomes!$J:$J,(MATCH(AllProteins!H986,Genomes!$B:$B,0)))</f>
        <v>Y</v>
      </c>
    </row>
    <row r="987" spans="1:11" x14ac:dyDescent="0.2">
      <c r="A987">
        <f>INDEX(CoreProteinGroups!A:A,MATCH(B987,CoreProteinGroups!B:B,0))</f>
        <v>17</v>
      </c>
      <c r="B987" s="1" t="s">
        <v>1636</v>
      </c>
      <c r="C987" t="str">
        <f>VLOOKUP(B987,CoreProteinGroups!$B:$C,2,FALSE)</f>
        <v>DNA-polymerase</v>
      </c>
      <c r="D987" t="s">
        <v>1721</v>
      </c>
      <c r="E987" s="6" t="str">
        <f t="shared" si="15"/>
        <v>PROT:YP_001293230.1</v>
      </c>
      <c r="F987" t="s">
        <v>1722</v>
      </c>
      <c r="G987" t="s">
        <v>153</v>
      </c>
      <c r="H987" t="s">
        <v>2644</v>
      </c>
      <c r="I987" t="str">
        <f>INDEX(Genomes!$I:$I,(MATCH(AllProteins!H987,Genomes!$B:$B,0)))</f>
        <v>NC_004003-goatpox_virus</v>
      </c>
      <c r="J987">
        <f>INDEX(Genomes!$A:$A,(MATCH(AllProteins!H987,Genomes!$B:$B,0)))</f>
        <v>23</v>
      </c>
      <c r="K987" t="str">
        <f>INDEX(Genomes!$J:$J,(MATCH(AllProteins!H987,Genomes!$B:$B,0)))</f>
        <v>Y</v>
      </c>
    </row>
    <row r="988" spans="1:11" x14ac:dyDescent="0.2">
      <c r="A988">
        <f>INDEX(CoreProteinGroups!A:A,MATCH(B988,CoreProteinGroups!B:B,0))</f>
        <v>18</v>
      </c>
      <c r="B988" s="1" t="s">
        <v>1723</v>
      </c>
      <c r="C988" t="str">
        <f>VLOOKUP(B988,CoreProteinGroups!$B:$C,2,FALSE)</f>
        <v>FEN1</v>
      </c>
      <c r="D988" t="s">
        <v>1725</v>
      </c>
      <c r="E988" s="6" t="str">
        <f t="shared" si="15"/>
        <v>PROT:ATI21162.1</v>
      </c>
      <c r="F988" t="s">
        <v>1726</v>
      </c>
      <c r="G988" t="s">
        <v>11</v>
      </c>
      <c r="H988" t="s">
        <v>2663</v>
      </c>
      <c r="I988" t="str">
        <f>INDEX(Genomes!$I:$I,(MATCH(AllProteins!H988,Genomes!$B:$B,0)))</f>
        <v>MF467281-Eastern_grey_kangaroopox_virus</v>
      </c>
      <c r="J988">
        <f>INDEX(Genomes!$A:$A,(MATCH(AllProteins!H988,Genomes!$B:$B,0)))</f>
        <v>18</v>
      </c>
      <c r="K988" t="str">
        <f>INDEX(Genomes!$J:$J,(MATCH(AllProteins!H988,Genomes!$B:$B,0)))</f>
        <v>Y</v>
      </c>
    </row>
    <row r="989" spans="1:11" x14ac:dyDescent="0.2">
      <c r="A989">
        <f>INDEX(CoreProteinGroups!A:A,MATCH(B989,CoreProteinGroups!B:B,0))</f>
        <v>18</v>
      </c>
      <c r="B989" s="1" t="s">
        <v>1723</v>
      </c>
      <c r="C989" t="str">
        <f>VLOOKUP(B989,CoreProteinGroups!$B:$C,2,FALSE)</f>
        <v>FEN1</v>
      </c>
      <c r="D989" t="s">
        <v>1727</v>
      </c>
      <c r="E989" s="6" t="str">
        <f t="shared" si="15"/>
        <v>PROT:AWU47099.1</v>
      </c>
      <c r="F989" t="s">
        <v>1726</v>
      </c>
      <c r="G989" t="s">
        <v>13</v>
      </c>
      <c r="H989" t="s">
        <v>2688</v>
      </c>
      <c r="I989" t="str">
        <f>INDEX(Genomes!$I:$I,(MATCH(AllProteins!H989,Genomes!$B:$B,0)))</f>
        <v>MH427217-sea_otter_poxvirus</v>
      </c>
      <c r="J989">
        <f>INDEX(Genomes!$A:$A,(MATCH(AllProteins!H989,Genomes!$B:$B,0)))</f>
        <v>47</v>
      </c>
      <c r="K989" t="str">
        <f>INDEX(Genomes!$J:$J,(MATCH(AllProteins!H989,Genomes!$B:$B,0)))</f>
        <v>Y</v>
      </c>
    </row>
    <row r="990" spans="1:11" x14ac:dyDescent="0.2">
      <c r="A990">
        <f>INDEX(CoreProteinGroups!A:A,MATCH(B990,CoreProteinGroups!B:B,0))</f>
        <v>18</v>
      </c>
      <c r="B990" s="1" t="s">
        <v>1723</v>
      </c>
      <c r="C990" t="str">
        <f>VLOOKUP(B990,CoreProteinGroups!$B:$C,2,FALSE)</f>
        <v>FEN1</v>
      </c>
      <c r="D990" t="s">
        <v>1728</v>
      </c>
      <c r="E990" s="6" t="str">
        <f t="shared" si="15"/>
        <v>PROT:APG58269.1</v>
      </c>
      <c r="F990" t="s">
        <v>1729</v>
      </c>
      <c r="G990" t="s">
        <v>16</v>
      </c>
      <c r="H990" t="s">
        <v>2653</v>
      </c>
      <c r="I990" t="str">
        <f>INDEX(Genomes!$I:$I,(MATCH(AllProteins!H990,Genomes!$B:$B,0)))</f>
        <v>KY094066-BeAn_58058_virus</v>
      </c>
      <c r="J990">
        <f>INDEX(Genomes!$A:$A,(MATCH(AllProteins!H990,Genomes!$B:$B,0)))</f>
        <v>7</v>
      </c>
      <c r="K990" t="str">
        <f>INDEX(Genomes!$J:$J,(MATCH(AllProteins!H990,Genomes!$B:$B,0)))</f>
        <v>N</v>
      </c>
    </row>
    <row r="991" spans="1:11" x14ac:dyDescent="0.2">
      <c r="A991">
        <f>INDEX(CoreProteinGroups!A:A,MATCH(B991,CoreProteinGroups!B:B,0))</f>
        <v>18</v>
      </c>
      <c r="B991" s="1" t="s">
        <v>1723</v>
      </c>
      <c r="C991" t="str">
        <f>VLOOKUP(B991,CoreProteinGroups!$B:$C,2,FALSE)</f>
        <v>FEN1</v>
      </c>
      <c r="D991" t="s">
        <v>1730</v>
      </c>
      <c r="E991" s="6" t="str">
        <f t="shared" si="15"/>
        <v>PROT:ADT91086.2</v>
      </c>
      <c r="F991" t="s">
        <v>1731</v>
      </c>
      <c r="G991" t="s">
        <v>19</v>
      </c>
      <c r="H991" t="s">
        <v>2658</v>
      </c>
      <c r="I991" t="str">
        <f>INDEX(Genomes!$I:$I,(MATCH(AllProteins!H991,Genomes!$B:$B,0)))</f>
        <v>HQ647181-Cotia_virus</v>
      </c>
      <c r="J991">
        <f>INDEX(Genomes!$A:$A,(MATCH(AllProteins!H991,Genomes!$B:$B,0)))</f>
        <v>12</v>
      </c>
      <c r="K991" t="str">
        <f>INDEX(Genomes!$J:$J,(MATCH(AllProteins!H991,Genomes!$B:$B,0)))</f>
        <v>Y</v>
      </c>
    </row>
    <row r="992" spans="1:11" x14ac:dyDescent="0.2">
      <c r="A992">
        <f>INDEX(CoreProteinGroups!A:A,MATCH(B992,CoreProteinGroups!B:B,0))</f>
        <v>18</v>
      </c>
      <c r="B992" s="1" t="s">
        <v>1723</v>
      </c>
      <c r="C992" t="str">
        <f>VLOOKUP(B992,CoreProteinGroups!$B:$C,2,FALSE)</f>
        <v>FEN1</v>
      </c>
      <c r="D992" t="s">
        <v>1732</v>
      </c>
      <c r="E992" s="6" t="str">
        <f t="shared" si="15"/>
        <v>PROT:ANS71143.1</v>
      </c>
      <c r="F992" t="s">
        <v>1733</v>
      </c>
      <c r="G992" t="s">
        <v>21</v>
      </c>
      <c r="H992" t="s">
        <v>2682</v>
      </c>
      <c r="I992" t="str">
        <f>INDEX(Genomes!$I:$I,(MATCH(AllProteins!H992,Genomes!$B:$B,0)))</f>
        <v>KU980965-pteropox_virus</v>
      </c>
      <c r="J992">
        <f>INDEX(Genomes!$A:$A,(MATCH(AllProteins!H992,Genomes!$B:$B,0)))</f>
        <v>40</v>
      </c>
      <c r="K992" t="str">
        <f>INDEX(Genomes!$J:$J,(MATCH(AllProteins!H992,Genomes!$B:$B,0)))</f>
        <v>Y</v>
      </c>
    </row>
    <row r="993" spans="1:11" x14ac:dyDescent="0.2">
      <c r="A993">
        <f>INDEX(CoreProteinGroups!A:A,MATCH(B993,CoreProteinGroups!B:B,0))</f>
        <v>18</v>
      </c>
      <c r="B993" s="1" t="s">
        <v>1723</v>
      </c>
      <c r="C993" t="str">
        <f>VLOOKUP(B993,CoreProteinGroups!$B:$C,2,FALSE)</f>
        <v>FEN1</v>
      </c>
      <c r="D993" t="s">
        <v>1734</v>
      </c>
      <c r="E993" s="6" t="str">
        <f t="shared" si="15"/>
        <v>PROT:AKR04270.1</v>
      </c>
      <c r="F993" t="s">
        <v>1735</v>
      </c>
      <c r="G993" t="s">
        <v>24</v>
      </c>
      <c r="H993" t="s">
        <v>2687</v>
      </c>
      <c r="I993" t="str">
        <f>INDEX(Genomes!$I:$I,(MATCH(AllProteins!H993,Genomes!$B:$B,0)))</f>
        <v>KT159937-salmon_gill_poxvirus</v>
      </c>
      <c r="J993">
        <f>INDEX(Genomes!$A:$A,(MATCH(AllProteins!H993,Genomes!$B:$B,0)))</f>
        <v>46</v>
      </c>
      <c r="K993" t="str">
        <f>INDEX(Genomes!$J:$J,(MATCH(AllProteins!H993,Genomes!$B:$B,0)))</f>
        <v>Y</v>
      </c>
    </row>
    <row r="994" spans="1:11" x14ac:dyDescent="0.2">
      <c r="A994">
        <f>INDEX(CoreProteinGroups!A:A,MATCH(B994,CoreProteinGroups!B:B,0))</f>
        <v>18</v>
      </c>
      <c r="B994" s="1" t="s">
        <v>1723</v>
      </c>
      <c r="C994" t="str">
        <f>VLOOKUP(B994,CoreProteinGroups!$B:$C,2,FALSE)</f>
        <v>FEN1</v>
      </c>
      <c r="D994" t="s">
        <v>1736</v>
      </c>
      <c r="E994" s="6" t="str">
        <f t="shared" si="15"/>
        <v>PROT:CCD83231.1</v>
      </c>
      <c r="F994" t="s">
        <v>1737</v>
      </c>
      <c r="G994" t="s">
        <v>27</v>
      </c>
      <c r="H994" t="s">
        <v>2689</v>
      </c>
      <c r="I994" t="str">
        <f>INDEX(Genomes!$I:$I,(MATCH(AllProteins!H994,Genomes!$B:$B,0)))</f>
        <v>HE601899-squirrelpox_virus</v>
      </c>
      <c r="J994">
        <f>INDEX(Genomes!$A:$A,(MATCH(AllProteins!H994,Genomes!$B:$B,0)))</f>
        <v>48</v>
      </c>
      <c r="K994" t="str">
        <f>INDEX(Genomes!$J:$J,(MATCH(AllProteins!H994,Genomes!$B:$B,0)))</f>
        <v>Y</v>
      </c>
    </row>
    <row r="995" spans="1:11" x14ac:dyDescent="0.2">
      <c r="A995">
        <f>INDEX(CoreProteinGroups!A:A,MATCH(B995,CoreProteinGroups!B:B,0))</f>
        <v>18</v>
      </c>
      <c r="B995" s="1" t="s">
        <v>1723</v>
      </c>
      <c r="C995" t="str">
        <f>VLOOKUP(B995,CoreProteinGroups!$B:$C,2,FALSE)</f>
        <v>FEN1</v>
      </c>
      <c r="D995" t="s">
        <v>1738</v>
      </c>
      <c r="E995" s="6" t="str">
        <f t="shared" si="15"/>
        <v>PROT:ASK51259.1</v>
      </c>
      <c r="F995" t="s">
        <v>1726</v>
      </c>
      <c r="G995" t="s">
        <v>30</v>
      </c>
      <c r="H995" t="s">
        <v>2664</v>
      </c>
      <c r="I995" t="str">
        <f>INDEX(Genomes!$I:$I,(MATCH(AllProteins!H995,Genomes!$B:$B,0)))</f>
        <v>KY747497-eptesipox_virus</v>
      </c>
      <c r="J995">
        <f>INDEX(Genomes!$A:$A,(MATCH(AllProteins!H995,Genomes!$B:$B,0)))</f>
        <v>19</v>
      </c>
      <c r="K995" t="str">
        <f>INDEX(Genomes!$J:$J,(MATCH(AllProteins!H995,Genomes!$B:$B,0)))</f>
        <v>Y</v>
      </c>
    </row>
    <row r="996" spans="1:11" x14ac:dyDescent="0.2">
      <c r="A996">
        <f>INDEX(CoreProteinGroups!A:A,MATCH(B996,CoreProteinGroups!B:B,0))</f>
        <v>18</v>
      </c>
      <c r="B996" s="1" t="s">
        <v>1723</v>
      </c>
      <c r="C996" t="str">
        <f>VLOOKUP(B996,CoreProteinGroups!$B:$C,2,FALSE)</f>
        <v>FEN1</v>
      </c>
      <c r="D996" t="s">
        <v>1739</v>
      </c>
      <c r="E996" s="6" t="str">
        <f t="shared" si="15"/>
        <v>PROT:AUD40221.1</v>
      </c>
      <c r="F996" t="s">
        <v>1740</v>
      </c>
      <c r="G996" t="s">
        <v>32</v>
      </c>
      <c r="H996" t="s">
        <v>2665</v>
      </c>
      <c r="I996" t="str">
        <f>INDEX(Genomes!$I:$I,(MATCH(AllProteins!H996,Genomes!$B:$B,0)))</f>
        <v>MF678796-flamingopox_virus</v>
      </c>
      <c r="J996">
        <f>INDEX(Genomes!$A:$A,(MATCH(AllProteins!H996,Genomes!$B:$B,0)))</f>
        <v>20</v>
      </c>
      <c r="K996" t="str">
        <f>INDEX(Genomes!$J:$J,(MATCH(AllProteins!H996,Genomes!$B:$B,0)))</f>
        <v>Y</v>
      </c>
    </row>
    <row r="997" spans="1:11" x14ac:dyDescent="0.2">
      <c r="A997">
        <f>INDEX(CoreProteinGroups!A:A,MATCH(B997,CoreProteinGroups!B:B,0))</f>
        <v>18</v>
      </c>
      <c r="B997" s="1" t="s">
        <v>1723</v>
      </c>
      <c r="C997" t="str">
        <f>VLOOKUP(B997,CoreProteinGroups!$B:$C,2,FALSE)</f>
        <v>FEN1</v>
      </c>
      <c r="D997" t="s">
        <v>1741</v>
      </c>
      <c r="E997" s="6" t="str">
        <f t="shared" si="15"/>
        <v>PROT:AID46855.1</v>
      </c>
      <c r="F997" t="s">
        <v>1742</v>
      </c>
      <c r="G997" t="s">
        <v>34</v>
      </c>
      <c r="H997" t="s">
        <v>2681</v>
      </c>
      <c r="I997" t="str">
        <f>INDEX(Genomes!$I:$I,(MATCH(AllProteins!H997,Genomes!$B:$B,0)))</f>
        <v>KJ859677-penguinpox_virus</v>
      </c>
      <c r="J997">
        <f>INDEX(Genomes!$A:$A,(MATCH(AllProteins!H997,Genomes!$B:$B,0)))</f>
        <v>39</v>
      </c>
      <c r="K997" t="str">
        <f>INDEX(Genomes!$J:$J,(MATCH(AllProteins!H997,Genomes!$B:$B,0)))</f>
        <v>Y</v>
      </c>
    </row>
    <row r="998" spans="1:11" x14ac:dyDescent="0.2">
      <c r="A998">
        <f>INDEX(CoreProteinGroups!A:A,MATCH(B998,CoreProteinGroups!B:B,0))</f>
        <v>18</v>
      </c>
      <c r="B998" s="1" t="s">
        <v>1723</v>
      </c>
      <c r="C998" t="str">
        <f>VLOOKUP(B998,CoreProteinGroups!$B:$C,2,FALSE)</f>
        <v>FEN1</v>
      </c>
      <c r="D998" t="s">
        <v>1743</v>
      </c>
      <c r="E998" s="6" t="str">
        <f t="shared" si="15"/>
        <v>PROT:AID46626.1</v>
      </c>
      <c r="F998" t="s">
        <v>1744</v>
      </c>
      <c r="G998" t="s">
        <v>36</v>
      </c>
      <c r="H998" t="s">
        <v>2680</v>
      </c>
      <c r="I998" t="str">
        <f>INDEX(Genomes!$I:$I,(MATCH(AllProteins!H998,Genomes!$B:$B,0)))</f>
        <v>KJ801920-pigeonpox_virus</v>
      </c>
      <c r="J998">
        <f>INDEX(Genomes!$A:$A,(MATCH(AllProteins!H998,Genomes!$B:$B,0)))</f>
        <v>38</v>
      </c>
      <c r="K998" t="str">
        <f>INDEX(Genomes!$J:$J,(MATCH(AllProteins!H998,Genomes!$B:$B,0)))</f>
        <v>Y</v>
      </c>
    </row>
    <row r="999" spans="1:11" x14ac:dyDescent="0.2">
      <c r="A999">
        <f>INDEX(CoreProteinGroups!A:A,MATCH(B999,CoreProteinGroups!B:B,0))</f>
        <v>18</v>
      </c>
      <c r="B999" s="1" t="s">
        <v>1723</v>
      </c>
      <c r="C999" t="str">
        <f>VLOOKUP(B999,CoreProteinGroups!$B:$C,2,FALSE)</f>
        <v>FEN1</v>
      </c>
      <c r="D999" t="s">
        <v>1745</v>
      </c>
      <c r="E999" s="6" t="str">
        <f t="shared" si="15"/>
        <v>PROT:ALA62460.1</v>
      </c>
      <c r="F999" t="s">
        <v>271</v>
      </c>
      <c r="G999" t="s">
        <v>39</v>
      </c>
      <c r="H999" t="s">
        <v>2692</v>
      </c>
      <c r="I999" t="str">
        <f>INDEX(Genomes!$I:$I,(MATCH(AllProteins!H999,Genomes!$B:$B,0)))</f>
        <v>KP728110-turkeypox_virus</v>
      </c>
      <c r="J999">
        <f>INDEX(Genomes!$A:$A,(MATCH(AllProteins!H999,Genomes!$B:$B,0)))</f>
        <v>51</v>
      </c>
      <c r="K999" t="str">
        <f>INDEX(Genomes!$J:$J,(MATCH(AllProteins!H999,Genomes!$B:$B,0)))</f>
        <v>Y</v>
      </c>
    </row>
    <row r="1000" spans="1:11" x14ac:dyDescent="0.2">
      <c r="A1000">
        <f>INDEX(CoreProteinGroups!A:A,MATCH(B1000,CoreProteinGroups!B:B,0))</f>
        <v>18</v>
      </c>
      <c r="B1000" s="1" t="s">
        <v>1723</v>
      </c>
      <c r="C1000" t="str">
        <f>VLOOKUP(B1000,CoreProteinGroups!$B:$C,2,FALSE)</f>
        <v>FEN1</v>
      </c>
      <c r="D1000" t="s">
        <v>1746</v>
      </c>
      <c r="E1000" s="6" t="str">
        <f t="shared" si="15"/>
        <v>PROT:AAR83491.1</v>
      </c>
      <c r="F1000" t="s">
        <v>1747</v>
      </c>
      <c r="G1000" t="s">
        <v>42</v>
      </c>
      <c r="H1000" t="s">
        <v>2657</v>
      </c>
      <c r="I1000" t="str">
        <f>INDEX(Genomes!$I:$I,(MATCH(AllProteins!H1000,Genomes!$B:$B,0)))</f>
        <v>AY318871-canarypox_virus</v>
      </c>
      <c r="J1000">
        <f>INDEX(Genomes!$A:$A,(MATCH(AllProteins!H1000,Genomes!$B:$B,0)))</f>
        <v>11</v>
      </c>
      <c r="K1000" t="str">
        <f>INDEX(Genomes!$J:$J,(MATCH(AllProteins!H1000,Genomes!$B:$B,0)))</f>
        <v>Y</v>
      </c>
    </row>
    <row r="1001" spans="1:11" x14ac:dyDescent="0.2">
      <c r="A1001">
        <f>INDEX(CoreProteinGroups!A:A,MATCH(B1001,CoreProteinGroups!B:B,0))</f>
        <v>18</v>
      </c>
      <c r="B1001" s="1" t="s">
        <v>1723</v>
      </c>
      <c r="C1001" t="str">
        <f>VLOOKUP(B1001,CoreProteinGroups!$B:$C,2,FALSE)</f>
        <v>FEN1</v>
      </c>
      <c r="D1001" t="s">
        <v>1748</v>
      </c>
      <c r="E1001" s="6" t="str">
        <f t="shared" si="15"/>
        <v>PROT:AAF44461.1</v>
      </c>
      <c r="F1001" t="s">
        <v>1749</v>
      </c>
      <c r="G1001" t="s">
        <v>45</v>
      </c>
      <c r="H1001" t="s">
        <v>2666</v>
      </c>
      <c r="I1001" t="str">
        <f>INDEX(Genomes!$I:$I,(MATCH(AllProteins!H1001,Genomes!$B:$B,0)))</f>
        <v>AF198100-fowlpox_virus</v>
      </c>
      <c r="J1001">
        <f>INDEX(Genomes!$A:$A,(MATCH(AllProteins!H1001,Genomes!$B:$B,0)))</f>
        <v>21</v>
      </c>
      <c r="K1001" t="str">
        <f>INDEX(Genomes!$J:$J,(MATCH(AllProteins!H1001,Genomes!$B:$B,0)))</f>
        <v>Y</v>
      </c>
    </row>
    <row r="1002" spans="1:11" x14ac:dyDescent="0.2">
      <c r="A1002">
        <f>INDEX(CoreProteinGroups!A:A,MATCH(B1002,CoreProteinGroups!B:B,0))</f>
        <v>18</v>
      </c>
      <c r="B1002" s="1" t="s">
        <v>1723</v>
      </c>
      <c r="C1002" t="str">
        <f>VLOOKUP(B1002,CoreProteinGroups!$B:$C,2,FALSE)</f>
        <v>FEN1</v>
      </c>
      <c r="D1002" t="s">
        <v>1750</v>
      </c>
      <c r="E1002" s="6" t="str">
        <f t="shared" si="15"/>
        <v>PROT:AAK85015.1</v>
      </c>
      <c r="F1002" t="s">
        <v>1751</v>
      </c>
      <c r="G1002" t="s">
        <v>48</v>
      </c>
      <c r="H1002" t="s">
        <v>2669</v>
      </c>
      <c r="I1002" t="str">
        <f>INDEX(Genomes!$I:$I,(MATCH(AllProteins!H1002,Genomes!$B:$B,0)))</f>
        <v>AF325528-lumpy_skin_disease_virus</v>
      </c>
      <c r="J1002">
        <f>INDEX(Genomes!$A:$A,(MATCH(AllProteins!H1002,Genomes!$B:$B,0)))</f>
        <v>25</v>
      </c>
      <c r="K1002" t="str">
        <f>INDEX(Genomes!$J:$J,(MATCH(AllProteins!H1002,Genomes!$B:$B,0)))</f>
        <v>Y</v>
      </c>
    </row>
    <row r="1003" spans="1:11" x14ac:dyDescent="0.2">
      <c r="A1003">
        <f>INDEX(CoreProteinGroups!A:A,MATCH(B1003,CoreProteinGroups!B:B,0))</f>
        <v>18</v>
      </c>
      <c r="B1003" s="1" t="s">
        <v>1723</v>
      </c>
      <c r="C1003" t="str">
        <f>VLOOKUP(B1003,CoreProteinGroups!$B:$C,2,FALSE)</f>
        <v>FEN1</v>
      </c>
      <c r="D1003" t="s">
        <v>1752</v>
      </c>
      <c r="E1003" s="6" t="str">
        <f t="shared" si="15"/>
        <v>PROT:AST09273.1</v>
      </c>
      <c r="F1003" t="s">
        <v>1726</v>
      </c>
      <c r="G1003" t="s">
        <v>50</v>
      </c>
      <c r="H1003" t="s">
        <v>2671</v>
      </c>
      <c r="I1003" t="str">
        <f>INDEX(Genomes!$I:$I,(MATCH(AllProteins!H1003,Genomes!$B:$B,0)))</f>
        <v>MF001304-Murmansk_poxvirus</v>
      </c>
      <c r="J1003">
        <f>INDEX(Genomes!$A:$A,(MATCH(AllProteins!H1003,Genomes!$B:$B,0)))</f>
        <v>27</v>
      </c>
      <c r="K1003" t="str">
        <f>INDEX(Genomes!$J:$J,(MATCH(AllProteins!H1003,Genomes!$B:$B,0)))</f>
        <v>Y</v>
      </c>
    </row>
    <row r="1004" spans="1:11" x14ac:dyDescent="0.2">
      <c r="A1004">
        <f>INDEX(CoreProteinGroups!A:A,MATCH(B1004,CoreProteinGroups!B:B,0))</f>
        <v>18</v>
      </c>
      <c r="B1004" s="1" t="s">
        <v>1723</v>
      </c>
      <c r="C1004" t="str">
        <f>VLOOKUP(B1004,CoreProteinGroups!$B:$C,2,FALSE)</f>
        <v>FEN1</v>
      </c>
      <c r="D1004" t="s">
        <v>1753</v>
      </c>
      <c r="E1004" s="6" t="str">
        <f t="shared" si="15"/>
        <v>PROT:AEN03650.1</v>
      </c>
      <c r="F1004" t="s">
        <v>1726</v>
      </c>
      <c r="G1004" t="s">
        <v>52</v>
      </c>
      <c r="H1004" t="s">
        <v>2698</v>
      </c>
      <c r="I1004" t="str">
        <f>INDEX(Genomes!$I:$I,(MATCH(AllProteins!H1004,Genomes!$B:$B,0)))</f>
        <v>HQ849551-yokapox_virus</v>
      </c>
      <c r="J1004">
        <f>INDEX(Genomes!$A:$A,(MATCH(AllProteins!H1004,Genomes!$B:$B,0)))</f>
        <v>57</v>
      </c>
      <c r="K1004" t="str">
        <f>INDEX(Genomes!$J:$J,(MATCH(AllProteins!H1004,Genomes!$B:$B,0)))</f>
        <v>Y</v>
      </c>
    </row>
    <row r="1005" spans="1:11" x14ac:dyDescent="0.2">
      <c r="A1005">
        <f>INDEX(CoreProteinGroups!A:A,MATCH(B1005,CoreProteinGroups!B:B,0))</f>
        <v>18</v>
      </c>
      <c r="B1005" s="1" t="s">
        <v>1723</v>
      </c>
      <c r="C1005" t="str">
        <f>VLOOKUP(B1005,CoreProteinGroups!$B:$C,2,FALSE)</f>
        <v>FEN1</v>
      </c>
      <c r="D1005" t="s">
        <v>1754</v>
      </c>
      <c r="E1005" s="6" t="str">
        <f t="shared" si="15"/>
        <v>PROT:ABI99218.1</v>
      </c>
      <c r="F1005" t="s">
        <v>1755</v>
      </c>
      <c r="G1005" t="s">
        <v>54</v>
      </c>
      <c r="H1005" t="s">
        <v>2661</v>
      </c>
      <c r="I1005" t="str">
        <f>INDEX(Genomes!$I:$I,(MATCH(AllProteins!H1005,Genomes!$B:$B,0)))</f>
        <v>AY689436-mule_deerpox_virus</v>
      </c>
      <c r="J1005">
        <f>INDEX(Genomes!$A:$A,(MATCH(AllProteins!H1005,Genomes!$B:$B,0)))</f>
        <v>15</v>
      </c>
      <c r="K1005" t="str">
        <f>INDEX(Genomes!$J:$J,(MATCH(AllProteins!H1005,Genomes!$B:$B,0)))</f>
        <v>Y</v>
      </c>
    </row>
    <row r="1006" spans="1:11" x14ac:dyDescent="0.2">
      <c r="A1006">
        <f>INDEX(CoreProteinGroups!A:A,MATCH(B1006,CoreProteinGroups!B:B,0))</f>
        <v>18</v>
      </c>
      <c r="B1006" s="1" t="s">
        <v>1723</v>
      </c>
      <c r="C1006" t="str">
        <f>VLOOKUP(B1006,CoreProteinGroups!$B:$C,2,FALSE)</f>
        <v>FEN1</v>
      </c>
      <c r="D1006" t="s">
        <v>1756</v>
      </c>
      <c r="E1006" s="6" t="str">
        <f t="shared" si="15"/>
        <v>PROT:ABJ08967.1</v>
      </c>
      <c r="F1006" t="s">
        <v>1757</v>
      </c>
      <c r="G1006" t="s">
        <v>56</v>
      </c>
      <c r="H1006" t="s">
        <v>2677</v>
      </c>
      <c r="I1006" t="str">
        <f>INDEX(Genomes!$I:$I,(MATCH(AllProteins!H1006,Genomes!$B:$B,0)))</f>
        <v>DQ356948-Nile_crocodilepox_virus</v>
      </c>
      <c r="J1006">
        <f>INDEX(Genomes!$A:$A,(MATCH(AllProteins!H1006,Genomes!$B:$B,0)))</f>
        <v>34</v>
      </c>
      <c r="K1006" t="str">
        <f>INDEX(Genomes!$J:$J,(MATCH(AllProteins!H1006,Genomes!$B:$B,0)))</f>
        <v>Y</v>
      </c>
    </row>
    <row r="1007" spans="1:11" x14ac:dyDescent="0.2">
      <c r="A1007">
        <f>INDEX(CoreProteinGroups!A:A,MATCH(B1007,CoreProteinGroups!B:B,0))</f>
        <v>18</v>
      </c>
      <c r="B1007" s="1" t="s">
        <v>1723</v>
      </c>
      <c r="C1007" t="str">
        <f>VLOOKUP(B1007,CoreProteinGroups!$B:$C,2,FALSE)</f>
        <v>FEN1</v>
      </c>
      <c r="D1007" t="s">
        <v>1758</v>
      </c>
      <c r="E1007" s="6" t="str">
        <f t="shared" si="15"/>
        <v>PROT:AAF14937.1</v>
      </c>
      <c r="F1007" t="s">
        <v>1759</v>
      </c>
      <c r="G1007" t="s">
        <v>2584</v>
      </c>
      <c r="H1007" t="s">
        <v>2676</v>
      </c>
      <c r="I1007" t="str">
        <f>INDEX(Genomes!$I:$I,(MATCH(AllProteins!H1007,Genomes!$B:$B,0)))</f>
        <v>AF170726-myxoma_virus</v>
      </c>
      <c r="J1007">
        <f>INDEX(Genomes!$A:$A,(MATCH(AllProteins!H1007,Genomes!$B:$B,0)))</f>
        <v>32</v>
      </c>
      <c r="K1007" t="str">
        <f>INDEX(Genomes!$J:$J,(MATCH(AllProteins!H1007,Genomes!$B:$B,0)))</f>
        <v>Y</v>
      </c>
    </row>
    <row r="1008" spans="1:11" x14ac:dyDescent="0.2">
      <c r="A1008">
        <f>INDEX(CoreProteinGroups!A:A,MATCH(B1008,CoreProteinGroups!B:B,0))</f>
        <v>18</v>
      </c>
      <c r="B1008" s="1" t="s">
        <v>1723</v>
      </c>
      <c r="C1008" t="str">
        <f>VLOOKUP(B1008,CoreProteinGroups!$B:$C,2,FALSE)</f>
        <v>FEN1</v>
      </c>
      <c r="D1008" t="s">
        <v>1760</v>
      </c>
      <c r="E1008" s="6" t="str">
        <f t="shared" si="15"/>
        <v>PROT:AFU77313.1</v>
      </c>
      <c r="F1008" t="s">
        <v>1759</v>
      </c>
      <c r="G1008" t="s">
        <v>2553</v>
      </c>
      <c r="H1008" t="s">
        <v>2646</v>
      </c>
      <c r="I1008" t="str">
        <f>INDEX(Genomes!$I:$I,(MATCH(AllProteins!H1008,Genomes!$B:$B,0)))</f>
        <v>JX565564-myxoma_virus_isolate_BRK_897</v>
      </c>
      <c r="J1008">
        <f>INDEX(Genomes!$A:$A,(MATCH(AllProteins!H1008,Genomes!$B:$B,0)))</f>
        <v>33</v>
      </c>
      <c r="K1008" t="str">
        <f>INDEX(Genomes!$J:$J,(MATCH(AllProteins!H1008,Genomes!$B:$B,0)))</f>
        <v>N</v>
      </c>
    </row>
    <row r="1009" spans="1:11" x14ac:dyDescent="0.2">
      <c r="A1009">
        <f>INDEX(CoreProteinGroups!A:A,MATCH(B1009,CoreProteinGroups!B:B,0))</f>
        <v>18</v>
      </c>
      <c r="B1009" s="1" t="s">
        <v>1723</v>
      </c>
      <c r="C1009" t="str">
        <f>VLOOKUP(B1009,CoreProteinGroups!$B:$C,2,FALSE)</f>
        <v>FEN1</v>
      </c>
      <c r="D1009" t="s">
        <v>1761</v>
      </c>
      <c r="E1009" s="6" t="str">
        <f t="shared" si="15"/>
        <v>PROT:AAF17931.1</v>
      </c>
      <c r="F1009" t="s">
        <v>1762</v>
      </c>
      <c r="G1009" t="s">
        <v>62</v>
      </c>
      <c r="H1009" t="s">
        <v>2685</v>
      </c>
      <c r="I1009" t="str">
        <f>INDEX(Genomes!$I:$I,(MATCH(AllProteins!H1009,Genomes!$B:$B,0)))</f>
        <v>AF170722-rabbit_fibroma_virus</v>
      </c>
      <c r="J1009">
        <f>INDEX(Genomes!$A:$A,(MATCH(AllProteins!H1009,Genomes!$B:$B,0)))</f>
        <v>43</v>
      </c>
      <c r="K1009" t="str">
        <f>INDEX(Genomes!$J:$J,(MATCH(AllProteins!H1009,Genomes!$B:$B,0)))</f>
        <v>Y</v>
      </c>
    </row>
    <row r="1010" spans="1:11" x14ac:dyDescent="0.2">
      <c r="A1010">
        <f>INDEX(CoreProteinGroups!A:A,MATCH(B1010,CoreProteinGroups!B:B,0))</f>
        <v>18</v>
      </c>
      <c r="B1010" s="1" t="s">
        <v>1723</v>
      </c>
      <c r="C1010" t="str">
        <f>VLOOKUP(B1010,CoreProteinGroups!$B:$C,2,FALSE)</f>
        <v>FEN1</v>
      </c>
      <c r="D1010" t="s">
        <v>1763</v>
      </c>
      <c r="E1010" s="6" t="str">
        <f t="shared" si="15"/>
        <v>PROT:AAC55188.1</v>
      </c>
      <c r="F1010" t="s">
        <v>1764</v>
      </c>
      <c r="G1010" t="s">
        <v>65</v>
      </c>
      <c r="H1010" t="s">
        <v>2670</v>
      </c>
      <c r="I1010" t="str">
        <f>INDEX(Genomes!$I:$I,(MATCH(AllProteins!H1010,Genomes!$B:$B,0)))</f>
        <v>U60315-molluscum_contagiosum_virus</v>
      </c>
      <c r="J1010">
        <f>INDEX(Genomes!$A:$A,(MATCH(AllProteins!H1010,Genomes!$B:$B,0)))</f>
        <v>26</v>
      </c>
      <c r="K1010" t="str">
        <f>INDEX(Genomes!$J:$J,(MATCH(AllProteins!H1010,Genomes!$B:$B,0)))</f>
        <v>Y</v>
      </c>
    </row>
    <row r="1011" spans="1:11" x14ac:dyDescent="0.2">
      <c r="A1011">
        <f>INDEX(CoreProteinGroups!A:A,MATCH(B1011,CoreProteinGroups!B:B,0))</f>
        <v>18</v>
      </c>
      <c r="B1011" s="1" t="s">
        <v>1723</v>
      </c>
      <c r="C1011" t="str">
        <f>VLOOKUP(B1011,CoreProteinGroups!$B:$C,2,FALSE)</f>
        <v>FEN1</v>
      </c>
      <c r="D1011" t="s">
        <v>1765</v>
      </c>
      <c r="E1011" s="6" t="str">
        <f t="shared" si="15"/>
        <v>PROT:AYN64648.1</v>
      </c>
      <c r="F1011" t="s">
        <v>1766</v>
      </c>
      <c r="G1011" t="s">
        <v>68</v>
      </c>
      <c r="H1011" t="s">
        <v>2647</v>
      </c>
      <c r="I1011" t="str">
        <f>INDEX(Genomes!$I:$I,(MATCH(AllProteins!H1011,Genomes!$B:$B,0)))</f>
        <v>MH816996-orthopoxvirus_abatino</v>
      </c>
      <c r="J1011">
        <f>INDEX(Genomes!$A:$A,(MATCH(AllProteins!H1011,Genomes!$B:$B,0)))</f>
        <v>1</v>
      </c>
      <c r="K1011" t="str">
        <f>INDEX(Genomes!$J:$J,(MATCH(AllProteins!H1011,Genomes!$B:$B,0)))</f>
        <v>Y</v>
      </c>
    </row>
    <row r="1012" spans="1:11" x14ac:dyDescent="0.2">
      <c r="A1012">
        <f>INDEX(CoreProteinGroups!A:A,MATCH(B1012,CoreProteinGroups!B:B,0))</f>
        <v>18</v>
      </c>
      <c r="B1012" s="1" t="s">
        <v>1723</v>
      </c>
      <c r="C1012" t="str">
        <f>VLOOKUP(B1012,CoreProteinGroups!$B:$C,2,FALSE)</f>
        <v>FEN1</v>
      </c>
      <c r="D1012" t="s">
        <v>1767</v>
      </c>
      <c r="E1012" s="6" t="str">
        <f t="shared" si="15"/>
        <v>PROT:AXN74874.1</v>
      </c>
      <c r="F1012" t="s">
        <v>271</v>
      </c>
      <c r="G1012" t="s">
        <v>70</v>
      </c>
      <c r="H1012" t="s">
        <v>2650</v>
      </c>
      <c r="I1012" t="str">
        <f>INDEX(Genomes!$I:$I,(MATCH(AllProteins!H1012,Genomes!$B:$B,0)))</f>
        <v>MH607141-Akhmeta_virus</v>
      </c>
      <c r="J1012">
        <f>INDEX(Genomes!$A:$A,(MATCH(AllProteins!H1012,Genomes!$B:$B,0)))</f>
        <v>4</v>
      </c>
      <c r="K1012" t="str">
        <f>INDEX(Genomes!$J:$J,(MATCH(AllProteins!H1012,Genomes!$B:$B,0)))</f>
        <v>Y</v>
      </c>
    </row>
    <row r="1013" spans="1:11" x14ac:dyDescent="0.2">
      <c r="A1013">
        <f>INDEX(CoreProteinGroups!A:A,MATCH(B1013,CoreProteinGroups!B:B,0))</f>
        <v>18</v>
      </c>
      <c r="B1013" s="1" t="s">
        <v>1723</v>
      </c>
      <c r="C1013" t="str">
        <f>VLOOKUP(B1013,CoreProteinGroups!$B:$C,2,FALSE)</f>
        <v>FEN1</v>
      </c>
      <c r="D1013" t="s">
        <v>1768</v>
      </c>
      <c r="E1013" s="6" t="str">
        <f t="shared" si="15"/>
        <v>PROT:ABH08189.1</v>
      </c>
      <c r="F1013" t="s">
        <v>1769</v>
      </c>
      <c r="G1013" t="s">
        <v>73</v>
      </c>
      <c r="H1013" t="s">
        <v>2668</v>
      </c>
      <c r="I1013" t="str">
        <f>INDEX(Genomes!$I:$I,(MATCH(AllProteins!H1013,Genomes!$B:$B,0)))</f>
        <v>DQ792504-horsepox_virus</v>
      </c>
      <c r="J1013">
        <f>INDEX(Genomes!$A:$A,(MATCH(AllProteins!H1013,Genomes!$B:$B,0)))</f>
        <v>24</v>
      </c>
      <c r="K1013" t="str">
        <f>INDEX(Genomes!$J:$J,(MATCH(AllProteins!H1013,Genomes!$B:$B,0)))</f>
        <v>Y</v>
      </c>
    </row>
    <row r="1014" spans="1:11" x14ac:dyDescent="0.2">
      <c r="A1014">
        <f>INDEX(CoreProteinGroups!A:A,MATCH(B1014,CoreProteinGroups!B:B,0))</f>
        <v>18</v>
      </c>
      <c r="B1014" s="1" t="s">
        <v>1723</v>
      </c>
      <c r="C1014" t="str">
        <f>VLOOKUP(B1014,CoreProteinGroups!$B:$C,2,FALSE)</f>
        <v>FEN1</v>
      </c>
      <c r="D1014" t="s">
        <v>1770</v>
      </c>
      <c r="E1014" s="6" t="str">
        <f t="shared" si="15"/>
        <v>PROT:AAG37549.1</v>
      </c>
      <c r="F1014" t="s">
        <v>1771</v>
      </c>
      <c r="G1014" t="s">
        <v>76</v>
      </c>
      <c r="H1014" t="s">
        <v>2655</v>
      </c>
      <c r="I1014" t="str">
        <f>INDEX(Genomes!$I:$I,(MATCH(AllProteins!H1014,Genomes!$B:$B,0)))</f>
        <v>AY009089-camelpox_virus_CMS</v>
      </c>
      <c r="J1014">
        <f>INDEX(Genomes!$A:$A,(MATCH(AllProteins!H1014,Genomes!$B:$B,0)))</f>
        <v>9</v>
      </c>
      <c r="K1014" t="str">
        <f>INDEX(Genomes!$J:$J,(MATCH(AllProteins!H1014,Genomes!$B:$B,0)))</f>
        <v>N</v>
      </c>
    </row>
    <row r="1015" spans="1:11" x14ac:dyDescent="0.2">
      <c r="A1015">
        <f>INDEX(CoreProteinGroups!A:A,MATCH(B1015,CoreProteinGroups!B:B,0))</f>
        <v>18</v>
      </c>
      <c r="B1015" s="1" t="s">
        <v>1723</v>
      </c>
      <c r="C1015" t="str">
        <f>VLOOKUP(B1015,CoreProteinGroups!$B:$C,2,FALSE)</f>
        <v>FEN1</v>
      </c>
      <c r="D1015" t="s">
        <v>1772</v>
      </c>
      <c r="E1015" s="6" t="str">
        <f t="shared" si="15"/>
        <v>PROT:AAL73787.1</v>
      </c>
      <c r="F1015" t="s">
        <v>271</v>
      </c>
      <c r="G1015" t="s">
        <v>79</v>
      </c>
      <c r="H1015" t="s">
        <v>2654</v>
      </c>
      <c r="I1015" t="str">
        <f>INDEX(Genomes!$I:$I,(MATCH(AllProteins!H1015,Genomes!$B:$B,0)))</f>
        <v>AF438165-camelpox_virus</v>
      </c>
      <c r="J1015">
        <f>INDEX(Genomes!$A:$A,(MATCH(AllProteins!H1015,Genomes!$B:$B,0)))</f>
        <v>8</v>
      </c>
      <c r="K1015" t="str">
        <f>INDEX(Genomes!$J:$J,(MATCH(AllProteins!H1015,Genomes!$B:$B,0)))</f>
        <v>Y</v>
      </c>
    </row>
    <row r="1016" spans="1:11" x14ac:dyDescent="0.2">
      <c r="A1016">
        <f>INDEX(CoreProteinGroups!A:A,MATCH(B1016,CoreProteinGroups!B:B,0))</f>
        <v>18</v>
      </c>
      <c r="B1016" s="1" t="s">
        <v>1723</v>
      </c>
      <c r="C1016" t="str">
        <f>VLOOKUP(B1016,CoreProteinGroups!$B:$C,2,FALSE)</f>
        <v>FEN1</v>
      </c>
      <c r="D1016" t="s">
        <v>1773</v>
      </c>
      <c r="E1016" s="6" t="str">
        <f t="shared" si="15"/>
        <v>PROT:AAM13537.1</v>
      </c>
      <c r="F1016" t="s">
        <v>1774</v>
      </c>
      <c r="G1016" t="s">
        <v>82</v>
      </c>
      <c r="H1016" t="s">
        <v>2659</v>
      </c>
      <c r="I1016" t="str">
        <f>INDEX(Genomes!$I:$I,(MATCH(AllProteins!H1016,Genomes!$B:$B,0)))</f>
        <v>AF482758-cowpox_virus</v>
      </c>
      <c r="J1016">
        <f>INDEX(Genomes!$A:$A,(MATCH(AllProteins!H1016,Genomes!$B:$B,0)))</f>
        <v>13</v>
      </c>
      <c r="K1016" t="str">
        <f>INDEX(Genomes!$J:$J,(MATCH(AllProteins!H1016,Genomes!$B:$B,0)))</f>
        <v>Y</v>
      </c>
    </row>
    <row r="1017" spans="1:11" x14ac:dyDescent="0.2">
      <c r="A1017">
        <f>INDEX(CoreProteinGroups!A:A,MATCH(B1017,CoreProteinGroups!B:B,0))</f>
        <v>18</v>
      </c>
      <c r="B1017" s="1" t="s">
        <v>1723</v>
      </c>
      <c r="C1017" t="str">
        <f>VLOOKUP(B1017,CoreProteinGroups!$B:$C,2,FALSE)</f>
        <v>FEN1</v>
      </c>
      <c r="D1017" t="s">
        <v>1775</v>
      </c>
      <c r="E1017" s="6" t="str">
        <f t="shared" si="15"/>
        <v>PROT:AAM92370.1</v>
      </c>
      <c r="F1017" t="s">
        <v>1776</v>
      </c>
      <c r="G1017" t="s">
        <v>85</v>
      </c>
      <c r="H1017" t="s">
        <v>2662</v>
      </c>
      <c r="I1017" t="str">
        <f>INDEX(Genomes!$I:$I,(MATCH(AllProteins!H1017,Genomes!$B:$B,0)))</f>
        <v>AF012825-ectromelia_virus</v>
      </c>
      <c r="J1017">
        <f>INDEX(Genomes!$A:$A,(MATCH(AllProteins!H1017,Genomes!$B:$B,0)))</f>
        <v>16</v>
      </c>
      <c r="K1017" t="str">
        <f>INDEX(Genomes!$J:$J,(MATCH(AllProteins!H1017,Genomes!$B:$B,0)))</f>
        <v>Y</v>
      </c>
    </row>
    <row r="1018" spans="1:11" x14ac:dyDescent="0.2">
      <c r="A1018">
        <f>INDEX(CoreProteinGroups!A:A,MATCH(B1018,CoreProteinGroups!B:B,0))</f>
        <v>18</v>
      </c>
      <c r="B1018" s="1" t="s">
        <v>1723</v>
      </c>
      <c r="C1018" t="str">
        <f>VLOOKUP(B1018,CoreProteinGroups!$B:$C,2,FALSE)</f>
        <v>FEN1</v>
      </c>
      <c r="D1018" t="s">
        <v>1777</v>
      </c>
      <c r="E1018" s="6" t="str">
        <f t="shared" si="15"/>
        <v>PROT:AFH54629.1</v>
      </c>
      <c r="F1018" t="s">
        <v>1778</v>
      </c>
      <c r="G1018" t="s">
        <v>87</v>
      </c>
      <c r="H1018" t="s">
        <v>2619</v>
      </c>
      <c r="I1018" t="str">
        <f>INDEX(Genomes!$I:$I,(MATCH(AllProteins!H1018,Genomes!$B:$B,0)))</f>
        <v>JQ410350-ectromelia_virus_strain_ERPV</v>
      </c>
      <c r="J1018">
        <f>INDEX(Genomes!$A:$A,(MATCH(AllProteins!H1018,Genomes!$B:$B,0)))</f>
        <v>17</v>
      </c>
      <c r="K1018" t="str">
        <f>INDEX(Genomes!$J:$J,(MATCH(AllProteins!H1018,Genomes!$B:$B,0)))</f>
        <v>N</v>
      </c>
    </row>
    <row r="1019" spans="1:11" x14ac:dyDescent="0.2">
      <c r="A1019">
        <f>INDEX(CoreProteinGroups!A:A,MATCH(B1019,CoreProteinGroups!B:B,0))</f>
        <v>18</v>
      </c>
      <c r="B1019" s="1" t="s">
        <v>1723</v>
      </c>
      <c r="C1019" t="str">
        <f>VLOOKUP(B1019,CoreProteinGroups!$B:$C,2,FALSE)</f>
        <v>FEN1</v>
      </c>
      <c r="D1019" t="s">
        <v>1779</v>
      </c>
      <c r="E1019" s="6" t="str">
        <f t="shared" si="15"/>
        <v>PROT:AAL40532.1</v>
      </c>
      <c r="F1019" t="s">
        <v>1780</v>
      </c>
      <c r="G1019" t="s">
        <v>90</v>
      </c>
      <c r="H1019" t="s">
        <v>2673</v>
      </c>
      <c r="I1019" t="str">
        <f>INDEX(Genomes!$I:$I,(MATCH(AllProteins!H1019,Genomes!$B:$B,0)))</f>
        <v>AF380138-monkeypox_virus_(clade_I)</v>
      </c>
      <c r="J1019">
        <f>INDEX(Genomes!$A:$A,(MATCH(AllProteins!H1019,Genomes!$B:$B,0)))</f>
        <v>29</v>
      </c>
      <c r="K1019" t="str">
        <f>INDEX(Genomes!$J:$J,(MATCH(AllProteins!H1019,Genomes!$B:$B,0)))</f>
        <v>Y</v>
      </c>
    </row>
    <row r="1020" spans="1:11" x14ac:dyDescent="0.2">
      <c r="A1020">
        <f>INDEX(CoreProteinGroups!A:A,MATCH(B1020,CoreProteinGroups!B:B,0))</f>
        <v>18</v>
      </c>
      <c r="B1020" s="1" t="s">
        <v>1723</v>
      </c>
      <c r="C1020" t="str">
        <f>VLOOKUP(B1020,CoreProteinGroups!$B:$C,2,FALSE)</f>
        <v>FEN1</v>
      </c>
      <c r="D1020" t="s">
        <v>1781</v>
      </c>
      <c r="E1020" s="6" t="str">
        <f t="shared" si="15"/>
        <v>PROT:AAX09169.1</v>
      </c>
      <c r="F1020" t="s">
        <v>1782</v>
      </c>
      <c r="G1020" t="s">
        <v>93</v>
      </c>
      <c r="H1020" t="s">
        <v>2672</v>
      </c>
      <c r="I1020" t="str">
        <f>INDEX(Genomes!$I:$I,(MATCH(AllProteins!H1020,Genomes!$B:$B,0)))</f>
        <v>AY753185-monkeypox_virus_(clade_IIa)</v>
      </c>
      <c r="J1020">
        <f>INDEX(Genomes!$A:$A,(MATCH(AllProteins!H1020,Genomes!$B:$B,0)))</f>
        <v>28</v>
      </c>
      <c r="K1020" t="str">
        <f>INDEX(Genomes!$J:$J,(MATCH(AllProteins!H1020,Genomes!$B:$B,0)))</f>
        <v>Y</v>
      </c>
    </row>
    <row r="1021" spans="1:11" x14ac:dyDescent="0.2">
      <c r="A1021">
        <f>INDEX(CoreProteinGroups!A:A,MATCH(B1021,CoreProteinGroups!B:B,0))</f>
        <v>18</v>
      </c>
      <c r="B1021" s="1" t="s">
        <v>1723</v>
      </c>
      <c r="C1021" t="str">
        <f>VLOOKUP(B1021,CoreProteinGroups!$B:$C,2,FALSE)</f>
        <v>FEN1</v>
      </c>
      <c r="D1021" t="s">
        <v>1783</v>
      </c>
      <c r="E1021" s="6" t="str">
        <f t="shared" si="15"/>
        <v>PROT:AKJ93711.1</v>
      </c>
      <c r="F1021" t="s">
        <v>1726</v>
      </c>
      <c r="G1021" t="s">
        <v>95</v>
      </c>
      <c r="H1021" t="s">
        <v>2683</v>
      </c>
      <c r="I1021" t="str">
        <f>INDEX(Genomes!$I:$I,(MATCH(AllProteins!H1021,Genomes!$B:$B,0)))</f>
        <v>KP143769-raccoonpox_virus</v>
      </c>
      <c r="J1021">
        <f>INDEX(Genomes!$A:$A,(MATCH(AllProteins!H1021,Genomes!$B:$B,0)))</f>
        <v>41</v>
      </c>
      <c r="K1021" t="str">
        <f>INDEX(Genomes!$J:$J,(MATCH(AllProteins!H1021,Genomes!$B:$B,0)))</f>
        <v>Y</v>
      </c>
    </row>
    <row r="1022" spans="1:11" x14ac:dyDescent="0.2">
      <c r="A1022">
        <f>INDEX(CoreProteinGroups!A:A,MATCH(B1022,CoreProteinGroups!B:B,0))</f>
        <v>18</v>
      </c>
      <c r="B1022" s="1" t="s">
        <v>1723</v>
      </c>
      <c r="C1022" t="str">
        <f>VLOOKUP(B1022,CoreProteinGroups!$B:$C,2,FALSE)</f>
        <v>FEN1</v>
      </c>
      <c r="D1022" t="s">
        <v>1784</v>
      </c>
      <c r="E1022" s="6" t="str">
        <f t="shared" si="15"/>
        <v>PROT:AOP31560.1</v>
      </c>
      <c r="F1022" t="s">
        <v>1733</v>
      </c>
      <c r="G1022" t="s">
        <v>97</v>
      </c>
      <c r="H1022" t="s">
        <v>2686</v>
      </c>
      <c r="I1022" t="str">
        <f>INDEX(Genomes!$I:$I,(MATCH(AllProteins!H1022,Genomes!$B:$B,0)))</f>
        <v>KU749310-skunkpox_virus</v>
      </c>
      <c r="J1022">
        <f>INDEX(Genomes!$A:$A,(MATCH(AllProteins!H1022,Genomes!$B:$B,0)))</f>
        <v>45</v>
      </c>
      <c r="K1022" t="str">
        <f>INDEX(Genomes!$J:$J,(MATCH(AllProteins!H1022,Genomes!$B:$B,0)))</f>
        <v>Y</v>
      </c>
    </row>
    <row r="1023" spans="1:11" x14ac:dyDescent="0.2">
      <c r="A1023">
        <f>INDEX(CoreProteinGroups!A:A,MATCH(B1023,CoreProteinGroups!B:B,0))</f>
        <v>18</v>
      </c>
      <c r="B1023" s="1" t="s">
        <v>1723</v>
      </c>
      <c r="C1023" t="str">
        <f>VLOOKUP(B1023,CoreProteinGroups!$B:$C,2,FALSE)</f>
        <v>FEN1</v>
      </c>
      <c r="D1023" t="s">
        <v>1785</v>
      </c>
      <c r="E1023" s="6" t="str">
        <f t="shared" si="15"/>
        <v>PROT:ABD97651.1</v>
      </c>
      <c r="F1023" t="s">
        <v>615</v>
      </c>
      <c r="G1023" t="s">
        <v>99</v>
      </c>
      <c r="H1023" t="s">
        <v>2691</v>
      </c>
      <c r="I1023" t="str">
        <f>INDEX(Genomes!$I:$I,(MATCH(AllProteins!H1023,Genomes!$B:$B,0)))</f>
        <v>DQ437594-taterapox_virus</v>
      </c>
      <c r="J1023">
        <f>INDEX(Genomes!$A:$A,(MATCH(AllProteins!H1023,Genomes!$B:$B,0)))</f>
        <v>50</v>
      </c>
      <c r="K1023" t="str">
        <f>INDEX(Genomes!$J:$J,(MATCH(AllProteins!H1023,Genomes!$B:$B,0)))</f>
        <v>Y</v>
      </c>
    </row>
    <row r="1024" spans="1:11" x14ac:dyDescent="0.2">
      <c r="A1024">
        <f>INDEX(CoreProteinGroups!A:A,MATCH(B1024,CoreProteinGroups!B:B,0))</f>
        <v>18</v>
      </c>
      <c r="B1024" s="1" t="s">
        <v>1723</v>
      </c>
      <c r="C1024" t="str">
        <f>VLOOKUP(B1024,CoreProteinGroups!$B:$C,2,FALSE)</f>
        <v>FEN1</v>
      </c>
      <c r="D1024" t="s">
        <v>1786</v>
      </c>
      <c r="E1024" s="6" t="str">
        <f t="shared" si="15"/>
        <v>PROT:AAO89361.1</v>
      </c>
      <c r="F1024" t="s">
        <v>615</v>
      </c>
      <c r="G1024" t="s">
        <v>101</v>
      </c>
      <c r="H1024" t="s">
        <v>2693</v>
      </c>
      <c r="I1024" t="str">
        <f>INDEX(Genomes!$I:$I,(MATCH(AllProteins!H1024,Genomes!$B:$B,0)))</f>
        <v>AY243312-vaccinia_virus</v>
      </c>
      <c r="J1024">
        <f>INDEX(Genomes!$A:$A,(MATCH(AllProteins!H1024,Genomes!$B:$B,0)))</f>
        <v>52</v>
      </c>
      <c r="K1024" t="str">
        <f>INDEX(Genomes!$J:$J,(MATCH(AllProteins!H1024,Genomes!$B:$B,0)))</f>
        <v>Y</v>
      </c>
    </row>
    <row r="1025" spans="1:11" x14ac:dyDescent="0.2">
      <c r="A1025">
        <f>INDEX(CoreProteinGroups!A:A,MATCH(B1025,CoreProteinGroups!B:B,0))</f>
        <v>18</v>
      </c>
      <c r="B1025" s="1" t="s">
        <v>1723</v>
      </c>
      <c r="C1025" t="str">
        <f>VLOOKUP(B1025,CoreProteinGroups!$B:$C,2,FALSE)</f>
        <v>FEN1</v>
      </c>
      <c r="D1025" t="s">
        <v>1787</v>
      </c>
      <c r="E1025" s="6" t="str">
        <f t="shared" si="15"/>
        <v>PROT:CAA49008.1</v>
      </c>
      <c r="F1025" t="s">
        <v>1788</v>
      </c>
      <c r="G1025" t="s">
        <v>2585</v>
      </c>
      <c r="H1025" t="s">
        <v>2694</v>
      </c>
      <c r="I1025" t="str">
        <f>INDEX(Genomes!$I:$I,(MATCH(AllProteins!H1025,Genomes!$B:$B,0)))</f>
        <v>X69198-variola_major_virus</v>
      </c>
      <c r="J1025">
        <f>INDEX(Genomes!$A:$A,(MATCH(AllProteins!H1025,Genomes!$B:$B,0)))</f>
        <v>53</v>
      </c>
      <c r="K1025" t="str">
        <f>INDEX(Genomes!$J:$J,(MATCH(AllProteins!H1025,Genomes!$B:$B,0)))</f>
        <v>Y</v>
      </c>
    </row>
    <row r="1026" spans="1:11" x14ac:dyDescent="0.2">
      <c r="A1026">
        <f>INDEX(CoreProteinGroups!A:A,MATCH(B1026,CoreProteinGroups!B:B,0))</f>
        <v>18</v>
      </c>
      <c r="B1026" s="1" t="s">
        <v>1723</v>
      </c>
      <c r="C1026" t="str">
        <f>VLOOKUP(B1026,CoreProteinGroups!$B:$C,2,FALSE)</f>
        <v>FEN1</v>
      </c>
      <c r="D1026" t="s">
        <v>1789</v>
      </c>
      <c r="E1026" s="6" t="str">
        <f t="shared" ref="E1026:E1089" si="16">HYPERLINK(_xlfn.CONCAT("https://www.ncbi.nlm.nih.gov/protein/",D1026),_xlfn.CONCAT("PROT:",D1026))</f>
        <v>PROT:CAB54667.1</v>
      </c>
      <c r="F1026" t="s">
        <v>1790</v>
      </c>
      <c r="G1026" t="s">
        <v>106</v>
      </c>
      <c r="H1026" t="s">
        <v>2695</v>
      </c>
      <c r="I1026" t="str">
        <f>INDEX(Genomes!$I:$I,(MATCH(AllProteins!H1026,Genomes!$B:$B,0)))</f>
        <v>Y16780-variola_minor_virus</v>
      </c>
      <c r="J1026">
        <f>INDEX(Genomes!$A:$A,(MATCH(AllProteins!H1026,Genomes!$B:$B,0)))</f>
        <v>54</v>
      </c>
      <c r="K1026" t="str">
        <f>INDEX(Genomes!$J:$J,(MATCH(AllProteins!H1026,Genomes!$B:$B,0)))</f>
        <v>Y</v>
      </c>
    </row>
    <row r="1027" spans="1:11" x14ac:dyDescent="0.2">
      <c r="A1027">
        <f>INDEX(CoreProteinGroups!A:A,MATCH(B1027,CoreProteinGroups!B:B,0))</f>
        <v>18</v>
      </c>
      <c r="B1027" s="1" t="s">
        <v>1723</v>
      </c>
      <c r="C1027" t="str">
        <f>VLOOKUP(B1027,CoreProteinGroups!$B:$C,2,FALSE)</f>
        <v>FEN1</v>
      </c>
      <c r="D1027" t="s">
        <v>1791</v>
      </c>
      <c r="E1027" s="6" t="str">
        <f t="shared" si="16"/>
        <v>PROT:AOP31771.1</v>
      </c>
      <c r="F1027" t="s">
        <v>1733</v>
      </c>
      <c r="G1027" t="s">
        <v>108</v>
      </c>
      <c r="H1027" t="s">
        <v>2696</v>
      </c>
      <c r="I1027" t="str">
        <f>INDEX(Genomes!$I:$I,(MATCH(AllProteins!H1027,Genomes!$B:$B,0)))</f>
        <v>KU749311-volepox_virus</v>
      </c>
      <c r="J1027">
        <f>INDEX(Genomes!$A:$A,(MATCH(AllProteins!H1027,Genomes!$B:$B,0)))</f>
        <v>55</v>
      </c>
      <c r="K1027" t="str">
        <f>INDEX(Genomes!$J:$J,(MATCH(AllProteins!H1027,Genomes!$B:$B,0)))</f>
        <v>Y</v>
      </c>
    </row>
    <row r="1028" spans="1:11" x14ac:dyDescent="0.2">
      <c r="A1028">
        <f>INDEX(CoreProteinGroups!A:A,MATCH(B1028,CoreProteinGroups!B:B,0))</f>
        <v>18</v>
      </c>
      <c r="B1028" s="1" t="s">
        <v>1723</v>
      </c>
      <c r="C1028" t="str">
        <f>VLOOKUP(B1028,CoreProteinGroups!$B:$C,2,FALSE)</f>
        <v>FEN1</v>
      </c>
      <c r="D1028" t="s">
        <v>1792</v>
      </c>
      <c r="E1028" s="6" t="str">
        <f t="shared" si="16"/>
        <v>PROT:ASC55597.1</v>
      </c>
      <c r="F1028" t="s">
        <v>1793</v>
      </c>
      <c r="G1028" t="s">
        <v>111</v>
      </c>
      <c r="H1028" t="s">
        <v>2667</v>
      </c>
      <c r="I1028" t="str">
        <f>INDEX(Genomes!$I:$I,(MATCH(AllProteins!H1028,Genomes!$B:$B,0)))</f>
        <v>KY382358-seal_parapoxvirus</v>
      </c>
      <c r="J1028">
        <f>INDEX(Genomes!$A:$A,(MATCH(AllProteins!H1028,Genomes!$B:$B,0)))</f>
        <v>22</v>
      </c>
      <c r="K1028" t="str">
        <f>INDEX(Genomes!$J:$J,(MATCH(AllProteins!H1028,Genomes!$B:$B,0)))</f>
        <v>Y</v>
      </c>
    </row>
    <row r="1029" spans="1:11" x14ac:dyDescent="0.2">
      <c r="A1029">
        <f>INDEX(CoreProteinGroups!A:A,MATCH(B1029,CoreProteinGroups!B:B,0))</f>
        <v>18</v>
      </c>
      <c r="B1029" s="1" t="s">
        <v>1723</v>
      </c>
      <c r="C1029" t="str">
        <f>VLOOKUP(B1029,CoreProteinGroups!$B:$C,2,FALSE)</f>
        <v>FEN1</v>
      </c>
      <c r="D1029" t="s">
        <v>1794</v>
      </c>
      <c r="E1029" s="6" t="str">
        <f t="shared" si="16"/>
        <v>PROT:AAR98398.1</v>
      </c>
      <c r="F1029" t="s">
        <v>1795</v>
      </c>
      <c r="G1029" t="s">
        <v>114</v>
      </c>
      <c r="H1029" t="s">
        <v>2652</v>
      </c>
      <c r="I1029" t="str">
        <f>INDEX(Genomes!$I:$I,(MATCH(AllProteins!H1029,Genomes!$B:$B,0)))</f>
        <v>AY386265-bovine_papular_stomatitis_virus</v>
      </c>
      <c r="J1029">
        <f>INDEX(Genomes!$A:$A,(MATCH(AllProteins!H1029,Genomes!$B:$B,0)))</f>
        <v>6</v>
      </c>
      <c r="K1029" t="str">
        <f>INDEX(Genomes!$J:$J,(MATCH(AllProteins!H1029,Genomes!$B:$B,0)))</f>
        <v>Y</v>
      </c>
    </row>
    <row r="1030" spans="1:11" x14ac:dyDescent="0.2">
      <c r="A1030">
        <f>INDEX(CoreProteinGroups!A:A,MATCH(B1030,CoreProteinGroups!B:B,0))</f>
        <v>18</v>
      </c>
      <c r="B1030" s="1" t="s">
        <v>1723</v>
      </c>
      <c r="C1030" t="str">
        <f>VLOOKUP(B1030,CoreProteinGroups!$B:$C,2,FALSE)</f>
        <v>FEN1</v>
      </c>
      <c r="D1030" t="s">
        <v>1796</v>
      </c>
      <c r="E1030" s="6" t="str">
        <f t="shared" si="16"/>
        <v>PROT:AAR98266.1</v>
      </c>
      <c r="F1030" t="s">
        <v>1795</v>
      </c>
      <c r="G1030" t="s">
        <v>2702</v>
      </c>
      <c r="H1030" t="s">
        <v>2678</v>
      </c>
      <c r="I1030" t="str">
        <f>INDEX(Genomes!$I:$I,(MATCH(AllProteins!H1030,Genomes!$B:$B,0)))</f>
        <v>AY386264-orf_virus</v>
      </c>
      <c r="J1030">
        <f>INDEX(Genomes!$A:$A,(MATCH(AllProteins!H1030,Genomes!$B:$B,0)))</f>
        <v>35</v>
      </c>
      <c r="K1030" t="str">
        <f>INDEX(Genomes!$J:$J,(MATCH(AllProteins!H1030,Genomes!$B:$B,0)))</f>
        <v>Y</v>
      </c>
    </row>
    <row r="1031" spans="1:11" x14ac:dyDescent="0.2">
      <c r="A1031">
        <f>INDEX(CoreProteinGroups!A:A,MATCH(B1031,CoreProteinGroups!B:B,0))</f>
        <v>18</v>
      </c>
      <c r="B1031" s="1" t="s">
        <v>1723</v>
      </c>
      <c r="C1031" t="str">
        <f>VLOOKUP(B1031,CoreProteinGroups!$B:$C,2,FALSE)</f>
        <v>FEN1</v>
      </c>
      <c r="D1031" t="s">
        <v>1797</v>
      </c>
      <c r="E1031" s="6" t="str">
        <f t="shared" si="16"/>
        <v>PROT:ABA00558.1</v>
      </c>
      <c r="F1031" t="s">
        <v>271</v>
      </c>
      <c r="G1031" t="s">
        <v>2555</v>
      </c>
      <c r="H1031" t="s">
        <v>2645</v>
      </c>
      <c r="I1031" t="str">
        <f>INDEX(Genomes!$I:$I,(MATCH(AllProteins!H1031,Genomes!$B:$B,0)))</f>
        <v>DQ184476-orf_virus_strain_NZ2</v>
      </c>
      <c r="J1031">
        <f>INDEX(Genomes!$A:$A,(MATCH(AllProteins!H1031,Genomes!$B:$B,0)))</f>
        <v>36</v>
      </c>
      <c r="K1031" t="str">
        <f>INDEX(Genomes!$J:$J,(MATCH(AllProteins!H1031,Genomes!$B:$B,0)))</f>
        <v>N</v>
      </c>
    </row>
    <row r="1032" spans="1:11" x14ac:dyDescent="0.2">
      <c r="A1032">
        <f>INDEX(CoreProteinGroups!A:A,MATCH(B1032,CoreProteinGroups!B:B,0))</f>
        <v>18</v>
      </c>
      <c r="B1032" s="1" t="s">
        <v>1723</v>
      </c>
      <c r="C1032" t="str">
        <f>VLOOKUP(B1032,CoreProteinGroups!$B:$C,2,FALSE)</f>
        <v>FEN1</v>
      </c>
      <c r="D1032" t="s">
        <v>1798</v>
      </c>
      <c r="E1032" s="6" t="str">
        <f t="shared" si="16"/>
        <v>PROT:AIZ77292.1</v>
      </c>
      <c r="F1032" t="s">
        <v>1799</v>
      </c>
      <c r="G1032" t="s">
        <v>119</v>
      </c>
      <c r="H1032" t="s">
        <v>2684</v>
      </c>
      <c r="I1032" t="str">
        <f>INDEX(Genomes!$I:$I,(MATCH(AllProteins!H1032,Genomes!$B:$B,0)))</f>
        <v>KM502564-parapoxvirus_red_deer</v>
      </c>
      <c r="J1032">
        <f>INDEX(Genomes!$A:$A,(MATCH(AllProteins!H1032,Genomes!$B:$B,0)))</f>
        <v>42</v>
      </c>
      <c r="K1032" t="str">
        <f>INDEX(Genomes!$J:$J,(MATCH(AllProteins!H1032,Genomes!$B:$B,0)))</f>
        <v>Y</v>
      </c>
    </row>
    <row r="1033" spans="1:11" x14ac:dyDescent="0.2">
      <c r="A1033">
        <f>INDEX(CoreProteinGroups!A:A,MATCH(B1033,CoreProteinGroups!B:B,0))</f>
        <v>18</v>
      </c>
      <c r="B1033" s="1" t="s">
        <v>1723</v>
      </c>
      <c r="C1033" t="str">
        <f>VLOOKUP(B1033,CoreProteinGroups!$B:$C,2,FALSE)</f>
        <v>FEN1</v>
      </c>
      <c r="D1033" t="s">
        <v>1800</v>
      </c>
      <c r="E1033" s="6" t="str">
        <f t="shared" si="16"/>
        <v>PROT:ADC53942.1</v>
      </c>
      <c r="F1033" t="s">
        <v>271</v>
      </c>
      <c r="G1033" t="s">
        <v>121</v>
      </c>
      <c r="H1033" t="s">
        <v>2679</v>
      </c>
      <c r="I1033" t="str">
        <f>INDEX(Genomes!$I:$I,(MATCH(AllProteins!H1033,Genomes!$B:$B,0)))</f>
        <v>GQ329670-pseudocowpox_virus</v>
      </c>
      <c r="J1033">
        <f>INDEX(Genomes!$A:$A,(MATCH(AllProteins!H1033,Genomes!$B:$B,0)))</f>
        <v>37</v>
      </c>
      <c r="K1033" t="str">
        <f>INDEX(Genomes!$J:$J,(MATCH(AllProteins!H1033,Genomes!$B:$B,0)))</f>
        <v>Y</v>
      </c>
    </row>
    <row r="1034" spans="1:11" x14ac:dyDescent="0.2">
      <c r="A1034">
        <f>INDEX(CoreProteinGroups!A:A,MATCH(B1034,CoreProteinGroups!B:B,0))</f>
        <v>18</v>
      </c>
      <c r="B1034" s="1" t="s">
        <v>1723</v>
      </c>
      <c r="C1034" t="str">
        <f>VLOOKUP(B1034,CoreProteinGroups!$B:$C,2,FALSE)</f>
        <v>FEN1</v>
      </c>
      <c r="D1034" t="s">
        <v>1801</v>
      </c>
      <c r="E1034" s="6" t="str">
        <f t="shared" si="16"/>
        <v>PROT:AAL69790.1</v>
      </c>
      <c r="F1034" t="s">
        <v>1802</v>
      </c>
      <c r="G1034" t="s">
        <v>124</v>
      </c>
      <c r="H1034" t="s">
        <v>2690</v>
      </c>
      <c r="I1034" t="str">
        <f>INDEX(Genomes!$I:$I,(MATCH(AllProteins!H1034,Genomes!$B:$B,0)))</f>
        <v>AF410153-swinepox_virus</v>
      </c>
      <c r="J1034">
        <f>INDEX(Genomes!$A:$A,(MATCH(AllProteins!H1034,Genomes!$B:$B,0)))</f>
        <v>49</v>
      </c>
      <c r="K1034" t="str">
        <f>INDEX(Genomes!$J:$J,(MATCH(AllProteins!H1034,Genomes!$B:$B,0)))</f>
        <v>Y</v>
      </c>
    </row>
    <row r="1035" spans="1:11" x14ac:dyDescent="0.2">
      <c r="A1035">
        <f>INDEX(CoreProteinGroups!A:A,MATCH(B1035,CoreProteinGroups!B:B,0))</f>
        <v>18</v>
      </c>
      <c r="B1035" s="1" t="s">
        <v>1723</v>
      </c>
      <c r="C1035" t="str">
        <f>VLOOKUP(B1035,CoreProteinGroups!$B:$C,2,FALSE)</f>
        <v>FEN1</v>
      </c>
      <c r="D1035" t="s">
        <v>1803</v>
      </c>
      <c r="E1035" s="6" t="str">
        <f t="shared" si="16"/>
        <v>PROT:CAC21292.1</v>
      </c>
      <c r="F1035" t="s">
        <v>1804</v>
      </c>
      <c r="G1035" t="s">
        <v>127</v>
      </c>
      <c r="H1035" t="s">
        <v>2699</v>
      </c>
      <c r="I1035" t="str">
        <f>INDEX(Genomes!$I:$I,(MATCH(AllProteins!H1035,Genomes!$B:$B,0)))</f>
        <v>AJ293568-tanapox_virus</v>
      </c>
      <c r="J1035">
        <f>INDEX(Genomes!$A:$A,(MATCH(AllProteins!H1035,Genomes!$B:$B,0)))</f>
        <v>58</v>
      </c>
      <c r="K1035" t="str">
        <f>INDEX(Genomes!$J:$J,(MATCH(AllProteins!H1035,Genomes!$B:$B,0)))</f>
        <v>Y</v>
      </c>
    </row>
    <row r="1036" spans="1:11" x14ac:dyDescent="0.2">
      <c r="A1036">
        <f>INDEX(CoreProteinGroups!A:A,MATCH(B1036,CoreProteinGroups!B:B,0))</f>
        <v>18</v>
      </c>
      <c r="B1036" s="1" t="s">
        <v>1723</v>
      </c>
      <c r="C1036" t="str">
        <f>VLOOKUP(B1036,CoreProteinGroups!$B:$C,2,FALSE)</f>
        <v>FEN1</v>
      </c>
      <c r="D1036" t="s">
        <v>1805</v>
      </c>
      <c r="E1036" s="6" t="str">
        <f t="shared" si="16"/>
        <v>PROT:AAR07410.1</v>
      </c>
      <c r="F1036" t="s">
        <v>1806</v>
      </c>
      <c r="G1036" t="s">
        <v>130</v>
      </c>
      <c r="H1036" t="s">
        <v>2700</v>
      </c>
      <c r="I1036" t="str">
        <f>INDEX(Genomes!$I:$I,(MATCH(AllProteins!H1036,Genomes!$B:$B,0)))</f>
        <v>AY386371-Yaba_monkey_tumor_virus</v>
      </c>
      <c r="J1036">
        <f>INDEX(Genomes!$A:$A,(MATCH(AllProteins!H1036,Genomes!$B:$B,0)))</f>
        <v>59</v>
      </c>
      <c r="K1036" t="str">
        <f>INDEX(Genomes!$J:$J,(MATCH(AllProteins!H1036,Genomes!$B:$B,0)))</f>
        <v>Y</v>
      </c>
    </row>
    <row r="1037" spans="1:11" x14ac:dyDescent="0.2">
      <c r="A1037">
        <f>INDEX(CoreProteinGroups!A:A,MATCH(B1037,CoreProteinGroups!B:B,0))</f>
        <v>18</v>
      </c>
      <c r="B1037" s="1" t="s">
        <v>1723</v>
      </c>
      <c r="C1037" t="str">
        <f>VLOOKUP(B1037,CoreProteinGroups!$B:$C,2,FALSE)</f>
        <v>FEN1</v>
      </c>
      <c r="D1037" t="s">
        <v>1807</v>
      </c>
      <c r="E1037" s="6" t="str">
        <f t="shared" si="16"/>
        <v>PROT:AAC97659.1</v>
      </c>
      <c r="F1037" t="s">
        <v>1808</v>
      </c>
      <c r="G1037" t="s">
        <v>133</v>
      </c>
      <c r="H1037" t="s">
        <v>2674</v>
      </c>
      <c r="I1037" t="str">
        <f>INDEX(Genomes!$I:$I,(MATCH(AllProteins!H1037,Genomes!$B:$B,0)))</f>
        <v>AF063866-Melanoplus_sanguinipes_entomopoxvirus</v>
      </c>
      <c r="J1037">
        <f>INDEX(Genomes!$A:$A,(MATCH(AllProteins!H1037,Genomes!$B:$B,0)))</f>
        <v>30</v>
      </c>
      <c r="K1037" t="str">
        <f>INDEX(Genomes!$J:$J,(MATCH(AllProteins!H1037,Genomes!$B:$B,0)))</f>
        <v>Y</v>
      </c>
    </row>
    <row r="1038" spans="1:11" x14ac:dyDescent="0.2">
      <c r="A1038">
        <f>INDEX(CoreProteinGroups!A:A,MATCH(B1038,CoreProteinGroups!B:B,0))</f>
        <v>18</v>
      </c>
      <c r="B1038" s="1" t="s">
        <v>1723</v>
      </c>
      <c r="C1038" t="str">
        <f>VLOOKUP(B1038,CoreProteinGroups!$B:$C,2,FALSE)</f>
        <v>FEN1</v>
      </c>
      <c r="D1038" t="s">
        <v>1809</v>
      </c>
      <c r="E1038" s="6" t="str">
        <f t="shared" si="16"/>
        <v>PROT:BAO49469.1</v>
      </c>
      <c r="F1038" t="s">
        <v>1726</v>
      </c>
      <c r="G1038" t="s">
        <v>136</v>
      </c>
      <c r="H1038" t="s">
        <v>2648</v>
      </c>
      <c r="I1038" t="str">
        <f>INDEX(Genomes!$I:$I,(MATCH(AllProteins!H1038,Genomes!$B:$B,0)))</f>
        <v>AP013055-Anomala_cuprea_entomopoxvirus</v>
      </c>
      <c r="J1038">
        <f>INDEX(Genomes!$A:$A,(MATCH(AllProteins!H1038,Genomes!$B:$B,0)))</f>
        <v>2</v>
      </c>
      <c r="K1038" t="str">
        <f>INDEX(Genomes!$J:$J,(MATCH(AllProteins!H1038,Genomes!$B:$B,0)))</f>
        <v>Y</v>
      </c>
    </row>
    <row r="1039" spans="1:11" x14ac:dyDescent="0.2">
      <c r="A1039">
        <f>INDEX(CoreProteinGroups!A:A,MATCH(B1039,CoreProteinGroups!B:B,0))</f>
        <v>18</v>
      </c>
      <c r="B1039" s="1" t="s">
        <v>1723</v>
      </c>
      <c r="C1039" t="str">
        <f>VLOOKUP(B1039,CoreProteinGroups!$B:$C,2,FALSE)</f>
        <v>FEN1</v>
      </c>
      <c r="D1039" t="s">
        <v>1810</v>
      </c>
      <c r="E1039" s="6" t="str">
        <f t="shared" si="16"/>
        <v>PROT:CCU55478.1</v>
      </c>
      <c r="F1039" t="s">
        <v>1811</v>
      </c>
      <c r="G1039" t="s">
        <v>138</v>
      </c>
      <c r="H1039" t="s">
        <v>2649</v>
      </c>
      <c r="I1039" t="str">
        <f>INDEX(Genomes!$I:$I,(MATCH(AllProteins!H1039,Genomes!$B:$B,0)))</f>
        <v>HF679131-Adoxophyes_honmai_entomopoxvirus</v>
      </c>
      <c r="J1039">
        <f>INDEX(Genomes!$A:$A,(MATCH(AllProteins!H1039,Genomes!$B:$B,0)))</f>
        <v>3</v>
      </c>
      <c r="K1039" t="str">
        <f>INDEX(Genomes!$J:$J,(MATCH(AllProteins!H1039,Genomes!$B:$B,0)))</f>
        <v>Y</v>
      </c>
    </row>
    <row r="1040" spans="1:11" x14ac:dyDescent="0.2">
      <c r="A1040">
        <f>INDEX(CoreProteinGroups!A:A,MATCH(B1040,CoreProteinGroups!B:B,0))</f>
        <v>18</v>
      </c>
      <c r="B1040" s="1" t="s">
        <v>1723</v>
      </c>
      <c r="C1040" t="str">
        <f>VLOOKUP(B1040,CoreProteinGroups!$B:$C,2,FALSE)</f>
        <v>FEN1</v>
      </c>
      <c r="D1040" t="s">
        <v>1812</v>
      </c>
      <c r="E1040" s="6" t="str">
        <f t="shared" si="16"/>
        <v>PROT:AAG02885.1</v>
      </c>
      <c r="F1040" t="s">
        <v>1813</v>
      </c>
      <c r="G1040" t="s">
        <v>141</v>
      </c>
      <c r="H1040" t="s">
        <v>2651</v>
      </c>
      <c r="I1040" t="str">
        <f>INDEX(Genomes!$I:$I,(MATCH(AllProteins!H1040,Genomes!$B:$B,0)))</f>
        <v>AF250284-Amsacta_moorei_entomopoxvirus</v>
      </c>
      <c r="J1040">
        <f>INDEX(Genomes!$A:$A,(MATCH(AllProteins!H1040,Genomes!$B:$B,0)))</f>
        <v>5</v>
      </c>
      <c r="K1040" t="str">
        <f>INDEX(Genomes!$J:$J,(MATCH(AllProteins!H1040,Genomes!$B:$B,0)))</f>
        <v>Y</v>
      </c>
    </row>
    <row r="1041" spans="1:11" x14ac:dyDescent="0.2">
      <c r="A1041">
        <f>INDEX(CoreProteinGroups!A:A,MATCH(B1041,CoreProteinGroups!B:B,0))</f>
        <v>18</v>
      </c>
      <c r="B1041" s="1" t="s">
        <v>1723</v>
      </c>
      <c r="C1041" t="str">
        <f>VLOOKUP(B1041,CoreProteinGroups!$B:$C,2,FALSE)</f>
        <v>FEN1</v>
      </c>
      <c r="D1041" t="s">
        <v>1814</v>
      </c>
      <c r="E1041" s="6" t="str">
        <f t="shared" si="16"/>
        <v>PROT:CCU55786.1</v>
      </c>
      <c r="F1041" t="s">
        <v>1811</v>
      </c>
      <c r="G1041" t="s">
        <v>143</v>
      </c>
      <c r="H1041" t="s">
        <v>2656</v>
      </c>
      <c r="I1041" t="str">
        <f>INDEX(Genomes!$I:$I,(MATCH(AllProteins!H1041,Genomes!$B:$B,0)))</f>
        <v>HF679132-Choristoneura_biennis_entomopoxvirus</v>
      </c>
      <c r="J1041">
        <f>INDEX(Genomes!$A:$A,(MATCH(AllProteins!H1041,Genomes!$B:$B,0)))</f>
        <v>10</v>
      </c>
      <c r="K1041" t="str">
        <f>INDEX(Genomes!$J:$J,(MATCH(AllProteins!H1041,Genomes!$B:$B,0)))</f>
        <v>Y</v>
      </c>
    </row>
    <row r="1042" spans="1:11" x14ac:dyDescent="0.2">
      <c r="A1042">
        <f>INDEX(CoreProteinGroups!A:A,MATCH(B1042,CoreProteinGroups!B:B,0))</f>
        <v>18</v>
      </c>
      <c r="B1042" s="1" t="s">
        <v>1723</v>
      </c>
      <c r="C1042" t="str">
        <f>VLOOKUP(B1042,CoreProteinGroups!$B:$C,2,FALSE)</f>
        <v>FEN1</v>
      </c>
      <c r="D1042" t="s">
        <v>1815</v>
      </c>
      <c r="E1042" s="6" t="str">
        <f t="shared" si="16"/>
        <v>PROT:CCU56088.1</v>
      </c>
      <c r="F1042" t="s">
        <v>1811</v>
      </c>
      <c r="G1042" t="s">
        <v>145</v>
      </c>
      <c r="H1042" t="s">
        <v>2660</v>
      </c>
      <c r="I1042" t="str">
        <f>INDEX(Genomes!$I:$I,(MATCH(AllProteins!H1042,Genomes!$B:$B,0)))</f>
        <v>HF679133-Choristoneura_rosaceana_entomopoxvirus</v>
      </c>
      <c r="J1042">
        <f>INDEX(Genomes!$A:$A,(MATCH(AllProteins!H1042,Genomes!$B:$B,0)))</f>
        <v>14</v>
      </c>
      <c r="K1042" t="str">
        <f>INDEX(Genomes!$J:$J,(MATCH(AllProteins!H1042,Genomes!$B:$B,0)))</f>
        <v>Y</v>
      </c>
    </row>
    <row r="1043" spans="1:11" x14ac:dyDescent="0.2">
      <c r="A1043">
        <f>INDEX(CoreProteinGroups!A:A,MATCH(B1043,CoreProteinGroups!B:B,0))</f>
        <v>18</v>
      </c>
      <c r="B1043" s="1" t="s">
        <v>1723</v>
      </c>
      <c r="C1043" t="str">
        <f>VLOOKUP(B1043,CoreProteinGroups!$B:$C,2,FALSE)</f>
        <v>FEN1</v>
      </c>
      <c r="D1043" t="s">
        <v>1816</v>
      </c>
      <c r="E1043" s="6" t="str">
        <f t="shared" si="16"/>
        <v>PROT:CCU56413.1</v>
      </c>
      <c r="F1043" t="s">
        <v>1811</v>
      </c>
      <c r="G1043" t="s">
        <v>147</v>
      </c>
      <c r="H1043" t="s">
        <v>2675</v>
      </c>
      <c r="I1043" t="str">
        <f>INDEX(Genomes!$I:$I,(MATCH(AllProteins!H1043,Genomes!$B:$B,0)))</f>
        <v>HF679134-Mythimna_separata_entomopoxvirus</v>
      </c>
      <c r="J1043">
        <f>INDEX(Genomes!$A:$A,(MATCH(AllProteins!H1043,Genomes!$B:$B,0)))</f>
        <v>31</v>
      </c>
      <c r="K1043" t="str">
        <f>INDEX(Genomes!$J:$J,(MATCH(AllProteins!H1043,Genomes!$B:$B,0)))</f>
        <v>Y</v>
      </c>
    </row>
    <row r="1044" spans="1:11" x14ac:dyDescent="0.2">
      <c r="A1044">
        <f>INDEX(CoreProteinGroups!A:A,MATCH(B1044,CoreProteinGroups!B:B,0))</f>
        <v>18</v>
      </c>
      <c r="B1044" s="1" t="s">
        <v>1723</v>
      </c>
      <c r="C1044" t="str">
        <f>VLOOKUP(B1044,CoreProteinGroups!$B:$C,2,FALSE)</f>
        <v>FEN1</v>
      </c>
      <c r="D1044" t="s">
        <v>1817</v>
      </c>
      <c r="E1044" s="6" t="str">
        <f t="shared" si="16"/>
        <v>PROT:NP_659626.1</v>
      </c>
      <c r="F1044" t="s">
        <v>1818</v>
      </c>
      <c r="G1044" t="s">
        <v>150</v>
      </c>
      <c r="H1044" t="s">
        <v>2620</v>
      </c>
      <c r="I1044" t="str">
        <f>INDEX(Genomes!$I:$I,(MATCH(AllProteins!H1044,Genomes!$B:$B,0)))</f>
        <v>NC_004002-sheeppox_virus</v>
      </c>
      <c r="J1044">
        <f>INDEX(Genomes!$A:$A,(MATCH(AllProteins!H1044,Genomes!$B:$B,0)))</f>
        <v>44</v>
      </c>
      <c r="K1044" t="str">
        <f>INDEX(Genomes!$J:$J,(MATCH(AllProteins!H1044,Genomes!$B:$B,0)))</f>
        <v>Y</v>
      </c>
    </row>
    <row r="1045" spans="1:11" x14ac:dyDescent="0.2">
      <c r="A1045">
        <f>INDEX(CoreProteinGroups!A:A,MATCH(B1045,CoreProteinGroups!B:B,0))</f>
        <v>18</v>
      </c>
      <c r="B1045" s="1" t="s">
        <v>1723</v>
      </c>
      <c r="C1045" t="str">
        <f>VLOOKUP(B1045,CoreProteinGroups!$B:$C,2,FALSE)</f>
        <v>FEN1</v>
      </c>
      <c r="D1045" t="s">
        <v>1819</v>
      </c>
      <c r="E1045" s="6" t="str">
        <f t="shared" si="16"/>
        <v>PROT:YP_001293245.1</v>
      </c>
      <c r="F1045" t="s">
        <v>1820</v>
      </c>
      <c r="G1045" t="s">
        <v>153</v>
      </c>
      <c r="H1045" t="s">
        <v>2644</v>
      </c>
      <c r="I1045" t="str">
        <f>INDEX(Genomes!$I:$I,(MATCH(AllProteins!H1045,Genomes!$B:$B,0)))</f>
        <v>NC_004003-goatpox_virus</v>
      </c>
      <c r="J1045">
        <f>INDEX(Genomes!$A:$A,(MATCH(AllProteins!H1045,Genomes!$B:$B,0)))</f>
        <v>23</v>
      </c>
      <c r="K1045" t="str">
        <f>INDEX(Genomes!$J:$J,(MATCH(AllProteins!H1045,Genomes!$B:$B,0)))</f>
        <v>Y</v>
      </c>
    </row>
    <row r="1046" spans="1:11" x14ac:dyDescent="0.2">
      <c r="A1046">
        <f>INDEX(CoreProteinGroups!A:A,MATCH(B1046,CoreProteinGroups!B:B,0))</f>
        <v>19</v>
      </c>
      <c r="B1046" s="1" t="s">
        <v>1821</v>
      </c>
      <c r="C1046" t="str">
        <f>VLOOKUP(B1046,CoreProteinGroups!$B:$C,2,FALSE)</f>
        <v>IMV entry-fusion</v>
      </c>
      <c r="D1046" t="s">
        <v>1823</v>
      </c>
      <c r="E1046" s="6" t="str">
        <f t="shared" si="16"/>
        <v>PROT:ATI21181.1</v>
      </c>
      <c r="F1046" t="s">
        <v>583</v>
      </c>
      <c r="G1046" t="s">
        <v>11</v>
      </c>
      <c r="H1046" t="s">
        <v>2663</v>
      </c>
      <c r="I1046" t="str">
        <f>INDEX(Genomes!$I:$I,(MATCH(AllProteins!H1046,Genomes!$B:$B,0)))</f>
        <v>MF467281-Eastern_grey_kangaroopox_virus</v>
      </c>
      <c r="J1046">
        <f>INDEX(Genomes!$A:$A,(MATCH(AllProteins!H1046,Genomes!$B:$B,0)))</f>
        <v>18</v>
      </c>
      <c r="K1046" t="str">
        <f>INDEX(Genomes!$J:$J,(MATCH(AllProteins!H1046,Genomes!$B:$B,0)))</f>
        <v>Y</v>
      </c>
    </row>
    <row r="1047" spans="1:11" x14ac:dyDescent="0.2">
      <c r="A1047">
        <f>INDEX(CoreProteinGroups!A:A,MATCH(B1047,CoreProteinGroups!B:B,0))</f>
        <v>19</v>
      </c>
      <c r="B1047" s="1" t="s">
        <v>1821</v>
      </c>
      <c r="C1047" t="str">
        <f>VLOOKUP(B1047,CoreProteinGroups!$B:$C,2,FALSE)</f>
        <v>IMV entry-fusion</v>
      </c>
      <c r="D1047" t="s">
        <v>1824</v>
      </c>
      <c r="E1047" s="6" t="str">
        <f t="shared" si="16"/>
        <v>PROT:AWU47116.1</v>
      </c>
      <c r="F1047" t="s">
        <v>1825</v>
      </c>
      <c r="G1047" t="s">
        <v>13</v>
      </c>
      <c r="H1047" t="s">
        <v>2688</v>
      </c>
      <c r="I1047" t="str">
        <f>INDEX(Genomes!$I:$I,(MATCH(AllProteins!H1047,Genomes!$B:$B,0)))</f>
        <v>MH427217-sea_otter_poxvirus</v>
      </c>
      <c r="J1047">
        <f>INDEX(Genomes!$A:$A,(MATCH(AllProteins!H1047,Genomes!$B:$B,0)))</f>
        <v>47</v>
      </c>
      <c r="K1047" t="str">
        <f>INDEX(Genomes!$J:$J,(MATCH(AllProteins!H1047,Genomes!$B:$B,0)))</f>
        <v>Y</v>
      </c>
    </row>
    <row r="1048" spans="1:11" x14ac:dyDescent="0.2">
      <c r="A1048">
        <f>INDEX(CoreProteinGroups!A:A,MATCH(B1048,CoreProteinGroups!B:B,0))</f>
        <v>19</v>
      </c>
      <c r="B1048" s="1" t="s">
        <v>1821</v>
      </c>
      <c r="C1048" t="str">
        <f>VLOOKUP(B1048,CoreProteinGroups!$B:$C,2,FALSE)</f>
        <v>IMV entry-fusion</v>
      </c>
      <c r="D1048" t="s">
        <v>1826</v>
      </c>
      <c r="E1048" s="6" t="str">
        <f t="shared" si="16"/>
        <v>PROT:APG58290.1</v>
      </c>
      <c r="F1048" t="s">
        <v>1827</v>
      </c>
      <c r="G1048" t="s">
        <v>16</v>
      </c>
      <c r="H1048" t="s">
        <v>2653</v>
      </c>
      <c r="I1048" t="str">
        <f>INDEX(Genomes!$I:$I,(MATCH(AllProteins!H1048,Genomes!$B:$B,0)))</f>
        <v>KY094066-BeAn_58058_virus</v>
      </c>
      <c r="J1048">
        <f>INDEX(Genomes!$A:$A,(MATCH(AllProteins!H1048,Genomes!$B:$B,0)))</f>
        <v>7</v>
      </c>
      <c r="K1048" t="str">
        <f>INDEX(Genomes!$J:$J,(MATCH(AllProteins!H1048,Genomes!$B:$B,0)))</f>
        <v>N</v>
      </c>
    </row>
    <row r="1049" spans="1:11" x14ac:dyDescent="0.2">
      <c r="A1049">
        <f>INDEX(CoreProteinGroups!A:A,MATCH(B1049,CoreProteinGroups!B:B,0))</f>
        <v>19</v>
      </c>
      <c r="B1049" s="1" t="s">
        <v>1821</v>
      </c>
      <c r="C1049" t="str">
        <f>VLOOKUP(B1049,CoreProteinGroups!$B:$C,2,FALSE)</f>
        <v>IMV entry-fusion</v>
      </c>
      <c r="D1049" t="s">
        <v>1828</v>
      </c>
      <c r="E1049" s="6" t="str">
        <f t="shared" si="16"/>
        <v>PROT:ADT91103.1</v>
      </c>
      <c r="F1049" t="s">
        <v>555</v>
      </c>
      <c r="G1049" t="s">
        <v>19</v>
      </c>
      <c r="H1049" t="s">
        <v>2658</v>
      </c>
      <c r="I1049" t="str">
        <f>INDEX(Genomes!$I:$I,(MATCH(AllProteins!H1049,Genomes!$B:$B,0)))</f>
        <v>HQ647181-Cotia_virus</v>
      </c>
      <c r="J1049">
        <f>INDEX(Genomes!$A:$A,(MATCH(AllProteins!H1049,Genomes!$B:$B,0)))</f>
        <v>12</v>
      </c>
      <c r="K1049" t="str">
        <f>INDEX(Genomes!$J:$J,(MATCH(AllProteins!H1049,Genomes!$B:$B,0)))</f>
        <v>Y</v>
      </c>
    </row>
    <row r="1050" spans="1:11" x14ac:dyDescent="0.2">
      <c r="A1050">
        <f>INDEX(CoreProteinGroups!A:A,MATCH(B1050,CoreProteinGroups!B:B,0))</f>
        <v>19</v>
      </c>
      <c r="B1050" s="1" t="s">
        <v>1821</v>
      </c>
      <c r="C1050" t="str">
        <f>VLOOKUP(B1050,CoreProteinGroups!$B:$C,2,FALSE)</f>
        <v>IMV entry-fusion</v>
      </c>
      <c r="D1050" t="s">
        <v>1829</v>
      </c>
      <c r="E1050" s="6" t="str">
        <f t="shared" si="16"/>
        <v>PROT:ANS71160.1</v>
      </c>
      <c r="F1050" t="s">
        <v>1830</v>
      </c>
      <c r="G1050" t="s">
        <v>21</v>
      </c>
      <c r="H1050" t="s">
        <v>2682</v>
      </c>
      <c r="I1050" t="str">
        <f>INDEX(Genomes!$I:$I,(MATCH(AllProteins!H1050,Genomes!$B:$B,0)))</f>
        <v>KU980965-pteropox_virus</v>
      </c>
      <c r="J1050">
        <f>INDEX(Genomes!$A:$A,(MATCH(AllProteins!H1050,Genomes!$B:$B,0)))</f>
        <v>40</v>
      </c>
      <c r="K1050" t="str">
        <f>INDEX(Genomes!$J:$J,(MATCH(AllProteins!H1050,Genomes!$B:$B,0)))</f>
        <v>Y</v>
      </c>
    </row>
    <row r="1051" spans="1:11" x14ac:dyDescent="0.2">
      <c r="A1051">
        <f>INDEX(CoreProteinGroups!A:A,MATCH(B1051,CoreProteinGroups!B:B,0))</f>
        <v>19</v>
      </c>
      <c r="B1051" s="1" t="s">
        <v>1821</v>
      </c>
      <c r="C1051" t="str">
        <f>VLOOKUP(B1051,CoreProteinGroups!$B:$C,2,FALSE)</f>
        <v>IMV entry-fusion</v>
      </c>
      <c r="D1051" t="s">
        <v>1831</v>
      </c>
      <c r="E1051" s="6" t="str">
        <f t="shared" si="16"/>
        <v>PROT:AKR04292.1</v>
      </c>
      <c r="F1051" t="s">
        <v>1832</v>
      </c>
      <c r="G1051" t="s">
        <v>24</v>
      </c>
      <c r="H1051" t="s">
        <v>2687</v>
      </c>
      <c r="I1051" t="str">
        <f>INDEX(Genomes!$I:$I,(MATCH(AllProteins!H1051,Genomes!$B:$B,0)))</f>
        <v>KT159937-salmon_gill_poxvirus</v>
      </c>
      <c r="J1051">
        <f>INDEX(Genomes!$A:$A,(MATCH(AllProteins!H1051,Genomes!$B:$B,0)))</f>
        <v>46</v>
      </c>
      <c r="K1051" t="str">
        <f>INDEX(Genomes!$J:$J,(MATCH(AllProteins!H1051,Genomes!$B:$B,0)))</f>
        <v>Y</v>
      </c>
    </row>
    <row r="1052" spans="1:11" x14ac:dyDescent="0.2">
      <c r="A1052">
        <f>INDEX(CoreProteinGroups!A:A,MATCH(B1052,CoreProteinGroups!B:B,0))</f>
        <v>19</v>
      </c>
      <c r="B1052" s="1" t="s">
        <v>1821</v>
      </c>
      <c r="C1052" t="str">
        <f>VLOOKUP(B1052,CoreProteinGroups!$B:$C,2,FALSE)</f>
        <v>IMV entry-fusion</v>
      </c>
      <c r="D1052" t="s">
        <v>1833</v>
      </c>
      <c r="E1052" s="6" t="str">
        <f t="shared" si="16"/>
        <v>PROT:CCD83249.1</v>
      </c>
      <c r="F1052" t="s">
        <v>1834</v>
      </c>
      <c r="G1052" t="s">
        <v>27</v>
      </c>
      <c r="H1052" t="s">
        <v>2689</v>
      </c>
      <c r="I1052" t="str">
        <f>INDEX(Genomes!$I:$I,(MATCH(AllProteins!H1052,Genomes!$B:$B,0)))</f>
        <v>HE601899-squirrelpox_virus</v>
      </c>
      <c r="J1052">
        <f>INDEX(Genomes!$A:$A,(MATCH(AllProteins!H1052,Genomes!$B:$B,0)))</f>
        <v>48</v>
      </c>
      <c r="K1052" t="str">
        <f>INDEX(Genomes!$J:$J,(MATCH(AllProteins!H1052,Genomes!$B:$B,0)))</f>
        <v>Y</v>
      </c>
    </row>
    <row r="1053" spans="1:11" x14ac:dyDescent="0.2">
      <c r="A1053">
        <f>INDEX(CoreProteinGroups!A:A,MATCH(B1053,CoreProteinGroups!B:B,0))</f>
        <v>19</v>
      </c>
      <c r="B1053" s="1" t="s">
        <v>1821</v>
      </c>
      <c r="C1053" t="str">
        <f>VLOOKUP(B1053,CoreProteinGroups!$B:$C,2,FALSE)</f>
        <v>IMV entry-fusion</v>
      </c>
      <c r="D1053" t="s">
        <v>1835</v>
      </c>
      <c r="E1053" s="6" t="str">
        <f t="shared" si="16"/>
        <v>PROT:ASK51278.1</v>
      </c>
      <c r="F1053" t="s">
        <v>1836</v>
      </c>
      <c r="G1053" t="s">
        <v>30</v>
      </c>
      <c r="H1053" t="s">
        <v>2664</v>
      </c>
      <c r="I1053" t="str">
        <f>INDEX(Genomes!$I:$I,(MATCH(AllProteins!H1053,Genomes!$B:$B,0)))</f>
        <v>KY747497-eptesipox_virus</v>
      </c>
      <c r="J1053">
        <f>INDEX(Genomes!$A:$A,(MATCH(AllProteins!H1053,Genomes!$B:$B,0)))</f>
        <v>19</v>
      </c>
      <c r="K1053" t="str">
        <f>INDEX(Genomes!$J:$J,(MATCH(AllProteins!H1053,Genomes!$B:$B,0)))</f>
        <v>Y</v>
      </c>
    </row>
    <row r="1054" spans="1:11" x14ac:dyDescent="0.2">
      <c r="A1054">
        <f>INDEX(CoreProteinGroups!A:A,MATCH(B1054,CoreProteinGroups!B:B,0))</f>
        <v>19</v>
      </c>
      <c r="B1054" s="1" t="s">
        <v>1821</v>
      </c>
      <c r="C1054" t="str">
        <f>VLOOKUP(B1054,CoreProteinGroups!$B:$C,2,FALSE)</f>
        <v>IMV entry-fusion</v>
      </c>
      <c r="D1054" t="s">
        <v>1837</v>
      </c>
      <c r="E1054" s="6" t="str">
        <f t="shared" si="16"/>
        <v>PROT:AUD40243.1</v>
      </c>
      <c r="F1054" t="s">
        <v>1838</v>
      </c>
      <c r="G1054" t="s">
        <v>32</v>
      </c>
      <c r="H1054" t="s">
        <v>2665</v>
      </c>
      <c r="I1054" t="str">
        <f>INDEX(Genomes!$I:$I,(MATCH(AllProteins!H1054,Genomes!$B:$B,0)))</f>
        <v>MF678796-flamingopox_virus</v>
      </c>
      <c r="J1054">
        <f>INDEX(Genomes!$A:$A,(MATCH(AllProteins!H1054,Genomes!$B:$B,0)))</f>
        <v>20</v>
      </c>
      <c r="K1054" t="str">
        <f>INDEX(Genomes!$J:$J,(MATCH(AllProteins!H1054,Genomes!$B:$B,0)))</f>
        <v>Y</v>
      </c>
    </row>
    <row r="1055" spans="1:11" x14ac:dyDescent="0.2">
      <c r="A1055">
        <f>INDEX(CoreProteinGroups!A:A,MATCH(B1055,CoreProteinGroups!B:B,0))</f>
        <v>19</v>
      </c>
      <c r="B1055" s="1" t="s">
        <v>1821</v>
      </c>
      <c r="C1055" t="str">
        <f>VLOOKUP(B1055,CoreProteinGroups!$B:$C,2,FALSE)</f>
        <v>IMV entry-fusion</v>
      </c>
      <c r="D1055" t="s">
        <v>1839</v>
      </c>
      <c r="E1055" s="6" t="str">
        <f t="shared" si="16"/>
        <v>PROT:AID46875.1</v>
      </c>
      <c r="F1055" t="s">
        <v>1840</v>
      </c>
      <c r="G1055" t="s">
        <v>34</v>
      </c>
      <c r="H1055" t="s">
        <v>2681</v>
      </c>
      <c r="I1055" t="str">
        <f>INDEX(Genomes!$I:$I,(MATCH(AllProteins!H1055,Genomes!$B:$B,0)))</f>
        <v>KJ859677-penguinpox_virus</v>
      </c>
      <c r="J1055">
        <f>INDEX(Genomes!$A:$A,(MATCH(AllProteins!H1055,Genomes!$B:$B,0)))</f>
        <v>39</v>
      </c>
      <c r="K1055" t="str">
        <f>INDEX(Genomes!$J:$J,(MATCH(AllProteins!H1055,Genomes!$B:$B,0)))</f>
        <v>Y</v>
      </c>
    </row>
    <row r="1056" spans="1:11" x14ac:dyDescent="0.2">
      <c r="A1056">
        <f>INDEX(CoreProteinGroups!A:A,MATCH(B1056,CoreProteinGroups!B:B,0))</f>
        <v>19</v>
      </c>
      <c r="B1056" s="1" t="s">
        <v>1821</v>
      </c>
      <c r="C1056" t="str">
        <f>VLOOKUP(B1056,CoreProteinGroups!$B:$C,2,FALSE)</f>
        <v>IMV entry-fusion</v>
      </c>
      <c r="D1056" t="s">
        <v>1841</v>
      </c>
      <c r="E1056" s="6" t="str">
        <f t="shared" si="16"/>
        <v>PROT:AID46646.1</v>
      </c>
      <c r="F1056" t="s">
        <v>1842</v>
      </c>
      <c r="G1056" t="s">
        <v>36</v>
      </c>
      <c r="H1056" t="s">
        <v>2680</v>
      </c>
      <c r="I1056" t="str">
        <f>INDEX(Genomes!$I:$I,(MATCH(AllProteins!H1056,Genomes!$B:$B,0)))</f>
        <v>KJ801920-pigeonpox_virus</v>
      </c>
      <c r="J1056">
        <f>INDEX(Genomes!$A:$A,(MATCH(AllProteins!H1056,Genomes!$B:$B,0)))</f>
        <v>38</v>
      </c>
      <c r="K1056" t="str">
        <f>INDEX(Genomes!$J:$J,(MATCH(AllProteins!H1056,Genomes!$B:$B,0)))</f>
        <v>Y</v>
      </c>
    </row>
    <row r="1057" spans="1:11" x14ac:dyDescent="0.2">
      <c r="A1057">
        <f>INDEX(CoreProteinGroups!A:A,MATCH(B1057,CoreProteinGroups!B:B,0))</f>
        <v>19</v>
      </c>
      <c r="B1057" s="1" t="s">
        <v>1821</v>
      </c>
      <c r="C1057" t="str">
        <f>VLOOKUP(B1057,CoreProteinGroups!$B:$C,2,FALSE)</f>
        <v>IMV entry-fusion</v>
      </c>
      <c r="D1057" t="s">
        <v>1843</v>
      </c>
      <c r="E1057" s="6" t="str">
        <f t="shared" si="16"/>
        <v>PROT:ALA62476.1</v>
      </c>
      <c r="F1057" t="s">
        <v>271</v>
      </c>
      <c r="G1057" t="s">
        <v>39</v>
      </c>
      <c r="H1057" t="s">
        <v>2692</v>
      </c>
      <c r="I1057" t="str">
        <f>INDEX(Genomes!$I:$I,(MATCH(AllProteins!H1057,Genomes!$B:$B,0)))</f>
        <v>KP728110-turkeypox_virus</v>
      </c>
      <c r="J1057">
        <f>INDEX(Genomes!$A:$A,(MATCH(AllProteins!H1057,Genomes!$B:$B,0)))</f>
        <v>51</v>
      </c>
      <c r="K1057" t="str">
        <f>INDEX(Genomes!$J:$J,(MATCH(AllProteins!H1057,Genomes!$B:$B,0)))</f>
        <v>Y</v>
      </c>
    </row>
    <row r="1058" spans="1:11" x14ac:dyDescent="0.2">
      <c r="A1058">
        <f>INDEX(CoreProteinGroups!A:A,MATCH(B1058,CoreProteinGroups!B:B,0))</f>
        <v>19</v>
      </c>
      <c r="B1058" s="1" t="s">
        <v>1821</v>
      </c>
      <c r="C1058" t="str">
        <f>VLOOKUP(B1058,CoreProteinGroups!$B:$C,2,FALSE)</f>
        <v>IMV entry-fusion</v>
      </c>
      <c r="D1058" t="s">
        <v>1844</v>
      </c>
      <c r="E1058" s="6" t="str">
        <f t="shared" si="16"/>
        <v>PROT:AAR83530.1</v>
      </c>
      <c r="F1058" t="s">
        <v>1845</v>
      </c>
      <c r="G1058" t="s">
        <v>42</v>
      </c>
      <c r="H1058" t="s">
        <v>2657</v>
      </c>
      <c r="I1058" t="str">
        <f>INDEX(Genomes!$I:$I,(MATCH(AllProteins!H1058,Genomes!$B:$B,0)))</f>
        <v>AY318871-canarypox_virus</v>
      </c>
      <c r="J1058">
        <f>INDEX(Genomes!$A:$A,(MATCH(AllProteins!H1058,Genomes!$B:$B,0)))</f>
        <v>11</v>
      </c>
      <c r="K1058" t="str">
        <f>INDEX(Genomes!$J:$J,(MATCH(AllProteins!H1058,Genomes!$B:$B,0)))</f>
        <v>Y</v>
      </c>
    </row>
    <row r="1059" spans="1:11" x14ac:dyDescent="0.2">
      <c r="A1059">
        <f>INDEX(CoreProteinGroups!A:A,MATCH(B1059,CoreProteinGroups!B:B,0))</f>
        <v>19</v>
      </c>
      <c r="B1059" s="1" t="s">
        <v>1821</v>
      </c>
      <c r="C1059" t="str">
        <f>VLOOKUP(B1059,CoreProteinGroups!$B:$C,2,FALSE)</f>
        <v>IMV entry-fusion</v>
      </c>
      <c r="D1059" t="s">
        <v>1846</v>
      </c>
      <c r="E1059" s="6" t="str">
        <f t="shared" si="16"/>
        <v>PROT:AAF44483.1</v>
      </c>
      <c r="F1059" t="s">
        <v>1847</v>
      </c>
      <c r="G1059" t="s">
        <v>45</v>
      </c>
      <c r="H1059" t="s">
        <v>2666</v>
      </c>
      <c r="I1059" t="str">
        <f>INDEX(Genomes!$I:$I,(MATCH(AllProteins!H1059,Genomes!$B:$B,0)))</f>
        <v>AF198100-fowlpox_virus</v>
      </c>
      <c r="J1059">
        <f>INDEX(Genomes!$A:$A,(MATCH(AllProteins!H1059,Genomes!$B:$B,0)))</f>
        <v>21</v>
      </c>
      <c r="K1059" t="str">
        <f>INDEX(Genomes!$J:$J,(MATCH(AllProteins!H1059,Genomes!$B:$B,0)))</f>
        <v>Y</v>
      </c>
    </row>
    <row r="1060" spans="1:11" x14ac:dyDescent="0.2">
      <c r="A1060">
        <f>INDEX(CoreProteinGroups!A:A,MATCH(B1060,CoreProteinGroups!B:B,0))</f>
        <v>19</v>
      </c>
      <c r="B1060" s="1" t="s">
        <v>1821</v>
      </c>
      <c r="C1060" t="str">
        <f>VLOOKUP(B1060,CoreProteinGroups!$B:$C,2,FALSE)</f>
        <v>IMV entry-fusion</v>
      </c>
      <c r="D1060" t="s">
        <v>1848</v>
      </c>
      <c r="E1060" s="6" t="str">
        <f t="shared" si="16"/>
        <v>PROT:YP_001293264.1</v>
      </c>
      <c r="F1060" t="s">
        <v>1849</v>
      </c>
      <c r="G1060" t="s">
        <v>153</v>
      </c>
      <c r="H1060" t="s">
        <v>2644</v>
      </c>
      <c r="I1060" t="str">
        <f>INDEX(Genomes!$I:$I,(MATCH(AllProteins!H1060,Genomes!$B:$B,0)))</f>
        <v>NC_004003-goatpox_virus</v>
      </c>
      <c r="J1060">
        <f>INDEX(Genomes!$A:$A,(MATCH(AllProteins!H1060,Genomes!$B:$B,0)))</f>
        <v>23</v>
      </c>
      <c r="K1060" t="str">
        <f>INDEX(Genomes!$J:$J,(MATCH(AllProteins!H1060,Genomes!$B:$B,0)))</f>
        <v>Y</v>
      </c>
    </row>
    <row r="1061" spans="1:11" x14ac:dyDescent="0.2">
      <c r="A1061">
        <f>INDEX(CoreProteinGroups!A:A,MATCH(B1061,CoreProteinGroups!B:B,0))</f>
        <v>19</v>
      </c>
      <c r="B1061" s="1" t="s">
        <v>1821</v>
      </c>
      <c r="C1061" t="str">
        <f>VLOOKUP(B1061,CoreProteinGroups!$B:$C,2,FALSE)</f>
        <v>IMV entry-fusion</v>
      </c>
      <c r="D1061" t="s">
        <v>1850</v>
      </c>
      <c r="E1061" s="6" t="str">
        <f t="shared" si="16"/>
        <v>PROT:AAK85034.1</v>
      </c>
      <c r="F1061" t="s">
        <v>1851</v>
      </c>
      <c r="G1061" t="s">
        <v>48</v>
      </c>
      <c r="H1061" t="s">
        <v>2669</v>
      </c>
      <c r="I1061" t="str">
        <f>INDEX(Genomes!$I:$I,(MATCH(AllProteins!H1061,Genomes!$B:$B,0)))</f>
        <v>AF325528-lumpy_skin_disease_virus</v>
      </c>
      <c r="J1061">
        <f>INDEX(Genomes!$A:$A,(MATCH(AllProteins!H1061,Genomes!$B:$B,0)))</f>
        <v>25</v>
      </c>
      <c r="K1061" t="str">
        <f>INDEX(Genomes!$J:$J,(MATCH(AllProteins!H1061,Genomes!$B:$B,0)))</f>
        <v>Y</v>
      </c>
    </row>
    <row r="1062" spans="1:11" x14ac:dyDescent="0.2">
      <c r="A1062">
        <f>INDEX(CoreProteinGroups!A:A,MATCH(B1062,CoreProteinGroups!B:B,0))</f>
        <v>19</v>
      </c>
      <c r="B1062" s="1" t="s">
        <v>1821</v>
      </c>
      <c r="C1062" t="str">
        <f>VLOOKUP(B1062,CoreProteinGroups!$B:$C,2,FALSE)</f>
        <v>IMV entry-fusion</v>
      </c>
      <c r="D1062" t="s">
        <v>1852</v>
      </c>
      <c r="E1062" s="6" t="str">
        <f t="shared" si="16"/>
        <v>PROT:NP_659645.1</v>
      </c>
      <c r="F1062" t="s">
        <v>1853</v>
      </c>
      <c r="G1062" t="s">
        <v>150</v>
      </c>
      <c r="H1062" t="s">
        <v>2620</v>
      </c>
      <c r="I1062" t="str">
        <f>INDEX(Genomes!$I:$I,(MATCH(AllProteins!H1062,Genomes!$B:$B,0)))</f>
        <v>NC_004002-sheeppox_virus</v>
      </c>
      <c r="J1062">
        <f>INDEX(Genomes!$A:$A,(MATCH(AllProteins!H1062,Genomes!$B:$B,0)))</f>
        <v>44</v>
      </c>
      <c r="K1062" t="str">
        <f>INDEX(Genomes!$J:$J,(MATCH(AllProteins!H1062,Genomes!$B:$B,0)))</f>
        <v>Y</v>
      </c>
    </row>
    <row r="1063" spans="1:11" x14ac:dyDescent="0.2">
      <c r="A1063">
        <f>INDEX(CoreProteinGroups!A:A,MATCH(B1063,CoreProteinGroups!B:B,0))</f>
        <v>19</v>
      </c>
      <c r="B1063" s="1" t="s">
        <v>1821</v>
      </c>
      <c r="C1063" t="str">
        <f>VLOOKUP(B1063,CoreProteinGroups!$B:$C,2,FALSE)</f>
        <v>IMV entry-fusion</v>
      </c>
      <c r="D1063" t="s">
        <v>1854</v>
      </c>
      <c r="E1063" s="6" t="str">
        <f t="shared" si="16"/>
        <v>PROT:AST09291.1</v>
      </c>
      <c r="F1063" t="s">
        <v>1855</v>
      </c>
      <c r="G1063" t="s">
        <v>50</v>
      </c>
      <c r="H1063" t="s">
        <v>2671</v>
      </c>
      <c r="I1063" t="str">
        <f>INDEX(Genomes!$I:$I,(MATCH(AllProteins!H1063,Genomes!$B:$B,0)))</f>
        <v>MF001304-Murmansk_poxvirus</v>
      </c>
      <c r="J1063">
        <f>INDEX(Genomes!$A:$A,(MATCH(AllProteins!H1063,Genomes!$B:$B,0)))</f>
        <v>27</v>
      </c>
      <c r="K1063" t="str">
        <f>INDEX(Genomes!$J:$J,(MATCH(AllProteins!H1063,Genomes!$B:$B,0)))</f>
        <v>Y</v>
      </c>
    </row>
    <row r="1064" spans="1:11" x14ac:dyDescent="0.2">
      <c r="A1064">
        <f>INDEX(CoreProteinGroups!A:A,MATCH(B1064,CoreProteinGroups!B:B,0))</f>
        <v>19</v>
      </c>
      <c r="B1064" s="1" t="s">
        <v>1821</v>
      </c>
      <c r="C1064" t="str">
        <f>VLOOKUP(B1064,CoreProteinGroups!$B:$C,2,FALSE)</f>
        <v>IMV entry-fusion</v>
      </c>
      <c r="D1064" t="s">
        <v>1856</v>
      </c>
      <c r="E1064" s="6" t="str">
        <f t="shared" si="16"/>
        <v>PROT:AEN03669.1</v>
      </c>
      <c r="F1064" t="s">
        <v>1855</v>
      </c>
      <c r="G1064" t="s">
        <v>52</v>
      </c>
      <c r="H1064" t="s">
        <v>2698</v>
      </c>
      <c r="I1064" t="str">
        <f>INDEX(Genomes!$I:$I,(MATCH(AllProteins!H1064,Genomes!$B:$B,0)))</f>
        <v>HQ849551-yokapox_virus</v>
      </c>
      <c r="J1064">
        <f>INDEX(Genomes!$A:$A,(MATCH(AllProteins!H1064,Genomes!$B:$B,0)))</f>
        <v>57</v>
      </c>
      <c r="K1064" t="str">
        <f>INDEX(Genomes!$J:$J,(MATCH(AllProteins!H1064,Genomes!$B:$B,0)))</f>
        <v>Y</v>
      </c>
    </row>
    <row r="1065" spans="1:11" x14ac:dyDescent="0.2">
      <c r="A1065">
        <f>INDEX(CoreProteinGroups!A:A,MATCH(B1065,CoreProteinGroups!B:B,0))</f>
        <v>19</v>
      </c>
      <c r="B1065" s="1" t="s">
        <v>1821</v>
      </c>
      <c r="C1065" t="str">
        <f>VLOOKUP(B1065,CoreProteinGroups!$B:$C,2,FALSE)</f>
        <v>IMV entry-fusion</v>
      </c>
      <c r="D1065" t="s">
        <v>1857</v>
      </c>
      <c r="E1065" s="6" t="str">
        <f t="shared" si="16"/>
        <v>PROT:ABI99237.1</v>
      </c>
      <c r="F1065" t="s">
        <v>1858</v>
      </c>
      <c r="G1065" t="s">
        <v>54</v>
      </c>
      <c r="H1065" t="s">
        <v>2661</v>
      </c>
      <c r="I1065" t="str">
        <f>INDEX(Genomes!$I:$I,(MATCH(AllProteins!H1065,Genomes!$B:$B,0)))</f>
        <v>AY689436-mule_deerpox_virus</v>
      </c>
      <c r="J1065">
        <f>INDEX(Genomes!$A:$A,(MATCH(AllProteins!H1065,Genomes!$B:$B,0)))</f>
        <v>15</v>
      </c>
      <c r="K1065" t="str">
        <f>INDEX(Genomes!$J:$J,(MATCH(AllProteins!H1065,Genomes!$B:$B,0)))</f>
        <v>Y</v>
      </c>
    </row>
    <row r="1066" spans="1:11" x14ac:dyDescent="0.2">
      <c r="A1066">
        <f>INDEX(CoreProteinGroups!A:A,MATCH(B1066,CoreProteinGroups!B:B,0))</f>
        <v>19</v>
      </c>
      <c r="B1066" s="1" t="s">
        <v>1821</v>
      </c>
      <c r="C1066" t="str">
        <f>VLOOKUP(B1066,CoreProteinGroups!$B:$C,2,FALSE)</f>
        <v>IMV entry-fusion</v>
      </c>
      <c r="D1066" t="s">
        <v>1859</v>
      </c>
      <c r="E1066" s="6" t="str">
        <f t="shared" si="16"/>
        <v>PROT:ABJ08992.1</v>
      </c>
      <c r="F1066" t="s">
        <v>583</v>
      </c>
      <c r="G1066" t="s">
        <v>56</v>
      </c>
      <c r="H1066" t="s">
        <v>2677</v>
      </c>
      <c r="I1066" t="str">
        <f>INDEX(Genomes!$I:$I,(MATCH(AllProteins!H1066,Genomes!$B:$B,0)))</f>
        <v>DQ356948-Nile_crocodilepox_virus</v>
      </c>
      <c r="J1066">
        <f>INDEX(Genomes!$A:$A,(MATCH(AllProteins!H1066,Genomes!$B:$B,0)))</f>
        <v>34</v>
      </c>
      <c r="K1066" t="str">
        <f>INDEX(Genomes!$J:$J,(MATCH(AllProteins!H1066,Genomes!$B:$B,0)))</f>
        <v>Y</v>
      </c>
    </row>
    <row r="1067" spans="1:11" x14ac:dyDescent="0.2">
      <c r="A1067">
        <f>INDEX(CoreProteinGroups!A:A,MATCH(B1067,CoreProteinGroups!B:B,0))</f>
        <v>19</v>
      </c>
      <c r="B1067" s="1" t="s">
        <v>1821</v>
      </c>
      <c r="C1067" t="str">
        <f>VLOOKUP(B1067,CoreProteinGroups!$B:$C,2,FALSE)</f>
        <v>IMV entry-fusion</v>
      </c>
      <c r="D1067" t="s">
        <v>1860</v>
      </c>
      <c r="E1067" s="6" t="str">
        <f t="shared" si="16"/>
        <v>PROT:AAF14958.1</v>
      </c>
      <c r="F1067" t="s">
        <v>1861</v>
      </c>
      <c r="G1067" t="s">
        <v>2584</v>
      </c>
      <c r="H1067" t="s">
        <v>2676</v>
      </c>
      <c r="I1067" t="str">
        <f>INDEX(Genomes!$I:$I,(MATCH(AllProteins!H1067,Genomes!$B:$B,0)))</f>
        <v>AF170726-myxoma_virus</v>
      </c>
      <c r="J1067">
        <f>INDEX(Genomes!$A:$A,(MATCH(AllProteins!H1067,Genomes!$B:$B,0)))</f>
        <v>32</v>
      </c>
      <c r="K1067" t="str">
        <f>INDEX(Genomes!$J:$J,(MATCH(AllProteins!H1067,Genomes!$B:$B,0)))</f>
        <v>Y</v>
      </c>
    </row>
    <row r="1068" spans="1:11" x14ac:dyDescent="0.2">
      <c r="A1068">
        <f>INDEX(CoreProteinGroups!A:A,MATCH(B1068,CoreProteinGroups!B:B,0))</f>
        <v>19</v>
      </c>
      <c r="B1068" s="1" t="s">
        <v>1821</v>
      </c>
      <c r="C1068" t="str">
        <f>VLOOKUP(B1068,CoreProteinGroups!$B:$C,2,FALSE)</f>
        <v>IMV entry-fusion</v>
      </c>
      <c r="D1068" t="s">
        <v>1862</v>
      </c>
      <c r="E1068" s="6" t="str">
        <f t="shared" si="16"/>
        <v>PROT:AFU77334.1</v>
      </c>
      <c r="F1068" t="s">
        <v>1861</v>
      </c>
      <c r="G1068" t="s">
        <v>2553</v>
      </c>
      <c r="H1068" t="s">
        <v>2646</v>
      </c>
      <c r="I1068" t="str">
        <f>INDEX(Genomes!$I:$I,(MATCH(AllProteins!H1068,Genomes!$B:$B,0)))</f>
        <v>JX565564-myxoma_virus_isolate_BRK_897</v>
      </c>
      <c r="J1068">
        <f>INDEX(Genomes!$A:$A,(MATCH(AllProteins!H1068,Genomes!$B:$B,0)))</f>
        <v>33</v>
      </c>
      <c r="K1068" t="str">
        <f>INDEX(Genomes!$J:$J,(MATCH(AllProteins!H1068,Genomes!$B:$B,0)))</f>
        <v>N</v>
      </c>
    </row>
    <row r="1069" spans="1:11" x14ac:dyDescent="0.2">
      <c r="A1069">
        <f>INDEX(CoreProteinGroups!A:A,MATCH(B1069,CoreProteinGroups!B:B,0))</f>
        <v>19</v>
      </c>
      <c r="B1069" s="1" t="s">
        <v>1821</v>
      </c>
      <c r="C1069" t="str">
        <f>VLOOKUP(B1069,CoreProteinGroups!$B:$C,2,FALSE)</f>
        <v>IMV entry-fusion</v>
      </c>
      <c r="D1069" t="s">
        <v>1863</v>
      </c>
      <c r="E1069" s="6" t="str">
        <f t="shared" si="16"/>
        <v>PROT:AAF17952.1</v>
      </c>
      <c r="F1069" t="s">
        <v>1864</v>
      </c>
      <c r="G1069" t="s">
        <v>62</v>
      </c>
      <c r="H1069" t="s">
        <v>2685</v>
      </c>
      <c r="I1069" t="str">
        <f>INDEX(Genomes!$I:$I,(MATCH(AllProteins!H1069,Genomes!$B:$B,0)))</f>
        <v>AF170722-rabbit_fibroma_virus</v>
      </c>
      <c r="J1069">
        <f>INDEX(Genomes!$A:$A,(MATCH(AllProteins!H1069,Genomes!$B:$B,0)))</f>
        <v>43</v>
      </c>
      <c r="K1069" t="str">
        <f>INDEX(Genomes!$J:$J,(MATCH(AllProteins!H1069,Genomes!$B:$B,0)))</f>
        <v>Y</v>
      </c>
    </row>
    <row r="1070" spans="1:11" x14ac:dyDescent="0.2">
      <c r="A1070">
        <f>INDEX(CoreProteinGroups!A:A,MATCH(B1070,CoreProteinGroups!B:B,0))</f>
        <v>19</v>
      </c>
      <c r="B1070" s="1" t="s">
        <v>1821</v>
      </c>
      <c r="C1070" t="str">
        <f>VLOOKUP(B1070,CoreProteinGroups!$B:$C,2,FALSE)</f>
        <v>IMV entry-fusion</v>
      </c>
      <c r="D1070" t="s">
        <v>1865</v>
      </c>
      <c r="E1070" s="6" t="str">
        <f t="shared" si="16"/>
        <v>PROT:AAC55211.1</v>
      </c>
      <c r="F1070" t="s">
        <v>1866</v>
      </c>
      <c r="G1070" t="s">
        <v>65</v>
      </c>
      <c r="H1070" t="s">
        <v>2670</v>
      </c>
      <c r="I1070" t="str">
        <f>INDEX(Genomes!$I:$I,(MATCH(AllProteins!H1070,Genomes!$B:$B,0)))</f>
        <v>U60315-molluscum_contagiosum_virus</v>
      </c>
      <c r="J1070">
        <f>INDEX(Genomes!$A:$A,(MATCH(AllProteins!H1070,Genomes!$B:$B,0)))</f>
        <v>26</v>
      </c>
      <c r="K1070" t="str">
        <f>INDEX(Genomes!$J:$J,(MATCH(AllProteins!H1070,Genomes!$B:$B,0)))</f>
        <v>Y</v>
      </c>
    </row>
    <row r="1071" spans="1:11" x14ac:dyDescent="0.2">
      <c r="A1071">
        <f>INDEX(CoreProteinGroups!A:A,MATCH(B1071,CoreProteinGroups!B:B,0))</f>
        <v>19</v>
      </c>
      <c r="B1071" s="1" t="s">
        <v>1821</v>
      </c>
      <c r="C1071" t="str">
        <f>VLOOKUP(B1071,CoreProteinGroups!$B:$C,2,FALSE)</f>
        <v>IMV entry-fusion</v>
      </c>
      <c r="D1071" t="s">
        <v>1867</v>
      </c>
      <c r="E1071" s="6" t="str">
        <f t="shared" si="16"/>
        <v>PROT:AYN64666.1</v>
      </c>
      <c r="F1071" t="s">
        <v>1868</v>
      </c>
      <c r="G1071" t="s">
        <v>68</v>
      </c>
      <c r="H1071" t="s">
        <v>2647</v>
      </c>
      <c r="I1071" t="str">
        <f>INDEX(Genomes!$I:$I,(MATCH(AllProteins!H1071,Genomes!$B:$B,0)))</f>
        <v>MH816996-orthopoxvirus_abatino</v>
      </c>
      <c r="J1071">
        <f>INDEX(Genomes!$A:$A,(MATCH(AllProteins!H1071,Genomes!$B:$B,0)))</f>
        <v>1</v>
      </c>
      <c r="K1071" t="str">
        <f>INDEX(Genomes!$J:$J,(MATCH(AllProteins!H1071,Genomes!$B:$B,0)))</f>
        <v>Y</v>
      </c>
    </row>
    <row r="1072" spans="1:11" x14ac:dyDescent="0.2">
      <c r="A1072">
        <f>INDEX(CoreProteinGroups!A:A,MATCH(B1072,CoreProteinGroups!B:B,0))</f>
        <v>19</v>
      </c>
      <c r="B1072" s="1" t="s">
        <v>1821</v>
      </c>
      <c r="C1072" t="str">
        <f>VLOOKUP(B1072,CoreProteinGroups!$B:$C,2,FALSE)</f>
        <v>IMV entry-fusion</v>
      </c>
      <c r="D1072" t="s">
        <v>1869</v>
      </c>
      <c r="E1072" s="6" t="str">
        <f t="shared" si="16"/>
        <v>PROT:AXN74893.1</v>
      </c>
      <c r="F1072" t="s">
        <v>1870</v>
      </c>
      <c r="G1072" t="s">
        <v>70</v>
      </c>
      <c r="H1072" t="s">
        <v>2650</v>
      </c>
      <c r="I1072" t="str">
        <f>INDEX(Genomes!$I:$I,(MATCH(AllProteins!H1072,Genomes!$B:$B,0)))</f>
        <v>MH607141-Akhmeta_virus</v>
      </c>
      <c r="J1072">
        <f>INDEX(Genomes!$A:$A,(MATCH(AllProteins!H1072,Genomes!$B:$B,0)))</f>
        <v>4</v>
      </c>
      <c r="K1072" t="str">
        <f>INDEX(Genomes!$J:$J,(MATCH(AllProteins!H1072,Genomes!$B:$B,0)))</f>
        <v>Y</v>
      </c>
    </row>
    <row r="1073" spans="1:11" x14ac:dyDescent="0.2">
      <c r="A1073">
        <f>INDEX(CoreProteinGroups!A:A,MATCH(B1073,CoreProteinGroups!B:B,0))</f>
        <v>19</v>
      </c>
      <c r="B1073" s="1" t="s">
        <v>1821</v>
      </c>
      <c r="C1073" t="str">
        <f>VLOOKUP(B1073,CoreProteinGroups!$B:$C,2,FALSE)</f>
        <v>IMV entry-fusion</v>
      </c>
      <c r="D1073" t="s">
        <v>1871</v>
      </c>
      <c r="E1073" s="6" t="str">
        <f t="shared" si="16"/>
        <v>PROT:ABH08207.1</v>
      </c>
      <c r="F1073" t="s">
        <v>1872</v>
      </c>
      <c r="G1073" t="s">
        <v>73</v>
      </c>
      <c r="H1073" t="s">
        <v>2668</v>
      </c>
      <c r="I1073" t="str">
        <f>INDEX(Genomes!$I:$I,(MATCH(AllProteins!H1073,Genomes!$B:$B,0)))</f>
        <v>DQ792504-horsepox_virus</v>
      </c>
      <c r="J1073">
        <f>INDEX(Genomes!$A:$A,(MATCH(AllProteins!H1073,Genomes!$B:$B,0)))</f>
        <v>24</v>
      </c>
      <c r="K1073" t="str">
        <f>INDEX(Genomes!$J:$J,(MATCH(AllProteins!H1073,Genomes!$B:$B,0)))</f>
        <v>Y</v>
      </c>
    </row>
    <row r="1074" spans="1:11" x14ac:dyDescent="0.2">
      <c r="A1074">
        <f>INDEX(CoreProteinGroups!A:A,MATCH(B1074,CoreProteinGroups!B:B,0))</f>
        <v>19</v>
      </c>
      <c r="B1074" s="1" t="s">
        <v>1821</v>
      </c>
      <c r="C1074" t="str">
        <f>VLOOKUP(B1074,CoreProteinGroups!$B:$C,2,FALSE)</f>
        <v>IMV entry-fusion</v>
      </c>
      <c r="D1074" t="s">
        <v>1873</v>
      </c>
      <c r="E1074" s="6" t="str">
        <f t="shared" si="16"/>
        <v>PROT:AAL73805.1</v>
      </c>
      <c r="F1074" t="s">
        <v>271</v>
      </c>
      <c r="G1074" t="s">
        <v>79</v>
      </c>
      <c r="H1074" t="s">
        <v>2654</v>
      </c>
      <c r="I1074" t="str">
        <f>INDEX(Genomes!$I:$I,(MATCH(AllProteins!H1074,Genomes!$B:$B,0)))</f>
        <v>AF438165-camelpox_virus</v>
      </c>
      <c r="J1074">
        <f>INDEX(Genomes!$A:$A,(MATCH(AllProteins!H1074,Genomes!$B:$B,0)))</f>
        <v>8</v>
      </c>
      <c r="K1074" t="str">
        <f>INDEX(Genomes!$J:$J,(MATCH(AllProteins!H1074,Genomes!$B:$B,0)))</f>
        <v>Y</v>
      </c>
    </row>
    <row r="1075" spans="1:11" x14ac:dyDescent="0.2">
      <c r="A1075">
        <f>INDEX(CoreProteinGroups!A:A,MATCH(B1075,CoreProteinGroups!B:B,0))</f>
        <v>19</v>
      </c>
      <c r="B1075" s="1" t="s">
        <v>1821</v>
      </c>
      <c r="C1075" t="str">
        <f>VLOOKUP(B1075,CoreProteinGroups!$B:$C,2,FALSE)</f>
        <v>IMV entry-fusion</v>
      </c>
      <c r="D1075" t="s">
        <v>1874</v>
      </c>
      <c r="E1075" s="6" t="str">
        <f t="shared" si="16"/>
        <v>PROT:AAG37570.1</v>
      </c>
      <c r="F1075" t="s">
        <v>1875</v>
      </c>
      <c r="G1075" t="s">
        <v>76</v>
      </c>
      <c r="H1075" t="s">
        <v>2655</v>
      </c>
      <c r="I1075" t="str">
        <f>INDEX(Genomes!$I:$I,(MATCH(AllProteins!H1075,Genomes!$B:$B,0)))</f>
        <v>AY009089-camelpox_virus_CMS</v>
      </c>
      <c r="J1075">
        <f>INDEX(Genomes!$A:$A,(MATCH(AllProteins!H1075,Genomes!$B:$B,0)))</f>
        <v>9</v>
      </c>
      <c r="K1075" t="str">
        <f>INDEX(Genomes!$J:$J,(MATCH(AllProteins!H1075,Genomes!$B:$B,0)))</f>
        <v>N</v>
      </c>
    </row>
    <row r="1076" spans="1:11" x14ac:dyDescent="0.2">
      <c r="A1076">
        <f>INDEX(CoreProteinGroups!A:A,MATCH(B1076,CoreProteinGroups!B:B,0))</f>
        <v>19</v>
      </c>
      <c r="B1076" s="1" t="s">
        <v>1821</v>
      </c>
      <c r="C1076" t="str">
        <f>VLOOKUP(B1076,CoreProteinGroups!$B:$C,2,FALSE)</f>
        <v>IMV entry-fusion</v>
      </c>
      <c r="D1076" t="s">
        <v>1876</v>
      </c>
      <c r="E1076" s="6" t="str">
        <f t="shared" si="16"/>
        <v>PROT:AAM13554.1</v>
      </c>
      <c r="F1076" t="s">
        <v>1877</v>
      </c>
      <c r="G1076" t="s">
        <v>82</v>
      </c>
      <c r="H1076" t="s">
        <v>2659</v>
      </c>
      <c r="I1076" t="str">
        <f>INDEX(Genomes!$I:$I,(MATCH(AllProteins!H1076,Genomes!$B:$B,0)))</f>
        <v>AF482758-cowpox_virus</v>
      </c>
      <c r="J1076">
        <f>INDEX(Genomes!$A:$A,(MATCH(AllProteins!H1076,Genomes!$B:$B,0)))</f>
        <v>13</v>
      </c>
      <c r="K1076" t="str">
        <f>INDEX(Genomes!$J:$J,(MATCH(AllProteins!H1076,Genomes!$B:$B,0)))</f>
        <v>Y</v>
      </c>
    </row>
    <row r="1077" spans="1:11" x14ac:dyDescent="0.2">
      <c r="A1077">
        <f>INDEX(CoreProteinGroups!A:A,MATCH(B1077,CoreProteinGroups!B:B,0))</f>
        <v>19</v>
      </c>
      <c r="B1077" s="1" t="s">
        <v>1821</v>
      </c>
      <c r="C1077" t="str">
        <f>VLOOKUP(B1077,CoreProteinGroups!$B:$C,2,FALSE)</f>
        <v>IMV entry-fusion</v>
      </c>
      <c r="D1077" t="s">
        <v>1878</v>
      </c>
      <c r="E1077" s="6" t="str">
        <f t="shared" si="16"/>
        <v>PROT:AAM92388.1</v>
      </c>
      <c r="F1077" t="s">
        <v>1879</v>
      </c>
      <c r="G1077" t="s">
        <v>85</v>
      </c>
      <c r="H1077" t="s">
        <v>2662</v>
      </c>
      <c r="I1077" t="str">
        <f>INDEX(Genomes!$I:$I,(MATCH(AllProteins!H1077,Genomes!$B:$B,0)))</f>
        <v>AF012825-ectromelia_virus</v>
      </c>
      <c r="J1077">
        <f>INDEX(Genomes!$A:$A,(MATCH(AllProteins!H1077,Genomes!$B:$B,0)))</f>
        <v>16</v>
      </c>
      <c r="K1077" t="str">
        <f>INDEX(Genomes!$J:$J,(MATCH(AllProteins!H1077,Genomes!$B:$B,0)))</f>
        <v>Y</v>
      </c>
    </row>
    <row r="1078" spans="1:11" x14ac:dyDescent="0.2">
      <c r="A1078">
        <f>INDEX(CoreProteinGroups!A:A,MATCH(B1078,CoreProteinGroups!B:B,0))</f>
        <v>19</v>
      </c>
      <c r="B1078" s="1" t="s">
        <v>1821</v>
      </c>
      <c r="C1078" t="str">
        <f>VLOOKUP(B1078,CoreProteinGroups!$B:$C,2,FALSE)</f>
        <v>IMV entry-fusion</v>
      </c>
      <c r="D1078" t="s">
        <v>1880</v>
      </c>
      <c r="E1078" s="6" t="str">
        <f t="shared" si="16"/>
        <v>PROT:AFH54647.1</v>
      </c>
      <c r="F1078" t="s">
        <v>1881</v>
      </c>
      <c r="G1078" t="s">
        <v>87</v>
      </c>
      <c r="H1078" t="s">
        <v>2619</v>
      </c>
      <c r="I1078" t="str">
        <f>INDEX(Genomes!$I:$I,(MATCH(AllProteins!H1078,Genomes!$B:$B,0)))</f>
        <v>JQ410350-ectromelia_virus_strain_ERPV</v>
      </c>
      <c r="J1078">
        <f>INDEX(Genomes!$A:$A,(MATCH(AllProteins!H1078,Genomes!$B:$B,0)))</f>
        <v>17</v>
      </c>
      <c r="K1078" t="str">
        <f>INDEX(Genomes!$J:$J,(MATCH(AllProteins!H1078,Genomes!$B:$B,0)))</f>
        <v>N</v>
      </c>
    </row>
    <row r="1079" spans="1:11" x14ac:dyDescent="0.2">
      <c r="A1079">
        <f>INDEX(CoreProteinGroups!A:A,MATCH(B1079,CoreProteinGroups!B:B,0))</f>
        <v>19</v>
      </c>
      <c r="B1079" s="1" t="s">
        <v>1821</v>
      </c>
      <c r="C1079" t="str">
        <f>VLOOKUP(B1079,CoreProteinGroups!$B:$C,2,FALSE)</f>
        <v>IMV entry-fusion</v>
      </c>
      <c r="D1079" t="s">
        <v>1882</v>
      </c>
      <c r="E1079" s="6" t="str">
        <f t="shared" si="16"/>
        <v>PROT:AAL40550.1</v>
      </c>
      <c r="F1079" t="s">
        <v>1883</v>
      </c>
      <c r="G1079" t="s">
        <v>90</v>
      </c>
      <c r="H1079" t="s">
        <v>2673</v>
      </c>
      <c r="I1079" t="str">
        <f>INDEX(Genomes!$I:$I,(MATCH(AllProteins!H1079,Genomes!$B:$B,0)))</f>
        <v>AF380138-monkeypox_virus_(clade_I)</v>
      </c>
      <c r="J1079">
        <f>INDEX(Genomes!$A:$A,(MATCH(AllProteins!H1079,Genomes!$B:$B,0)))</f>
        <v>29</v>
      </c>
      <c r="K1079" t="str">
        <f>INDEX(Genomes!$J:$J,(MATCH(AllProteins!H1079,Genomes!$B:$B,0)))</f>
        <v>Y</v>
      </c>
    </row>
    <row r="1080" spans="1:11" x14ac:dyDescent="0.2">
      <c r="A1080">
        <f>INDEX(CoreProteinGroups!A:A,MATCH(B1080,CoreProteinGroups!B:B,0))</f>
        <v>19</v>
      </c>
      <c r="B1080" s="1" t="s">
        <v>1821</v>
      </c>
      <c r="C1080" t="str">
        <f>VLOOKUP(B1080,CoreProteinGroups!$B:$C,2,FALSE)</f>
        <v>IMV entry-fusion</v>
      </c>
      <c r="D1080" t="s">
        <v>1884</v>
      </c>
      <c r="E1080" s="6" t="str">
        <f t="shared" si="16"/>
        <v>PROT:AAX09187.1</v>
      </c>
      <c r="F1080" t="s">
        <v>1885</v>
      </c>
      <c r="G1080" t="s">
        <v>93</v>
      </c>
      <c r="H1080" t="s">
        <v>2672</v>
      </c>
      <c r="I1080" t="str">
        <f>INDEX(Genomes!$I:$I,(MATCH(AllProteins!H1080,Genomes!$B:$B,0)))</f>
        <v>AY753185-monkeypox_virus_(clade_IIa)</v>
      </c>
      <c r="J1080">
        <f>INDEX(Genomes!$A:$A,(MATCH(AllProteins!H1080,Genomes!$B:$B,0)))</f>
        <v>28</v>
      </c>
      <c r="K1080" t="str">
        <f>INDEX(Genomes!$J:$J,(MATCH(AllProteins!H1080,Genomes!$B:$B,0)))</f>
        <v>Y</v>
      </c>
    </row>
    <row r="1081" spans="1:11" x14ac:dyDescent="0.2">
      <c r="A1081">
        <f>INDEX(CoreProteinGroups!A:A,MATCH(B1081,CoreProteinGroups!B:B,0))</f>
        <v>19</v>
      </c>
      <c r="B1081" s="1" t="s">
        <v>1821</v>
      </c>
      <c r="C1081" t="str">
        <f>VLOOKUP(B1081,CoreProteinGroups!$B:$C,2,FALSE)</f>
        <v>IMV entry-fusion</v>
      </c>
      <c r="D1081" t="s">
        <v>1886</v>
      </c>
      <c r="E1081" s="6" t="str">
        <f t="shared" si="16"/>
        <v>PROT:AKJ93729.1</v>
      </c>
      <c r="F1081" t="s">
        <v>1887</v>
      </c>
      <c r="G1081" t="s">
        <v>95</v>
      </c>
      <c r="H1081" t="s">
        <v>2683</v>
      </c>
      <c r="I1081" t="str">
        <f>INDEX(Genomes!$I:$I,(MATCH(AllProteins!H1081,Genomes!$B:$B,0)))</f>
        <v>KP143769-raccoonpox_virus</v>
      </c>
      <c r="J1081">
        <f>INDEX(Genomes!$A:$A,(MATCH(AllProteins!H1081,Genomes!$B:$B,0)))</f>
        <v>41</v>
      </c>
      <c r="K1081" t="str">
        <f>INDEX(Genomes!$J:$J,(MATCH(AllProteins!H1081,Genomes!$B:$B,0)))</f>
        <v>Y</v>
      </c>
    </row>
    <row r="1082" spans="1:11" x14ac:dyDescent="0.2">
      <c r="A1082">
        <f>INDEX(CoreProteinGroups!A:A,MATCH(B1082,CoreProteinGroups!B:B,0))</f>
        <v>19</v>
      </c>
      <c r="B1082" s="1" t="s">
        <v>1821</v>
      </c>
      <c r="C1082" t="str">
        <f>VLOOKUP(B1082,CoreProteinGroups!$B:$C,2,FALSE)</f>
        <v>IMV entry-fusion</v>
      </c>
      <c r="D1082" t="s">
        <v>1888</v>
      </c>
      <c r="E1082" s="6" t="str">
        <f t="shared" si="16"/>
        <v>PROT:AOP31578.1</v>
      </c>
      <c r="F1082" t="s">
        <v>1889</v>
      </c>
      <c r="G1082" t="s">
        <v>97</v>
      </c>
      <c r="H1082" t="s">
        <v>2686</v>
      </c>
      <c r="I1082" t="str">
        <f>INDEX(Genomes!$I:$I,(MATCH(AllProteins!H1082,Genomes!$B:$B,0)))</f>
        <v>KU749310-skunkpox_virus</v>
      </c>
      <c r="J1082">
        <f>INDEX(Genomes!$A:$A,(MATCH(AllProteins!H1082,Genomes!$B:$B,0)))</f>
        <v>45</v>
      </c>
      <c r="K1082" t="str">
        <f>INDEX(Genomes!$J:$J,(MATCH(AllProteins!H1082,Genomes!$B:$B,0)))</f>
        <v>Y</v>
      </c>
    </row>
    <row r="1083" spans="1:11" x14ac:dyDescent="0.2">
      <c r="A1083">
        <f>INDEX(CoreProteinGroups!A:A,MATCH(B1083,CoreProteinGroups!B:B,0))</f>
        <v>19</v>
      </c>
      <c r="B1083" s="1" t="s">
        <v>1821</v>
      </c>
      <c r="C1083" t="str">
        <f>VLOOKUP(B1083,CoreProteinGroups!$B:$C,2,FALSE)</f>
        <v>IMV entry-fusion</v>
      </c>
      <c r="D1083" t="s">
        <v>1890</v>
      </c>
      <c r="E1083" s="6" t="str">
        <f t="shared" si="16"/>
        <v>PROT:ABD97668.1</v>
      </c>
      <c r="F1083" t="s">
        <v>583</v>
      </c>
      <c r="G1083" t="s">
        <v>99</v>
      </c>
      <c r="H1083" t="s">
        <v>2691</v>
      </c>
      <c r="I1083" t="str">
        <f>INDEX(Genomes!$I:$I,(MATCH(AllProteins!H1083,Genomes!$B:$B,0)))</f>
        <v>DQ437594-taterapox_virus</v>
      </c>
      <c r="J1083">
        <f>INDEX(Genomes!$A:$A,(MATCH(AllProteins!H1083,Genomes!$B:$B,0)))</f>
        <v>50</v>
      </c>
      <c r="K1083" t="str">
        <f>INDEX(Genomes!$J:$J,(MATCH(AllProteins!H1083,Genomes!$B:$B,0)))</f>
        <v>Y</v>
      </c>
    </row>
    <row r="1084" spans="1:11" x14ac:dyDescent="0.2">
      <c r="A1084">
        <f>INDEX(CoreProteinGroups!A:A,MATCH(B1084,CoreProteinGroups!B:B,0))</f>
        <v>19</v>
      </c>
      <c r="B1084" s="1" t="s">
        <v>1821</v>
      </c>
      <c r="C1084" t="str">
        <f>VLOOKUP(B1084,CoreProteinGroups!$B:$C,2,FALSE)</f>
        <v>IMV entry-fusion</v>
      </c>
      <c r="D1084" t="s">
        <v>1891</v>
      </c>
      <c r="E1084" s="6" t="str">
        <f t="shared" si="16"/>
        <v>PROT:AAO89379.1</v>
      </c>
      <c r="F1084" t="s">
        <v>615</v>
      </c>
      <c r="G1084" t="s">
        <v>101</v>
      </c>
      <c r="H1084" t="s">
        <v>2693</v>
      </c>
      <c r="I1084" t="str">
        <f>INDEX(Genomes!$I:$I,(MATCH(AllProteins!H1084,Genomes!$B:$B,0)))</f>
        <v>AY243312-vaccinia_virus</v>
      </c>
      <c r="J1084">
        <f>INDEX(Genomes!$A:$A,(MATCH(AllProteins!H1084,Genomes!$B:$B,0)))</f>
        <v>52</v>
      </c>
      <c r="K1084" t="str">
        <f>INDEX(Genomes!$J:$J,(MATCH(AllProteins!H1084,Genomes!$B:$B,0)))</f>
        <v>Y</v>
      </c>
    </row>
    <row r="1085" spans="1:11" x14ac:dyDescent="0.2">
      <c r="A1085">
        <f>INDEX(CoreProteinGroups!A:A,MATCH(B1085,CoreProteinGroups!B:B,0))</f>
        <v>19</v>
      </c>
      <c r="B1085" s="1" t="s">
        <v>1821</v>
      </c>
      <c r="C1085" t="str">
        <f>VLOOKUP(B1085,CoreProteinGroups!$B:$C,2,FALSE)</f>
        <v>IMV entry-fusion</v>
      </c>
      <c r="D1085" t="s">
        <v>1892</v>
      </c>
      <c r="E1085" s="6" t="str">
        <f t="shared" si="16"/>
        <v>PROT:CAA49026.1</v>
      </c>
      <c r="F1085" t="s">
        <v>1893</v>
      </c>
      <c r="G1085" t="s">
        <v>2585</v>
      </c>
      <c r="H1085" t="s">
        <v>2694</v>
      </c>
      <c r="I1085" t="str">
        <f>INDEX(Genomes!$I:$I,(MATCH(AllProteins!H1085,Genomes!$B:$B,0)))</f>
        <v>X69198-variola_major_virus</v>
      </c>
      <c r="J1085">
        <f>INDEX(Genomes!$A:$A,(MATCH(AllProteins!H1085,Genomes!$B:$B,0)))</f>
        <v>53</v>
      </c>
      <c r="K1085" t="str">
        <f>INDEX(Genomes!$J:$J,(MATCH(AllProteins!H1085,Genomes!$B:$B,0)))</f>
        <v>Y</v>
      </c>
    </row>
    <row r="1086" spans="1:11" x14ac:dyDescent="0.2">
      <c r="A1086">
        <f>INDEX(CoreProteinGroups!A:A,MATCH(B1086,CoreProteinGroups!B:B,0))</f>
        <v>19</v>
      </c>
      <c r="B1086" s="1" t="s">
        <v>1821</v>
      </c>
      <c r="C1086" t="str">
        <f>VLOOKUP(B1086,CoreProteinGroups!$B:$C,2,FALSE)</f>
        <v>IMV entry-fusion</v>
      </c>
      <c r="D1086" t="s">
        <v>1894</v>
      </c>
      <c r="E1086" s="6" t="str">
        <f t="shared" si="16"/>
        <v>PROT:CAB54685.1</v>
      </c>
      <c r="F1086" t="s">
        <v>1895</v>
      </c>
      <c r="G1086" t="s">
        <v>106</v>
      </c>
      <c r="H1086" t="s">
        <v>2695</v>
      </c>
      <c r="I1086" t="str">
        <f>INDEX(Genomes!$I:$I,(MATCH(AllProteins!H1086,Genomes!$B:$B,0)))</f>
        <v>Y16780-variola_minor_virus</v>
      </c>
      <c r="J1086">
        <f>INDEX(Genomes!$A:$A,(MATCH(AllProteins!H1086,Genomes!$B:$B,0)))</f>
        <v>54</v>
      </c>
      <c r="K1086" t="str">
        <f>INDEX(Genomes!$J:$J,(MATCH(AllProteins!H1086,Genomes!$B:$B,0)))</f>
        <v>Y</v>
      </c>
    </row>
    <row r="1087" spans="1:11" x14ac:dyDescent="0.2">
      <c r="A1087">
        <f>INDEX(CoreProteinGroups!A:A,MATCH(B1087,CoreProteinGroups!B:B,0))</f>
        <v>19</v>
      </c>
      <c r="B1087" s="1" t="s">
        <v>1821</v>
      </c>
      <c r="C1087" t="str">
        <f>VLOOKUP(B1087,CoreProteinGroups!$B:$C,2,FALSE)</f>
        <v>IMV entry-fusion</v>
      </c>
      <c r="D1087" t="s">
        <v>1896</v>
      </c>
      <c r="E1087" s="6" t="str">
        <f t="shared" si="16"/>
        <v>PROT:AOP31789.1</v>
      </c>
      <c r="F1087" t="s">
        <v>1889</v>
      </c>
      <c r="G1087" t="s">
        <v>108</v>
      </c>
      <c r="H1087" t="s">
        <v>2696</v>
      </c>
      <c r="I1087" t="str">
        <f>INDEX(Genomes!$I:$I,(MATCH(AllProteins!H1087,Genomes!$B:$B,0)))</f>
        <v>KU749311-volepox_virus</v>
      </c>
      <c r="J1087">
        <f>INDEX(Genomes!$A:$A,(MATCH(AllProteins!H1087,Genomes!$B:$B,0)))</f>
        <v>55</v>
      </c>
      <c r="K1087" t="str">
        <f>INDEX(Genomes!$J:$J,(MATCH(AllProteins!H1087,Genomes!$B:$B,0)))</f>
        <v>Y</v>
      </c>
    </row>
    <row r="1088" spans="1:11" x14ac:dyDescent="0.2">
      <c r="A1088">
        <f>INDEX(CoreProteinGroups!A:A,MATCH(B1088,CoreProteinGroups!B:B,0))</f>
        <v>19</v>
      </c>
      <c r="B1088" s="1" t="s">
        <v>1821</v>
      </c>
      <c r="C1088" t="str">
        <f>VLOOKUP(B1088,CoreProteinGroups!$B:$C,2,FALSE)</f>
        <v>IMV entry-fusion</v>
      </c>
      <c r="D1088" t="s">
        <v>1897</v>
      </c>
      <c r="E1088" s="6" t="str">
        <f t="shared" si="16"/>
        <v>PROT:ASF89969.1</v>
      </c>
      <c r="F1088" t="s">
        <v>1898</v>
      </c>
      <c r="G1088" t="s">
        <v>111</v>
      </c>
      <c r="H1088" t="s">
        <v>2667</v>
      </c>
      <c r="I1088" t="str">
        <f>INDEX(Genomes!$I:$I,(MATCH(AllProteins!H1088,Genomes!$B:$B,0)))</f>
        <v>KY382358-seal_parapoxvirus</v>
      </c>
      <c r="J1088">
        <f>INDEX(Genomes!$A:$A,(MATCH(AllProteins!H1088,Genomes!$B:$B,0)))</f>
        <v>22</v>
      </c>
      <c r="K1088" t="str">
        <f>INDEX(Genomes!$J:$J,(MATCH(AllProteins!H1088,Genomes!$B:$B,0)))</f>
        <v>Y</v>
      </c>
    </row>
    <row r="1089" spans="1:11" x14ac:dyDescent="0.2">
      <c r="A1089">
        <f>INDEX(CoreProteinGroups!A:A,MATCH(B1089,CoreProteinGroups!B:B,0))</f>
        <v>19</v>
      </c>
      <c r="B1089" s="1" t="s">
        <v>1821</v>
      </c>
      <c r="C1089" t="str">
        <f>VLOOKUP(B1089,CoreProteinGroups!$B:$C,2,FALSE)</f>
        <v>IMV entry-fusion</v>
      </c>
      <c r="D1089" t="s">
        <v>1899</v>
      </c>
      <c r="E1089" s="6" t="str">
        <f t="shared" si="16"/>
        <v>PROT:AAR98415.1</v>
      </c>
      <c r="F1089" t="s">
        <v>1900</v>
      </c>
      <c r="G1089" t="s">
        <v>114</v>
      </c>
      <c r="H1089" t="s">
        <v>2652</v>
      </c>
      <c r="I1089" t="str">
        <f>INDEX(Genomes!$I:$I,(MATCH(AllProteins!H1089,Genomes!$B:$B,0)))</f>
        <v>AY386265-bovine_papular_stomatitis_virus</v>
      </c>
      <c r="J1089">
        <f>INDEX(Genomes!$A:$A,(MATCH(AllProteins!H1089,Genomes!$B:$B,0)))</f>
        <v>6</v>
      </c>
      <c r="K1089" t="str">
        <f>INDEX(Genomes!$J:$J,(MATCH(AllProteins!H1089,Genomes!$B:$B,0)))</f>
        <v>Y</v>
      </c>
    </row>
    <row r="1090" spans="1:11" x14ac:dyDescent="0.2">
      <c r="A1090">
        <f>INDEX(CoreProteinGroups!A:A,MATCH(B1090,CoreProteinGroups!B:B,0))</f>
        <v>19</v>
      </c>
      <c r="B1090" s="1" t="s">
        <v>1821</v>
      </c>
      <c r="C1090" t="str">
        <f>VLOOKUP(B1090,CoreProteinGroups!$B:$C,2,FALSE)</f>
        <v>IMV entry-fusion</v>
      </c>
      <c r="D1090" t="s">
        <v>1901</v>
      </c>
      <c r="E1090" s="6" t="str">
        <f t="shared" ref="E1090:E1153" si="17">HYPERLINK(_xlfn.CONCAT("https://www.ncbi.nlm.nih.gov/protein/",D1090),_xlfn.CONCAT("PROT:",D1090))</f>
        <v>PROT:AAR98283.1</v>
      </c>
      <c r="F1090" t="s">
        <v>1900</v>
      </c>
      <c r="G1090" t="s">
        <v>2702</v>
      </c>
      <c r="H1090" t="s">
        <v>2678</v>
      </c>
      <c r="I1090" t="str">
        <f>INDEX(Genomes!$I:$I,(MATCH(AllProteins!H1090,Genomes!$B:$B,0)))</f>
        <v>AY386264-orf_virus</v>
      </c>
      <c r="J1090">
        <f>INDEX(Genomes!$A:$A,(MATCH(AllProteins!H1090,Genomes!$B:$B,0)))</f>
        <v>35</v>
      </c>
      <c r="K1090" t="str">
        <f>INDEX(Genomes!$J:$J,(MATCH(AllProteins!H1090,Genomes!$B:$B,0)))</f>
        <v>Y</v>
      </c>
    </row>
    <row r="1091" spans="1:11" x14ac:dyDescent="0.2">
      <c r="A1091">
        <f>INDEX(CoreProteinGroups!A:A,MATCH(B1091,CoreProteinGroups!B:B,0))</f>
        <v>19</v>
      </c>
      <c r="B1091" s="1" t="s">
        <v>1821</v>
      </c>
      <c r="C1091" t="str">
        <f>VLOOKUP(B1091,CoreProteinGroups!$B:$C,2,FALSE)</f>
        <v>IMV entry-fusion</v>
      </c>
      <c r="D1091" t="s">
        <v>1902</v>
      </c>
      <c r="E1091" s="6" t="str">
        <f t="shared" si="17"/>
        <v>PROT:ABA00575.1</v>
      </c>
      <c r="F1091" t="s">
        <v>1903</v>
      </c>
      <c r="G1091" t="s">
        <v>2555</v>
      </c>
      <c r="H1091" t="s">
        <v>2645</v>
      </c>
      <c r="I1091" t="str">
        <f>INDEX(Genomes!$I:$I,(MATCH(AllProteins!H1091,Genomes!$B:$B,0)))</f>
        <v>DQ184476-orf_virus_strain_NZ2</v>
      </c>
      <c r="J1091">
        <f>INDEX(Genomes!$A:$A,(MATCH(AllProteins!H1091,Genomes!$B:$B,0)))</f>
        <v>36</v>
      </c>
      <c r="K1091" t="str">
        <f>INDEX(Genomes!$J:$J,(MATCH(AllProteins!H1091,Genomes!$B:$B,0)))</f>
        <v>N</v>
      </c>
    </row>
    <row r="1092" spans="1:11" x14ac:dyDescent="0.2">
      <c r="A1092">
        <f>INDEX(CoreProteinGroups!A:A,MATCH(B1092,CoreProteinGroups!B:B,0))</f>
        <v>19</v>
      </c>
      <c r="B1092" s="1" t="s">
        <v>1821</v>
      </c>
      <c r="C1092" t="str">
        <f>VLOOKUP(B1092,CoreProteinGroups!$B:$C,2,FALSE)</f>
        <v>IMV entry-fusion</v>
      </c>
      <c r="D1092" t="s">
        <v>1904</v>
      </c>
      <c r="E1092" s="6" t="str">
        <f t="shared" si="17"/>
        <v>PROT:AIZ77309.1</v>
      </c>
      <c r="F1092" t="s">
        <v>271</v>
      </c>
      <c r="G1092" t="s">
        <v>119</v>
      </c>
      <c r="H1092" t="s">
        <v>2684</v>
      </c>
      <c r="I1092" t="str">
        <f>INDEX(Genomes!$I:$I,(MATCH(AllProteins!H1092,Genomes!$B:$B,0)))</f>
        <v>KM502564-parapoxvirus_red_deer</v>
      </c>
      <c r="J1092">
        <f>INDEX(Genomes!$A:$A,(MATCH(AllProteins!H1092,Genomes!$B:$B,0)))</f>
        <v>42</v>
      </c>
      <c r="K1092" t="str">
        <f>INDEX(Genomes!$J:$J,(MATCH(AllProteins!H1092,Genomes!$B:$B,0)))</f>
        <v>Y</v>
      </c>
    </row>
    <row r="1093" spans="1:11" x14ac:dyDescent="0.2">
      <c r="A1093">
        <f>INDEX(CoreProteinGroups!A:A,MATCH(B1093,CoreProteinGroups!B:B,0))</f>
        <v>19</v>
      </c>
      <c r="B1093" s="1" t="s">
        <v>1821</v>
      </c>
      <c r="C1093" t="str">
        <f>VLOOKUP(B1093,CoreProteinGroups!$B:$C,2,FALSE)</f>
        <v>IMV entry-fusion</v>
      </c>
      <c r="D1093" t="s">
        <v>1905</v>
      </c>
      <c r="E1093" s="6" t="str">
        <f t="shared" si="17"/>
        <v>PROT:ADC53959.1</v>
      </c>
      <c r="F1093" t="s">
        <v>1906</v>
      </c>
      <c r="G1093" t="s">
        <v>121</v>
      </c>
      <c r="H1093" t="s">
        <v>2679</v>
      </c>
      <c r="I1093" t="str">
        <f>INDEX(Genomes!$I:$I,(MATCH(AllProteins!H1093,Genomes!$B:$B,0)))</f>
        <v>GQ329670-pseudocowpox_virus</v>
      </c>
      <c r="J1093">
        <f>INDEX(Genomes!$A:$A,(MATCH(AllProteins!H1093,Genomes!$B:$B,0)))</f>
        <v>37</v>
      </c>
      <c r="K1093" t="str">
        <f>INDEX(Genomes!$J:$J,(MATCH(AllProteins!H1093,Genomes!$B:$B,0)))</f>
        <v>Y</v>
      </c>
    </row>
    <row r="1094" spans="1:11" x14ac:dyDescent="0.2">
      <c r="A1094">
        <f>INDEX(CoreProteinGroups!A:A,MATCH(B1094,CoreProteinGroups!B:B,0))</f>
        <v>19</v>
      </c>
      <c r="B1094" s="1" t="s">
        <v>1821</v>
      </c>
      <c r="C1094" t="str">
        <f>VLOOKUP(B1094,CoreProteinGroups!$B:$C,2,FALSE)</f>
        <v>IMV entry-fusion</v>
      </c>
      <c r="D1094" t="s">
        <v>1907</v>
      </c>
      <c r="E1094" s="6" t="str">
        <f t="shared" si="17"/>
        <v>PROT:AAL69809.1</v>
      </c>
      <c r="F1094" t="s">
        <v>1908</v>
      </c>
      <c r="G1094" t="s">
        <v>124</v>
      </c>
      <c r="H1094" t="s">
        <v>2690</v>
      </c>
      <c r="I1094" t="str">
        <f>INDEX(Genomes!$I:$I,(MATCH(AllProteins!H1094,Genomes!$B:$B,0)))</f>
        <v>AF410153-swinepox_virus</v>
      </c>
      <c r="J1094">
        <f>INDEX(Genomes!$A:$A,(MATCH(AllProteins!H1094,Genomes!$B:$B,0)))</f>
        <v>49</v>
      </c>
      <c r="K1094" t="str">
        <f>INDEX(Genomes!$J:$J,(MATCH(AllProteins!H1094,Genomes!$B:$B,0)))</f>
        <v>Y</v>
      </c>
    </row>
    <row r="1095" spans="1:11" x14ac:dyDescent="0.2">
      <c r="A1095">
        <f>INDEX(CoreProteinGroups!A:A,MATCH(B1095,CoreProteinGroups!B:B,0))</f>
        <v>19</v>
      </c>
      <c r="B1095" s="1" t="s">
        <v>1821</v>
      </c>
      <c r="C1095" t="str">
        <f>VLOOKUP(B1095,CoreProteinGroups!$B:$C,2,FALSE)</f>
        <v>IMV entry-fusion</v>
      </c>
      <c r="D1095" t="s">
        <v>1909</v>
      </c>
      <c r="E1095" s="6" t="str">
        <f t="shared" si="17"/>
        <v>PROT:CAC21311.1</v>
      </c>
      <c r="F1095" t="s">
        <v>1910</v>
      </c>
      <c r="G1095" t="s">
        <v>127</v>
      </c>
      <c r="H1095" t="s">
        <v>2699</v>
      </c>
      <c r="I1095" t="str">
        <f>INDEX(Genomes!$I:$I,(MATCH(AllProteins!H1095,Genomes!$B:$B,0)))</f>
        <v>AJ293568-tanapox_virus</v>
      </c>
      <c r="J1095">
        <f>INDEX(Genomes!$A:$A,(MATCH(AllProteins!H1095,Genomes!$B:$B,0)))</f>
        <v>58</v>
      </c>
      <c r="K1095" t="str">
        <f>INDEX(Genomes!$J:$J,(MATCH(AllProteins!H1095,Genomes!$B:$B,0)))</f>
        <v>Y</v>
      </c>
    </row>
    <row r="1096" spans="1:11" x14ac:dyDescent="0.2">
      <c r="A1096">
        <f>INDEX(CoreProteinGroups!A:A,MATCH(B1096,CoreProteinGroups!B:B,0))</f>
        <v>19</v>
      </c>
      <c r="B1096" s="1" t="s">
        <v>1821</v>
      </c>
      <c r="C1096" t="str">
        <f>VLOOKUP(B1096,CoreProteinGroups!$B:$C,2,FALSE)</f>
        <v>IMV entry-fusion</v>
      </c>
      <c r="D1096" t="s">
        <v>1911</v>
      </c>
      <c r="E1096" s="6" t="str">
        <f t="shared" si="17"/>
        <v>PROT:AAR07429.1</v>
      </c>
      <c r="F1096" t="s">
        <v>1912</v>
      </c>
      <c r="G1096" t="s">
        <v>130</v>
      </c>
      <c r="H1096" t="s">
        <v>2700</v>
      </c>
      <c r="I1096" t="str">
        <f>INDEX(Genomes!$I:$I,(MATCH(AllProteins!H1096,Genomes!$B:$B,0)))</f>
        <v>AY386371-Yaba_monkey_tumor_virus</v>
      </c>
      <c r="J1096">
        <f>INDEX(Genomes!$A:$A,(MATCH(AllProteins!H1096,Genomes!$B:$B,0)))</f>
        <v>59</v>
      </c>
      <c r="K1096" t="str">
        <f>INDEX(Genomes!$J:$J,(MATCH(AllProteins!H1096,Genomes!$B:$B,0)))</f>
        <v>Y</v>
      </c>
    </row>
    <row r="1097" spans="1:11" x14ac:dyDescent="0.2">
      <c r="A1097">
        <f>INDEX(CoreProteinGroups!A:A,MATCH(B1097,CoreProteinGroups!B:B,0))</f>
        <v>19</v>
      </c>
      <c r="B1097" s="1" t="s">
        <v>1821</v>
      </c>
      <c r="C1097" t="str">
        <f>VLOOKUP(B1097,CoreProteinGroups!$B:$C,2,FALSE)</f>
        <v>IMV entry-fusion</v>
      </c>
      <c r="D1097" t="s">
        <v>1913</v>
      </c>
      <c r="E1097" s="6" t="str">
        <f t="shared" si="17"/>
        <v>PROT:AAC97818.1</v>
      </c>
      <c r="F1097" t="s">
        <v>1914</v>
      </c>
      <c r="G1097" t="s">
        <v>133</v>
      </c>
      <c r="H1097" t="s">
        <v>2674</v>
      </c>
      <c r="I1097" t="str">
        <f>INDEX(Genomes!$I:$I,(MATCH(AllProteins!H1097,Genomes!$B:$B,0)))</f>
        <v>AF063866-Melanoplus_sanguinipes_entomopoxvirus</v>
      </c>
      <c r="J1097">
        <f>INDEX(Genomes!$A:$A,(MATCH(AllProteins!H1097,Genomes!$B:$B,0)))</f>
        <v>30</v>
      </c>
      <c r="K1097" t="str">
        <f>INDEX(Genomes!$J:$J,(MATCH(AllProteins!H1097,Genomes!$B:$B,0)))</f>
        <v>Y</v>
      </c>
    </row>
    <row r="1098" spans="1:11" x14ac:dyDescent="0.2">
      <c r="A1098">
        <f>INDEX(CoreProteinGroups!A:A,MATCH(B1098,CoreProteinGroups!B:B,0))</f>
        <v>19</v>
      </c>
      <c r="B1098" s="1" t="s">
        <v>1821</v>
      </c>
      <c r="C1098" t="str">
        <f>VLOOKUP(B1098,CoreProteinGroups!$B:$C,2,FALSE)</f>
        <v>IMV entry-fusion</v>
      </c>
      <c r="D1098" t="s">
        <v>1915</v>
      </c>
      <c r="E1098" s="6" t="str">
        <f t="shared" si="17"/>
        <v>PROT:BAO49538.1</v>
      </c>
      <c r="F1098" t="s">
        <v>1870</v>
      </c>
      <c r="G1098" t="s">
        <v>136</v>
      </c>
      <c r="H1098" t="s">
        <v>2648</v>
      </c>
      <c r="I1098" t="str">
        <f>INDEX(Genomes!$I:$I,(MATCH(AllProteins!H1098,Genomes!$B:$B,0)))</f>
        <v>AP013055-Anomala_cuprea_entomopoxvirus</v>
      </c>
      <c r="J1098">
        <f>INDEX(Genomes!$A:$A,(MATCH(AllProteins!H1098,Genomes!$B:$B,0)))</f>
        <v>2</v>
      </c>
      <c r="K1098" t="str">
        <f>INDEX(Genomes!$J:$J,(MATCH(AllProteins!H1098,Genomes!$B:$B,0)))</f>
        <v>Y</v>
      </c>
    </row>
    <row r="1099" spans="1:11" x14ac:dyDescent="0.2">
      <c r="A1099">
        <f>INDEX(CoreProteinGroups!A:A,MATCH(B1099,CoreProteinGroups!B:B,0))</f>
        <v>19</v>
      </c>
      <c r="B1099" s="1" t="s">
        <v>1821</v>
      </c>
      <c r="C1099" t="str">
        <f>VLOOKUP(B1099,CoreProteinGroups!$B:$C,2,FALSE)</f>
        <v>IMV entry-fusion</v>
      </c>
      <c r="D1099" t="s">
        <v>1916</v>
      </c>
      <c r="E1099" s="6" t="str">
        <f t="shared" si="17"/>
        <v>PROT:CCU55515.1</v>
      </c>
      <c r="F1099" t="s">
        <v>1917</v>
      </c>
      <c r="G1099" t="s">
        <v>138</v>
      </c>
      <c r="H1099" t="s">
        <v>2649</v>
      </c>
      <c r="I1099" t="str">
        <f>INDEX(Genomes!$I:$I,(MATCH(AllProteins!H1099,Genomes!$B:$B,0)))</f>
        <v>HF679131-Adoxophyes_honmai_entomopoxvirus</v>
      </c>
      <c r="J1099">
        <f>INDEX(Genomes!$A:$A,(MATCH(AllProteins!H1099,Genomes!$B:$B,0)))</f>
        <v>3</v>
      </c>
      <c r="K1099" t="str">
        <f>INDEX(Genomes!$J:$J,(MATCH(AllProteins!H1099,Genomes!$B:$B,0)))</f>
        <v>Y</v>
      </c>
    </row>
    <row r="1100" spans="1:11" x14ac:dyDescent="0.2">
      <c r="A1100">
        <f>INDEX(CoreProteinGroups!A:A,MATCH(B1100,CoreProteinGroups!B:B,0))</f>
        <v>19</v>
      </c>
      <c r="B1100" s="1" t="s">
        <v>1821</v>
      </c>
      <c r="C1100" t="str">
        <f>VLOOKUP(B1100,CoreProteinGroups!$B:$C,2,FALSE)</f>
        <v>IMV entry-fusion</v>
      </c>
      <c r="D1100" t="s">
        <v>1918</v>
      </c>
      <c r="E1100" s="6" t="str">
        <f t="shared" si="17"/>
        <v>PROT:AAG02833.1</v>
      </c>
      <c r="F1100" t="s">
        <v>1919</v>
      </c>
      <c r="G1100" t="s">
        <v>141</v>
      </c>
      <c r="H1100" t="s">
        <v>2651</v>
      </c>
      <c r="I1100" t="str">
        <f>INDEX(Genomes!$I:$I,(MATCH(AllProteins!H1100,Genomes!$B:$B,0)))</f>
        <v>AF250284-Amsacta_moorei_entomopoxvirus</v>
      </c>
      <c r="J1100">
        <f>INDEX(Genomes!$A:$A,(MATCH(AllProteins!H1100,Genomes!$B:$B,0)))</f>
        <v>5</v>
      </c>
      <c r="K1100" t="str">
        <f>INDEX(Genomes!$J:$J,(MATCH(AllProteins!H1100,Genomes!$B:$B,0)))</f>
        <v>Y</v>
      </c>
    </row>
    <row r="1101" spans="1:11" x14ac:dyDescent="0.2">
      <c r="A1101">
        <f>INDEX(CoreProteinGroups!A:A,MATCH(B1101,CoreProteinGroups!B:B,0))</f>
        <v>19</v>
      </c>
      <c r="B1101" s="1" t="s">
        <v>1821</v>
      </c>
      <c r="C1101" t="str">
        <f>VLOOKUP(B1101,CoreProteinGroups!$B:$C,2,FALSE)</f>
        <v>IMV entry-fusion</v>
      </c>
      <c r="D1101" t="s">
        <v>1920</v>
      </c>
      <c r="E1101" s="6" t="str">
        <f t="shared" si="17"/>
        <v>PROT:CCU55749.1</v>
      </c>
      <c r="F1101" t="s">
        <v>1917</v>
      </c>
      <c r="G1101" t="s">
        <v>143</v>
      </c>
      <c r="H1101" t="s">
        <v>2656</v>
      </c>
      <c r="I1101" t="str">
        <f>INDEX(Genomes!$I:$I,(MATCH(AllProteins!H1101,Genomes!$B:$B,0)))</f>
        <v>HF679132-Choristoneura_biennis_entomopoxvirus</v>
      </c>
      <c r="J1101">
        <f>INDEX(Genomes!$A:$A,(MATCH(AllProteins!H1101,Genomes!$B:$B,0)))</f>
        <v>10</v>
      </c>
      <c r="K1101" t="str">
        <f>INDEX(Genomes!$J:$J,(MATCH(AllProteins!H1101,Genomes!$B:$B,0)))</f>
        <v>Y</v>
      </c>
    </row>
    <row r="1102" spans="1:11" x14ac:dyDescent="0.2">
      <c r="A1102">
        <f>INDEX(CoreProteinGroups!A:A,MATCH(B1102,CoreProteinGroups!B:B,0))</f>
        <v>19</v>
      </c>
      <c r="B1102" s="1" t="s">
        <v>1821</v>
      </c>
      <c r="C1102" t="str">
        <f>VLOOKUP(B1102,CoreProteinGroups!$B:$C,2,FALSE)</f>
        <v>IMV entry-fusion</v>
      </c>
      <c r="D1102" t="s">
        <v>1921</v>
      </c>
      <c r="E1102" s="6" t="str">
        <f t="shared" si="17"/>
        <v>PROT:CCU56051.1</v>
      </c>
      <c r="F1102" t="s">
        <v>1917</v>
      </c>
      <c r="G1102" t="s">
        <v>145</v>
      </c>
      <c r="H1102" t="s">
        <v>2660</v>
      </c>
      <c r="I1102" t="str">
        <f>INDEX(Genomes!$I:$I,(MATCH(AllProteins!H1102,Genomes!$B:$B,0)))</f>
        <v>HF679133-Choristoneura_rosaceana_entomopoxvirus</v>
      </c>
      <c r="J1102">
        <f>INDEX(Genomes!$A:$A,(MATCH(AllProteins!H1102,Genomes!$B:$B,0)))</f>
        <v>14</v>
      </c>
      <c r="K1102" t="str">
        <f>INDEX(Genomes!$J:$J,(MATCH(AllProteins!H1102,Genomes!$B:$B,0)))</f>
        <v>Y</v>
      </c>
    </row>
    <row r="1103" spans="1:11" x14ac:dyDescent="0.2">
      <c r="A1103">
        <f>INDEX(CoreProteinGroups!A:A,MATCH(B1103,CoreProteinGroups!B:B,0))</f>
        <v>19</v>
      </c>
      <c r="B1103" s="1" t="s">
        <v>1821</v>
      </c>
      <c r="C1103" t="str">
        <f>VLOOKUP(B1103,CoreProteinGroups!$B:$C,2,FALSE)</f>
        <v>IMV entry-fusion</v>
      </c>
      <c r="D1103" t="s">
        <v>1922</v>
      </c>
      <c r="E1103" s="6" t="str">
        <f t="shared" si="17"/>
        <v>PROT:CCU56354.1</v>
      </c>
      <c r="F1103" t="s">
        <v>1917</v>
      </c>
      <c r="G1103" t="s">
        <v>147</v>
      </c>
      <c r="H1103" t="s">
        <v>2675</v>
      </c>
      <c r="I1103" t="str">
        <f>INDEX(Genomes!$I:$I,(MATCH(AllProteins!H1103,Genomes!$B:$B,0)))</f>
        <v>HF679134-Mythimna_separata_entomopoxvirus</v>
      </c>
      <c r="J1103">
        <f>INDEX(Genomes!$A:$A,(MATCH(AllProteins!H1103,Genomes!$B:$B,0)))</f>
        <v>31</v>
      </c>
      <c r="K1103" t="str">
        <f>INDEX(Genomes!$J:$J,(MATCH(AllProteins!H1103,Genomes!$B:$B,0)))</f>
        <v>Y</v>
      </c>
    </row>
    <row r="1104" spans="1:11" x14ac:dyDescent="0.2">
      <c r="A1104">
        <f>INDEX(CoreProteinGroups!A:A,MATCH(B1104,CoreProteinGroups!B:B,0))</f>
        <v>20</v>
      </c>
      <c r="B1104" s="1" t="s">
        <v>1923</v>
      </c>
      <c r="C1104" t="str">
        <f>VLOOKUP(B1104,CoreProteinGroups!$B:$C,2,FALSE)</f>
        <v>RAP94</v>
      </c>
      <c r="D1104" t="s">
        <v>1925</v>
      </c>
      <c r="E1104" s="6" t="str">
        <f t="shared" si="17"/>
        <v>PROT:ATI21183.1</v>
      </c>
      <c r="F1104" t="s">
        <v>1924</v>
      </c>
      <c r="G1104" t="s">
        <v>11</v>
      </c>
      <c r="H1104" t="s">
        <v>2663</v>
      </c>
      <c r="I1104" t="str">
        <f>INDEX(Genomes!$I:$I,(MATCH(AllProteins!H1104,Genomes!$B:$B,0)))</f>
        <v>MF467281-Eastern_grey_kangaroopox_virus</v>
      </c>
      <c r="J1104">
        <f>INDEX(Genomes!$A:$A,(MATCH(AllProteins!H1104,Genomes!$B:$B,0)))</f>
        <v>18</v>
      </c>
      <c r="K1104" t="str">
        <f>INDEX(Genomes!$J:$J,(MATCH(AllProteins!H1104,Genomes!$B:$B,0)))</f>
        <v>Y</v>
      </c>
    </row>
    <row r="1105" spans="1:11" x14ac:dyDescent="0.2">
      <c r="A1105">
        <f>INDEX(CoreProteinGroups!A:A,MATCH(B1105,CoreProteinGroups!B:B,0))</f>
        <v>20</v>
      </c>
      <c r="B1105" s="1" t="s">
        <v>1923</v>
      </c>
      <c r="C1105" t="str">
        <f>VLOOKUP(B1105,CoreProteinGroups!$B:$C,2,FALSE)</f>
        <v>RAP94</v>
      </c>
      <c r="D1105" t="s">
        <v>1926</v>
      </c>
      <c r="E1105" s="6" t="str">
        <f t="shared" si="17"/>
        <v>PROT:AWU47118.1</v>
      </c>
      <c r="F1105" t="s">
        <v>1927</v>
      </c>
      <c r="G1105" t="s">
        <v>13</v>
      </c>
      <c r="H1105" t="s">
        <v>2688</v>
      </c>
      <c r="I1105" t="str">
        <f>INDEX(Genomes!$I:$I,(MATCH(AllProteins!H1105,Genomes!$B:$B,0)))</f>
        <v>MH427217-sea_otter_poxvirus</v>
      </c>
      <c r="J1105">
        <f>INDEX(Genomes!$A:$A,(MATCH(AllProteins!H1105,Genomes!$B:$B,0)))</f>
        <v>47</v>
      </c>
      <c r="K1105" t="str">
        <f>INDEX(Genomes!$J:$J,(MATCH(AllProteins!H1105,Genomes!$B:$B,0)))</f>
        <v>Y</v>
      </c>
    </row>
    <row r="1106" spans="1:11" x14ac:dyDescent="0.2">
      <c r="A1106">
        <f>INDEX(CoreProteinGroups!A:A,MATCH(B1106,CoreProteinGroups!B:B,0))</f>
        <v>20</v>
      </c>
      <c r="B1106" s="1" t="s">
        <v>1923</v>
      </c>
      <c r="C1106" t="str">
        <f>VLOOKUP(B1106,CoreProteinGroups!$B:$C,2,FALSE)</f>
        <v>RAP94</v>
      </c>
      <c r="D1106" t="s">
        <v>1928</v>
      </c>
      <c r="E1106" s="6" t="str">
        <f t="shared" si="17"/>
        <v>PROT:APG58293.1</v>
      </c>
      <c r="F1106" t="s">
        <v>1929</v>
      </c>
      <c r="G1106" t="s">
        <v>16</v>
      </c>
      <c r="H1106" t="s">
        <v>2653</v>
      </c>
      <c r="I1106" t="str">
        <f>INDEX(Genomes!$I:$I,(MATCH(AllProteins!H1106,Genomes!$B:$B,0)))</f>
        <v>KY094066-BeAn_58058_virus</v>
      </c>
      <c r="J1106">
        <f>INDEX(Genomes!$A:$A,(MATCH(AllProteins!H1106,Genomes!$B:$B,0)))</f>
        <v>7</v>
      </c>
      <c r="K1106" t="str">
        <f>INDEX(Genomes!$J:$J,(MATCH(AllProteins!H1106,Genomes!$B:$B,0)))</f>
        <v>N</v>
      </c>
    </row>
    <row r="1107" spans="1:11" x14ac:dyDescent="0.2">
      <c r="A1107">
        <f>INDEX(CoreProteinGroups!A:A,MATCH(B1107,CoreProteinGroups!B:B,0))</f>
        <v>20</v>
      </c>
      <c r="B1107" s="1" t="s">
        <v>1923</v>
      </c>
      <c r="C1107" t="str">
        <f>VLOOKUP(B1107,CoreProteinGroups!$B:$C,2,FALSE)</f>
        <v>RAP94</v>
      </c>
      <c r="D1107" t="s">
        <v>1930</v>
      </c>
      <c r="E1107" s="6" t="str">
        <f t="shared" si="17"/>
        <v>PROT:ADT91105.1</v>
      </c>
      <c r="F1107" t="s">
        <v>1931</v>
      </c>
      <c r="G1107" t="s">
        <v>19</v>
      </c>
      <c r="H1107" t="s">
        <v>2658</v>
      </c>
      <c r="I1107" t="str">
        <f>INDEX(Genomes!$I:$I,(MATCH(AllProteins!H1107,Genomes!$B:$B,0)))</f>
        <v>HQ647181-Cotia_virus</v>
      </c>
      <c r="J1107">
        <f>INDEX(Genomes!$A:$A,(MATCH(AllProteins!H1107,Genomes!$B:$B,0)))</f>
        <v>12</v>
      </c>
      <c r="K1107" t="str">
        <f>INDEX(Genomes!$J:$J,(MATCH(AllProteins!H1107,Genomes!$B:$B,0)))</f>
        <v>Y</v>
      </c>
    </row>
    <row r="1108" spans="1:11" x14ac:dyDescent="0.2">
      <c r="A1108">
        <f>INDEX(CoreProteinGroups!A:A,MATCH(B1108,CoreProteinGroups!B:B,0))</f>
        <v>20</v>
      </c>
      <c r="B1108" s="1" t="s">
        <v>1923</v>
      </c>
      <c r="C1108" t="str">
        <f>VLOOKUP(B1108,CoreProteinGroups!$B:$C,2,FALSE)</f>
        <v>RAP94</v>
      </c>
      <c r="D1108" t="s">
        <v>1932</v>
      </c>
      <c r="E1108" s="6" t="str">
        <f t="shared" si="17"/>
        <v>PROT:ANS71162.1</v>
      </c>
      <c r="F1108" t="s">
        <v>1927</v>
      </c>
      <c r="G1108" t="s">
        <v>21</v>
      </c>
      <c r="H1108" t="s">
        <v>2682</v>
      </c>
      <c r="I1108" t="str">
        <f>INDEX(Genomes!$I:$I,(MATCH(AllProteins!H1108,Genomes!$B:$B,0)))</f>
        <v>KU980965-pteropox_virus</v>
      </c>
      <c r="J1108">
        <f>INDEX(Genomes!$A:$A,(MATCH(AllProteins!H1108,Genomes!$B:$B,0)))</f>
        <v>40</v>
      </c>
      <c r="K1108" t="str">
        <f>INDEX(Genomes!$J:$J,(MATCH(AllProteins!H1108,Genomes!$B:$B,0)))</f>
        <v>Y</v>
      </c>
    </row>
    <row r="1109" spans="1:11" x14ac:dyDescent="0.2">
      <c r="A1109">
        <f>INDEX(CoreProteinGroups!A:A,MATCH(B1109,CoreProteinGroups!B:B,0))</f>
        <v>20</v>
      </c>
      <c r="B1109" s="1" t="s">
        <v>1923</v>
      </c>
      <c r="C1109" t="str">
        <f>VLOOKUP(B1109,CoreProteinGroups!$B:$C,2,FALSE)</f>
        <v>RAP94</v>
      </c>
      <c r="D1109" t="s">
        <v>1933</v>
      </c>
      <c r="E1109" s="6" t="str">
        <f t="shared" si="17"/>
        <v>PROT:AKR04293.1</v>
      </c>
      <c r="F1109" t="s">
        <v>1934</v>
      </c>
      <c r="G1109" t="s">
        <v>24</v>
      </c>
      <c r="H1109" t="s">
        <v>2687</v>
      </c>
      <c r="I1109" t="str">
        <f>INDEX(Genomes!$I:$I,(MATCH(AllProteins!H1109,Genomes!$B:$B,0)))</f>
        <v>KT159937-salmon_gill_poxvirus</v>
      </c>
      <c r="J1109">
        <f>INDEX(Genomes!$A:$A,(MATCH(AllProteins!H1109,Genomes!$B:$B,0)))</f>
        <v>46</v>
      </c>
      <c r="K1109" t="str">
        <f>INDEX(Genomes!$J:$J,(MATCH(AllProteins!H1109,Genomes!$B:$B,0)))</f>
        <v>Y</v>
      </c>
    </row>
    <row r="1110" spans="1:11" x14ac:dyDescent="0.2">
      <c r="A1110">
        <f>INDEX(CoreProteinGroups!A:A,MATCH(B1110,CoreProteinGroups!B:B,0))</f>
        <v>20</v>
      </c>
      <c r="B1110" s="1" t="s">
        <v>1923</v>
      </c>
      <c r="C1110" t="str">
        <f>VLOOKUP(B1110,CoreProteinGroups!$B:$C,2,FALSE)</f>
        <v>RAP94</v>
      </c>
      <c r="D1110" t="s">
        <v>1935</v>
      </c>
      <c r="E1110" s="6" t="str">
        <f t="shared" si="17"/>
        <v>PROT:CCD83251.1</v>
      </c>
      <c r="F1110" t="s">
        <v>1936</v>
      </c>
      <c r="G1110" t="s">
        <v>27</v>
      </c>
      <c r="H1110" t="s">
        <v>2689</v>
      </c>
      <c r="I1110" t="str">
        <f>INDEX(Genomes!$I:$I,(MATCH(AllProteins!H1110,Genomes!$B:$B,0)))</f>
        <v>HE601899-squirrelpox_virus</v>
      </c>
      <c r="J1110">
        <f>INDEX(Genomes!$A:$A,(MATCH(AllProteins!H1110,Genomes!$B:$B,0)))</f>
        <v>48</v>
      </c>
      <c r="K1110" t="str">
        <f>INDEX(Genomes!$J:$J,(MATCH(AllProteins!H1110,Genomes!$B:$B,0)))</f>
        <v>Y</v>
      </c>
    </row>
    <row r="1111" spans="1:11" x14ac:dyDescent="0.2">
      <c r="A1111">
        <f>INDEX(CoreProteinGroups!A:A,MATCH(B1111,CoreProteinGroups!B:B,0))</f>
        <v>20</v>
      </c>
      <c r="B1111" s="1" t="s">
        <v>1923</v>
      </c>
      <c r="C1111" t="str">
        <f>VLOOKUP(B1111,CoreProteinGroups!$B:$C,2,FALSE)</f>
        <v>RAP94</v>
      </c>
      <c r="D1111" t="s">
        <v>1937</v>
      </c>
      <c r="E1111" s="6" t="str">
        <f t="shared" si="17"/>
        <v>PROT:ASK51280.1</v>
      </c>
      <c r="F1111" t="s">
        <v>1938</v>
      </c>
      <c r="G1111" t="s">
        <v>30</v>
      </c>
      <c r="H1111" t="s">
        <v>2664</v>
      </c>
      <c r="I1111" t="str">
        <f>INDEX(Genomes!$I:$I,(MATCH(AllProteins!H1111,Genomes!$B:$B,0)))</f>
        <v>KY747497-eptesipox_virus</v>
      </c>
      <c r="J1111">
        <f>INDEX(Genomes!$A:$A,(MATCH(AllProteins!H1111,Genomes!$B:$B,0)))</f>
        <v>19</v>
      </c>
      <c r="K1111" t="str">
        <f>INDEX(Genomes!$J:$J,(MATCH(AllProteins!H1111,Genomes!$B:$B,0)))</f>
        <v>Y</v>
      </c>
    </row>
    <row r="1112" spans="1:11" x14ac:dyDescent="0.2">
      <c r="A1112">
        <f>INDEX(CoreProteinGroups!A:A,MATCH(B1112,CoreProteinGroups!B:B,0))</f>
        <v>20</v>
      </c>
      <c r="B1112" s="1" t="s">
        <v>1923</v>
      </c>
      <c r="C1112" t="str">
        <f>VLOOKUP(B1112,CoreProteinGroups!$B:$C,2,FALSE)</f>
        <v>RAP94</v>
      </c>
      <c r="D1112" t="s">
        <v>1939</v>
      </c>
      <c r="E1112" s="6" t="str">
        <f t="shared" si="17"/>
        <v>PROT:AUD40245.1</v>
      </c>
      <c r="F1112" t="s">
        <v>1940</v>
      </c>
      <c r="G1112" t="s">
        <v>32</v>
      </c>
      <c r="H1112" t="s">
        <v>2665</v>
      </c>
      <c r="I1112" t="str">
        <f>INDEX(Genomes!$I:$I,(MATCH(AllProteins!H1112,Genomes!$B:$B,0)))</f>
        <v>MF678796-flamingopox_virus</v>
      </c>
      <c r="J1112">
        <f>INDEX(Genomes!$A:$A,(MATCH(AllProteins!H1112,Genomes!$B:$B,0)))</f>
        <v>20</v>
      </c>
      <c r="K1112" t="str">
        <f>INDEX(Genomes!$J:$J,(MATCH(AllProteins!H1112,Genomes!$B:$B,0)))</f>
        <v>Y</v>
      </c>
    </row>
    <row r="1113" spans="1:11" x14ac:dyDescent="0.2">
      <c r="A1113">
        <f>INDEX(CoreProteinGroups!A:A,MATCH(B1113,CoreProteinGroups!B:B,0))</f>
        <v>20</v>
      </c>
      <c r="B1113" s="1" t="s">
        <v>1923</v>
      </c>
      <c r="C1113" t="str">
        <f>VLOOKUP(B1113,CoreProteinGroups!$B:$C,2,FALSE)</f>
        <v>RAP94</v>
      </c>
      <c r="D1113" t="s">
        <v>1941</v>
      </c>
      <c r="E1113" s="6" t="str">
        <f t="shared" si="17"/>
        <v>PROT:AID46877.1</v>
      </c>
      <c r="F1113" t="s">
        <v>1942</v>
      </c>
      <c r="G1113" t="s">
        <v>34</v>
      </c>
      <c r="H1113" t="s">
        <v>2681</v>
      </c>
      <c r="I1113" t="str">
        <f>INDEX(Genomes!$I:$I,(MATCH(AllProteins!H1113,Genomes!$B:$B,0)))</f>
        <v>KJ859677-penguinpox_virus</v>
      </c>
      <c r="J1113">
        <f>INDEX(Genomes!$A:$A,(MATCH(AllProteins!H1113,Genomes!$B:$B,0)))</f>
        <v>39</v>
      </c>
      <c r="K1113" t="str">
        <f>INDEX(Genomes!$J:$J,(MATCH(AllProteins!H1113,Genomes!$B:$B,0)))</f>
        <v>Y</v>
      </c>
    </row>
    <row r="1114" spans="1:11" x14ac:dyDescent="0.2">
      <c r="A1114">
        <f>INDEX(CoreProteinGroups!A:A,MATCH(B1114,CoreProteinGroups!B:B,0))</f>
        <v>20</v>
      </c>
      <c r="B1114" s="1" t="s">
        <v>1923</v>
      </c>
      <c r="C1114" t="str">
        <f>VLOOKUP(B1114,CoreProteinGroups!$B:$C,2,FALSE)</f>
        <v>RAP94</v>
      </c>
      <c r="D1114" t="s">
        <v>1943</v>
      </c>
      <c r="E1114" s="6" t="str">
        <f t="shared" si="17"/>
        <v>PROT:AID46648.1</v>
      </c>
      <c r="F1114" t="s">
        <v>1942</v>
      </c>
      <c r="G1114" t="s">
        <v>36</v>
      </c>
      <c r="H1114" t="s">
        <v>2680</v>
      </c>
      <c r="I1114" t="str">
        <f>INDEX(Genomes!$I:$I,(MATCH(AllProteins!H1114,Genomes!$B:$B,0)))</f>
        <v>KJ801920-pigeonpox_virus</v>
      </c>
      <c r="J1114">
        <f>INDEX(Genomes!$A:$A,(MATCH(AllProteins!H1114,Genomes!$B:$B,0)))</f>
        <v>38</v>
      </c>
      <c r="K1114" t="str">
        <f>INDEX(Genomes!$J:$J,(MATCH(AllProteins!H1114,Genomes!$B:$B,0)))</f>
        <v>Y</v>
      </c>
    </row>
    <row r="1115" spans="1:11" x14ac:dyDescent="0.2">
      <c r="A1115">
        <f>INDEX(CoreProteinGroups!A:A,MATCH(B1115,CoreProteinGroups!B:B,0))</f>
        <v>20</v>
      </c>
      <c r="B1115" s="1" t="s">
        <v>1923</v>
      </c>
      <c r="C1115" t="str">
        <f>VLOOKUP(B1115,CoreProteinGroups!$B:$C,2,FALSE)</f>
        <v>RAP94</v>
      </c>
      <c r="D1115" t="s">
        <v>1944</v>
      </c>
      <c r="E1115" s="6" t="str">
        <f t="shared" si="17"/>
        <v>PROT:ALA62479.1</v>
      </c>
      <c r="F1115" t="s">
        <v>1945</v>
      </c>
      <c r="G1115" t="s">
        <v>39</v>
      </c>
      <c r="H1115" t="s">
        <v>2692</v>
      </c>
      <c r="I1115" t="str">
        <f>INDEX(Genomes!$I:$I,(MATCH(AllProteins!H1115,Genomes!$B:$B,0)))</f>
        <v>KP728110-turkeypox_virus</v>
      </c>
      <c r="J1115">
        <f>INDEX(Genomes!$A:$A,(MATCH(AllProteins!H1115,Genomes!$B:$B,0)))</f>
        <v>51</v>
      </c>
      <c r="K1115" t="str">
        <f>INDEX(Genomes!$J:$J,(MATCH(AllProteins!H1115,Genomes!$B:$B,0)))</f>
        <v>Y</v>
      </c>
    </row>
    <row r="1116" spans="1:11" x14ac:dyDescent="0.2">
      <c r="A1116">
        <f>INDEX(CoreProteinGroups!A:A,MATCH(B1116,CoreProteinGroups!B:B,0))</f>
        <v>20</v>
      </c>
      <c r="B1116" s="1" t="s">
        <v>1923</v>
      </c>
      <c r="C1116" t="str">
        <f>VLOOKUP(B1116,CoreProteinGroups!$B:$C,2,FALSE)</f>
        <v>RAP94</v>
      </c>
      <c r="D1116" t="s">
        <v>1946</v>
      </c>
      <c r="E1116" s="6" t="str">
        <f t="shared" si="17"/>
        <v>PROT:AAR83533.1</v>
      </c>
      <c r="F1116" t="s">
        <v>1947</v>
      </c>
      <c r="G1116" t="s">
        <v>42</v>
      </c>
      <c r="H1116" t="s">
        <v>2657</v>
      </c>
      <c r="I1116" t="str">
        <f>INDEX(Genomes!$I:$I,(MATCH(AllProteins!H1116,Genomes!$B:$B,0)))</f>
        <v>AY318871-canarypox_virus</v>
      </c>
      <c r="J1116">
        <f>INDEX(Genomes!$A:$A,(MATCH(AllProteins!H1116,Genomes!$B:$B,0)))</f>
        <v>11</v>
      </c>
      <c r="K1116" t="str">
        <f>INDEX(Genomes!$J:$J,(MATCH(AllProteins!H1116,Genomes!$B:$B,0)))</f>
        <v>Y</v>
      </c>
    </row>
    <row r="1117" spans="1:11" x14ac:dyDescent="0.2">
      <c r="A1117">
        <f>INDEX(CoreProteinGroups!A:A,MATCH(B1117,CoreProteinGroups!B:B,0))</f>
        <v>20</v>
      </c>
      <c r="B1117" s="1" t="s">
        <v>1923</v>
      </c>
      <c r="C1117" t="str">
        <f>VLOOKUP(B1117,CoreProteinGroups!$B:$C,2,FALSE)</f>
        <v>RAP94</v>
      </c>
      <c r="D1117" t="s">
        <v>1948</v>
      </c>
      <c r="E1117" s="6" t="str">
        <f t="shared" si="17"/>
        <v>PROT:AAF44485.1</v>
      </c>
      <c r="F1117" t="s">
        <v>1949</v>
      </c>
      <c r="G1117" t="s">
        <v>45</v>
      </c>
      <c r="H1117" t="s">
        <v>2666</v>
      </c>
      <c r="I1117" t="str">
        <f>INDEX(Genomes!$I:$I,(MATCH(AllProteins!H1117,Genomes!$B:$B,0)))</f>
        <v>AF198100-fowlpox_virus</v>
      </c>
      <c r="J1117">
        <f>INDEX(Genomes!$A:$A,(MATCH(AllProteins!H1117,Genomes!$B:$B,0)))</f>
        <v>21</v>
      </c>
      <c r="K1117" t="str">
        <f>INDEX(Genomes!$J:$J,(MATCH(AllProteins!H1117,Genomes!$B:$B,0)))</f>
        <v>Y</v>
      </c>
    </row>
    <row r="1118" spans="1:11" x14ac:dyDescent="0.2">
      <c r="A1118">
        <f>INDEX(CoreProteinGroups!A:A,MATCH(B1118,CoreProteinGroups!B:B,0))</f>
        <v>20</v>
      </c>
      <c r="B1118" s="1" t="s">
        <v>1923</v>
      </c>
      <c r="C1118" t="str">
        <f>VLOOKUP(B1118,CoreProteinGroups!$B:$C,2,FALSE)</f>
        <v>RAP94</v>
      </c>
      <c r="D1118" t="s">
        <v>1950</v>
      </c>
      <c r="E1118" s="6" t="str">
        <f t="shared" si="17"/>
        <v>PROT:AAK85036.1</v>
      </c>
      <c r="F1118" t="s">
        <v>1951</v>
      </c>
      <c r="G1118" t="s">
        <v>48</v>
      </c>
      <c r="H1118" t="s">
        <v>2669</v>
      </c>
      <c r="I1118" t="str">
        <f>INDEX(Genomes!$I:$I,(MATCH(AllProteins!H1118,Genomes!$B:$B,0)))</f>
        <v>AF325528-lumpy_skin_disease_virus</v>
      </c>
      <c r="J1118">
        <f>INDEX(Genomes!$A:$A,(MATCH(AllProteins!H1118,Genomes!$B:$B,0)))</f>
        <v>25</v>
      </c>
      <c r="K1118" t="str">
        <f>INDEX(Genomes!$J:$J,(MATCH(AllProteins!H1118,Genomes!$B:$B,0)))</f>
        <v>Y</v>
      </c>
    </row>
    <row r="1119" spans="1:11" x14ac:dyDescent="0.2">
      <c r="A1119">
        <f>INDEX(CoreProteinGroups!A:A,MATCH(B1119,CoreProteinGroups!B:B,0))</f>
        <v>20</v>
      </c>
      <c r="B1119" s="1" t="s">
        <v>1923</v>
      </c>
      <c r="C1119" t="str">
        <f>VLOOKUP(B1119,CoreProteinGroups!$B:$C,2,FALSE)</f>
        <v>RAP94</v>
      </c>
      <c r="D1119" t="s">
        <v>1952</v>
      </c>
      <c r="E1119" s="6" t="str">
        <f t="shared" si="17"/>
        <v>PROT:AST09293.1</v>
      </c>
      <c r="F1119" t="s">
        <v>1953</v>
      </c>
      <c r="G1119" t="s">
        <v>50</v>
      </c>
      <c r="H1119" t="s">
        <v>2671</v>
      </c>
      <c r="I1119" t="str">
        <f>INDEX(Genomes!$I:$I,(MATCH(AllProteins!H1119,Genomes!$B:$B,0)))</f>
        <v>MF001304-Murmansk_poxvirus</v>
      </c>
      <c r="J1119">
        <f>INDEX(Genomes!$A:$A,(MATCH(AllProteins!H1119,Genomes!$B:$B,0)))</f>
        <v>27</v>
      </c>
      <c r="K1119" t="str">
        <f>INDEX(Genomes!$J:$J,(MATCH(AllProteins!H1119,Genomes!$B:$B,0)))</f>
        <v>Y</v>
      </c>
    </row>
    <row r="1120" spans="1:11" x14ac:dyDescent="0.2">
      <c r="A1120">
        <f>INDEX(CoreProteinGroups!A:A,MATCH(B1120,CoreProteinGroups!B:B,0))</f>
        <v>20</v>
      </c>
      <c r="B1120" s="1" t="s">
        <v>1923</v>
      </c>
      <c r="C1120" t="str">
        <f>VLOOKUP(B1120,CoreProteinGroups!$B:$C,2,FALSE)</f>
        <v>RAP94</v>
      </c>
      <c r="D1120" t="s">
        <v>1954</v>
      </c>
      <c r="E1120" s="6" t="str">
        <f t="shared" si="17"/>
        <v>PROT:AEN03671.1</v>
      </c>
      <c r="F1120" t="s">
        <v>1955</v>
      </c>
      <c r="G1120" t="s">
        <v>52</v>
      </c>
      <c r="H1120" t="s">
        <v>2698</v>
      </c>
      <c r="I1120" t="str">
        <f>INDEX(Genomes!$I:$I,(MATCH(AllProteins!H1120,Genomes!$B:$B,0)))</f>
        <v>HQ849551-yokapox_virus</v>
      </c>
      <c r="J1120">
        <f>INDEX(Genomes!$A:$A,(MATCH(AllProteins!H1120,Genomes!$B:$B,0)))</f>
        <v>57</v>
      </c>
      <c r="K1120" t="str">
        <f>INDEX(Genomes!$J:$J,(MATCH(AllProteins!H1120,Genomes!$B:$B,0)))</f>
        <v>Y</v>
      </c>
    </row>
    <row r="1121" spans="1:11" x14ac:dyDescent="0.2">
      <c r="A1121">
        <f>INDEX(CoreProteinGroups!A:A,MATCH(B1121,CoreProteinGroups!B:B,0))</f>
        <v>20</v>
      </c>
      <c r="B1121" s="1" t="s">
        <v>1923</v>
      </c>
      <c r="C1121" t="str">
        <f>VLOOKUP(B1121,CoreProteinGroups!$B:$C,2,FALSE)</f>
        <v>RAP94</v>
      </c>
      <c r="D1121" t="s">
        <v>1956</v>
      </c>
      <c r="E1121" s="6" t="str">
        <f t="shared" si="17"/>
        <v>PROT:ABI99239.1</v>
      </c>
      <c r="F1121" t="s">
        <v>1957</v>
      </c>
      <c r="G1121" t="s">
        <v>54</v>
      </c>
      <c r="H1121" t="s">
        <v>2661</v>
      </c>
      <c r="I1121" t="str">
        <f>INDEX(Genomes!$I:$I,(MATCH(AllProteins!H1121,Genomes!$B:$B,0)))</f>
        <v>AY689436-mule_deerpox_virus</v>
      </c>
      <c r="J1121">
        <f>INDEX(Genomes!$A:$A,(MATCH(AllProteins!H1121,Genomes!$B:$B,0)))</f>
        <v>15</v>
      </c>
      <c r="K1121" t="str">
        <f>INDEX(Genomes!$J:$J,(MATCH(AllProteins!H1121,Genomes!$B:$B,0)))</f>
        <v>Y</v>
      </c>
    </row>
    <row r="1122" spans="1:11" x14ac:dyDescent="0.2">
      <c r="A1122">
        <f>INDEX(CoreProteinGroups!A:A,MATCH(B1122,CoreProteinGroups!B:B,0))</f>
        <v>20</v>
      </c>
      <c r="B1122" s="1" t="s">
        <v>1923</v>
      </c>
      <c r="C1122" t="str">
        <f>VLOOKUP(B1122,CoreProteinGroups!$B:$C,2,FALSE)</f>
        <v>RAP94</v>
      </c>
      <c r="D1122" t="s">
        <v>1958</v>
      </c>
      <c r="E1122" s="6" t="str">
        <f t="shared" si="17"/>
        <v>PROT:ABJ08995.1</v>
      </c>
      <c r="F1122" t="s">
        <v>1959</v>
      </c>
      <c r="G1122" t="s">
        <v>56</v>
      </c>
      <c r="H1122" t="s">
        <v>2677</v>
      </c>
      <c r="I1122" t="str">
        <f>INDEX(Genomes!$I:$I,(MATCH(AllProteins!H1122,Genomes!$B:$B,0)))</f>
        <v>DQ356948-Nile_crocodilepox_virus</v>
      </c>
      <c r="J1122">
        <f>INDEX(Genomes!$A:$A,(MATCH(AllProteins!H1122,Genomes!$B:$B,0)))</f>
        <v>34</v>
      </c>
      <c r="K1122" t="str">
        <f>INDEX(Genomes!$J:$J,(MATCH(AllProteins!H1122,Genomes!$B:$B,0)))</f>
        <v>Y</v>
      </c>
    </row>
    <row r="1123" spans="1:11" x14ac:dyDescent="0.2">
      <c r="A1123">
        <f>INDEX(CoreProteinGroups!A:A,MATCH(B1123,CoreProteinGroups!B:B,0))</f>
        <v>20</v>
      </c>
      <c r="B1123" s="1" t="s">
        <v>1923</v>
      </c>
      <c r="C1123" t="str">
        <f>VLOOKUP(B1123,CoreProteinGroups!$B:$C,2,FALSE)</f>
        <v>RAP94</v>
      </c>
      <c r="D1123" t="s">
        <v>1960</v>
      </c>
      <c r="E1123" s="6" t="str">
        <f t="shared" si="17"/>
        <v>PROT:AAF14960.1</v>
      </c>
      <c r="F1123" t="s">
        <v>1961</v>
      </c>
      <c r="G1123" t="s">
        <v>2584</v>
      </c>
      <c r="H1123" t="s">
        <v>2676</v>
      </c>
      <c r="I1123" t="str">
        <f>INDEX(Genomes!$I:$I,(MATCH(AllProteins!H1123,Genomes!$B:$B,0)))</f>
        <v>AF170726-myxoma_virus</v>
      </c>
      <c r="J1123">
        <f>INDEX(Genomes!$A:$A,(MATCH(AllProteins!H1123,Genomes!$B:$B,0)))</f>
        <v>32</v>
      </c>
      <c r="K1123" t="str">
        <f>INDEX(Genomes!$J:$J,(MATCH(AllProteins!H1123,Genomes!$B:$B,0)))</f>
        <v>Y</v>
      </c>
    </row>
    <row r="1124" spans="1:11" x14ac:dyDescent="0.2">
      <c r="A1124">
        <f>INDEX(CoreProteinGroups!A:A,MATCH(B1124,CoreProteinGroups!B:B,0))</f>
        <v>20</v>
      </c>
      <c r="B1124" s="1" t="s">
        <v>1923</v>
      </c>
      <c r="C1124" t="str">
        <f>VLOOKUP(B1124,CoreProteinGroups!$B:$C,2,FALSE)</f>
        <v>RAP94</v>
      </c>
      <c r="D1124" t="s">
        <v>1962</v>
      </c>
      <c r="E1124" s="6" t="str">
        <f t="shared" si="17"/>
        <v>PROT:AFU77336.1</v>
      </c>
      <c r="F1124" t="s">
        <v>1961</v>
      </c>
      <c r="G1124" t="s">
        <v>2553</v>
      </c>
      <c r="H1124" t="s">
        <v>2646</v>
      </c>
      <c r="I1124" t="str">
        <f>INDEX(Genomes!$I:$I,(MATCH(AllProteins!H1124,Genomes!$B:$B,0)))</f>
        <v>JX565564-myxoma_virus_isolate_BRK_897</v>
      </c>
      <c r="J1124">
        <f>INDEX(Genomes!$A:$A,(MATCH(AllProteins!H1124,Genomes!$B:$B,0)))</f>
        <v>33</v>
      </c>
      <c r="K1124" t="str">
        <f>INDEX(Genomes!$J:$J,(MATCH(AllProteins!H1124,Genomes!$B:$B,0)))</f>
        <v>N</v>
      </c>
    </row>
    <row r="1125" spans="1:11" x14ac:dyDescent="0.2">
      <c r="A1125">
        <f>INDEX(CoreProteinGroups!A:A,MATCH(B1125,CoreProteinGroups!B:B,0))</f>
        <v>20</v>
      </c>
      <c r="B1125" s="1" t="s">
        <v>1923</v>
      </c>
      <c r="C1125" t="str">
        <f>VLOOKUP(B1125,CoreProteinGroups!$B:$C,2,FALSE)</f>
        <v>RAP94</v>
      </c>
      <c r="D1125" t="s">
        <v>1963</v>
      </c>
      <c r="E1125" s="6" t="str">
        <f t="shared" si="17"/>
        <v>PROT:AAF17954.1</v>
      </c>
      <c r="F1125" t="s">
        <v>1964</v>
      </c>
      <c r="G1125" t="s">
        <v>62</v>
      </c>
      <c r="H1125" t="s">
        <v>2685</v>
      </c>
      <c r="I1125" t="str">
        <f>INDEX(Genomes!$I:$I,(MATCH(AllProteins!H1125,Genomes!$B:$B,0)))</f>
        <v>AF170722-rabbit_fibroma_virus</v>
      </c>
      <c r="J1125">
        <f>INDEX(Genomes!$A:$A,(MATCH(AllProteins!H1125,Genomes!$B:$B,0)))</f>
        <v>43</v>
      </c>
      <c r="K1125" t="str">
        <f>INDEX(Genomes!$J:$J,(MATCH(AllProteins!H1125,Genomes!$B:$B,0)))</f>
        <v>Y</v>
      </c>
    </row>
    <row r="1126" spans="1:11" x14ac:dyDescent="0.2">
      <c r="A1126">
        <f>INDEX(CoreProteinGroups!A:A,MATCH(B1126,CoreProteinGroups!B:B,0))</f>
        <v>20</v>
      </c>
      <c r="B1126" s="1" t="s">
        <v>1923</v>
      </c>
      <c r="C1126" t="str">
        <f>VLOOKUP(B1126,CoreProteinGroups!$B:$C,2,FALSE)</f>
        <v>RAP94</v>
      </c>
      <c r="D1126" t="s">
        <v>1965</v>
      </c>
      <c r="E1126" s="6" t="str">
        <f t="shared" si="17"/>
        <v>PROT:AAC55213.1</v>
      </c>
      <c r="F1126" t="s">
        <v>1966</v>
      </c>
      <c r="G1126" t="s">
        <v>65</v>
      </c>
      <c r="H1126" t="s">
        <v>2670</v>
      </c>
      <c r="I1126" t="str">
        <f>INDEX(Genomes!$I:$I,(MATCH(AllProteins!H1126,Genomes!$B:$B,0)))</f>
        <v>U60315-molluscum_contagiosum_virus</v>
      </c>
      <c r="J1126">
        <f>INDEX(Genomes!$A:$A,(MATCH(AllProteins!H1126,Genomes!$B:$B,0)))</f>
        <v>26</v>
      </c>
      <c r="K1126" t="str">
        <f>INDEX(Genomes!$J:$J,(MATCH(AllProteins!H1126,Genomes!$B:$B,0)))</f>
        <v>Y</v>
      </c>
    </row>
    <row r="1127" spans="1:11" x14ac:dyDescent="0.2">
      <c r="A1127">
        <f>INDEX(CoreProteinGroups!A:A,MATCH(B1127,CoreProteinGroups!B:B,0))</f>
        <v>20</v>
      </c>
      <c r="B1127" s="1" t="s">
        <v>1923</v>
      </c>
      <c r="C1127" t="str">
        <f>VLOOKUP(B1127,CoreProteinGroups!$B:$C,2,FALSE)</f>
        <v>RAP94</v>
      </c>
      <c r="D1127" t="s">
        <v>1967</v>
      </c>
      <c r="E1127" s="6" t="str">
        <f t="shared" si="17"/>
        <v>PROT:AYN64668.1</v>
      </c>
      <c r="F1127" t="s">
        <v>1968</v>
      </c>
      <c r="G1127" t="s">
        <v>68</v>
      </c>
      <c r="H1127" t="s">
        <v>2647</v>
      </c>
      <c r="I1127" t="str">
        <f>INDEX(Genomes!$I:$I,(MATCH(AllProteins!H1127,Genomes!$B:$B,0)))</f>
        <v>MH816996-orthopoxvirus_abatino</v>
      </c>
      <c r="J1127">
        <f>INDEX(Genomes!$A:$A,(MATCH(AllProteins!H1127,Genomes!$B:$B,0)))</f>
        <v>1</v>
      </c>
      <c r="K1127" t="str">
        <f>INDEX(Genomes!$J:$J,(MATCH(AllProteins!H1127,Genomes!$B:$B,0)))</f>
        <v>Y</v>
      </c>
    </row>
    <row r="1128" spans="1:11" x14ac:dyDescent="0.2">
      <c r="A1128">
        <f>INDEX(CoreProteinGroups!A:A,MATCH(B1128,CoreProteinGroups!B:B,0))</f>
        <v>20</v>
      </c>
      <c r="B1128" s="1" t="s">
        <v>1923</v>
      </c>
      <c r="C1128" t="str">
        <f>VLOOKUP(B1128,CoreProteinGroups!$B:$C,2,FALSE)</f>
        <v>RAP94</v>
      </c>
      <c r="D1128" t="s">
        <v>1969</v>
      </c>
      <c r="E1128" s="6" t="str">
        <f t="shared" si="17"/>
        <v>PROT:AXN74895.1</v>
      </c>
      <c r="F1128" t="s">
        <v>1938</v>
      </c>
      <c r="G1128" t="s">
        <v>70</v>
      </c>
      <c r="H1128" t="s">
        <v>2650</v>
      </c>
      <c r="I1128" t="str">
        <f>INDEX(Genomes!$I:$I,(MATCH(AllProteins!H1128,Genomes!$B:$B,0)))</f>
        <v>MH607141-Akhmeta_virus</v>
      </c>
      <c r="J1128">
        <f>INDEX(Genomes!$A:$A,(MATCH(AllProteins!H1128,Genomes!$B:$B,0)))</f>
        <v>4</v>
      </c>
      <c r="K1128" t="str">
        <f>INDEX(Genomes!$J:$J,(MATCH(AllProteins!H1128,Genomes!$B:$B,0)))</f>
        <v>Y</v>
      </c>
    </row>
    <row r="1129" spans="1:11" x14ac:dyDescent="0.2">
      <c r="A1129">
        <f>INDEX(CoreProteinGroups!A:A,MATCH(B1129,CoreProteinGroups!B:B,0))</f>
        <v>20</v>
      </c>
      <c r="B1129" s="1" t="s">
        <v>1923</v>
      </c>
      <c r="C1129" t="str">
        <f>VLOOKUP(B1129,CoreProteinGroups!$B:$C,2,FALSE)</f>
        <v>RAP94</v>
      </c>
      <c r="D1129" t="s">
        <v>1970</v>
      </c>
      <c r="E1129" s="6" t="str">
        <f t="shared" si="17"/>
        <v>PROT:ABH08209.1</v>
      </c>
      <c r="F1129" t="s">
        <v>1971</v>
      </c>
      <c r="G1129" t="s">
        <v>73</v>
      </c>
      <c r="H1129" t="s">
        <v>2668</v>
      </c>
      <c r="I1129" t="str">
        <f>INDEX(Genomes!$I:$I,(MATCH(AllProteins!H1129,Genomes!$B:$B,0)))</f>
        <v>DQ792504-horsepox_virus</v>
      </c>
      <c r="J1129">
        <f>INDEX(Genomes!$A:$A,(MATCH(AllProteins!H1129,Genomes!$B:$B,0)))</f>
        <v>24</v>
      </c>
      <c r="K1129" t="str">
        <f>INDEX(Genomes!$J:$J,(MATCH(AllProteins!H1129,Genomes!$B:$B,0)))</f>
        <v>Y</v>
      </c>
    </row>
    <row r="1130" spans="1:11" x14ac:dyDescent="0.2">
      <c r="A1130">
        <f>INDEX(CoreProteinGroups!A:A,MATCH(B1130,CoreProteinGroups!B:B,0))</f>
        <v>20</v>
      </c>
      <c r="B1130" s="1" t="s">
        <v>1923</v>
      </c>
      <c r="C1130" t="str">
        <f>VLOOKUP(B1130,CoreProteinGroups!$B:$C,2,FALSE)</f>
        <v>RAP94</v>
      </c>
      <c r="D1130" t="s">
        <v>1972</v>
      </c>
      <c r="E1130" s="6" t="str">
        <f t="shared" si="17"/>
        <v>PROT:AAL73807.1</v>
      </c>
      <c r="F1130" t="s">
        <v>1957</v>
      </c>
      <c r="G1130" t="s">
        <v>79</v>
      </c>
      <c r="H1130" t="s">
        <v>2654</v>
      </c>
      <c r="I1130" t="str">
        <f>INDEX(Genomes!$I:$I,(MATCH(AllProteins!H1130,Genomes!$B:$B,0)))</f>
        <v>AF438165-camelpox_virus</v>
      </c>
      <c r="J1130">
        <f>INDEX(Genomes!$A:$A,(MATCH(AllProteins!H1130,Genomes!$B:$B,0)))</f>
        <v>8</v>
      </c>
      <c r="K1130" t="str">
        <f>INDEX(Genomes!$J:$J,(MATCH(AllProteins!H1130,Genomes!$B:$B,0)))</f>
        <v>Y</v>
      </c>
    </row>
    <row r="1131" spans="1:11" x14ac:dyDescent="0.2">
      <c r="A1131">
        <f>INDEX(CoreProteinGroups!A:A,MATCH(B1131,CoreProteinGroups!B:B,0))</f>
        <v>20</v>
      </c>
      <c r="B1131" s="1" t="s">
        <v>1923</v>
      </c>
      <c r="C1131" t="str">
        <f>VLOOKUP(B1131,CoreProteinGroups!$B:$C,2,FALSE)</f>
        <v>RAP94</v>
      </c>
      <c r="D1131" t="s">
        <v>1973</v>
      </c>
      <c r="E1131" s="6" t="str">
        <f t="shared" si="17"/>
        <v>PROT:AAG37572.1</v>
      </c>
      <c r="F1131" t="s">
        <v>1974</v>
      </c>
      <c r="G1131" t="s">
        <v>76</v>
      </c>
      <c r="H1131" t="s">
        <v>2655</v>
      </c>
      <c r="I1131" t="str">
        <f>INDEX(Genomes!$I:$I,(MATCH(AllProteins!H1131,Genomes!$B:$B,0)))</f>
        <v>AY009089-camelpox_virus_CMS</v>
      </c>
      <c r="J1131">
        <f>INDEX(Genomes!$A:$A,(MATCH(AllProteins!H1131,Genomes!$B:$B,0)))</f>
        <v>9</v>
      </c>
      <c r="K1131" t="str">
        <f>INDEX(Genomes!$J:$J,(MATCH(AllProteins!H1131,Genomes!$B:$B,0)))</f>
        <v>N</v>
      </c>
    </row>
    <row r="1132" spans="1:11" x14ac:dyDescent="0.2">
      <c r="A1132">
        <f>INDEX(CoreProteinGroups!A:A,MATCH(B1132,CoreProteinGroups!B:B,0))</f>
        <v>20</v>
      </c>
      <c r="B1132" s="1" t="s">
        <v>1923</v>
      </c>
      <c r="C1132" t="str">
        <f>VLOOKUP(B1132,CoreProteinGroups!$B:$C,2,FALSE)</f>
        <v>RAP94</v>
      </c>
      <c r="D1132" t="s">
        <v>1975</v>
      </c>
      <c r="E1132" s="6" t="str">
        <f t="shared" si="17"/>
        <v>PROT:AAM13556.1</v>
      </c>
      <c r="F1132" t="s">
        <v>1976</v>
      </c>
      <c r="G1132" t="s">
        <v>82</v>
      </c>
      <c r="H1132" t="s">
        <v>2659</v>
      </c>
      <c r="I1132" t="str">
        <f>INDEX(Genomes!$I:$I,(MATCH(AllProteins!H1132,Genomes!$B:$B,0)))</f>
        <v>AF482758-cowpox_virus</v>
      </c>
      <c r="J1132">
        <f>INDEX(Genomes!$A:$A,(MATCH(AllProteins!H1132,Genomes!$B:$B,0)))</f>
        <v>13</v>
      </c>
      <c r="K1132" t="str">
        <f>INDEX(Genomes!$J:$J,(MATCH(AllProteins!H1132,Genomes!$B:$B,0)))</f>
        <v>Y</v>
      </c>
    </row>
    <row r="1133" spans="1:11" x14ac:dyDescent="0.2">
      <c r="A1133">
        <f>INDEX(CoreProteinGroups!A:A,MATCH(B1133,CoreProteinGroups!B:B,0))</f>
        <v>20</v>
      </c>
      <c r="B1133" s="1" t="s">
        <v>1923</v>
      </c>
      <c r="C1133" t="str">
        <f>VLOOKUP(B1133,CoreProteinGroups!$B:$C,2,FALSE)</f>
        <v>RAP94</v>
      </c>
      <c r="D1133" t="s">
        <v>1977</v>
      </c>
      <c r="E1133" s="6" t="str">
        <f t="shared" si="17"/>
        <v>PROT:AAM92390.1</v>
      </c>
      <c r="F1133" t="s">
        <v>1978</v>
      </c>
      <c r="G1133" t="s">
        <v>85</v>
      </c>
      <c r="H1133" t="s">
        <v>2662</v>
      </c>
      <c r="I1133" t="str">
        <f>INDEX(Genomes!$I:$I,(MATCH(AllProteins!H1133,Genomes!$B:$B,0)))</f>
        <v>AF012825-ectromelia_virus</v>
      </c>
      <c r="J1133">
        <f>INDEX(Genomes!$A:$A,(MATCH(AllProteins!H1133,Genomes!$B:$B,0)))</f>
        <v>16</v>
      </c>
      <c r="K1133" t="str">
        <f>INDEX(Genomes!$J:$J,(MATCH(AllProteins!H1133,Genomes!$B:$B,0)))</f>
        <v>Y</v>
      </c>
    </row>
    <row r="1134" spans="1:11" x14ac:dyDescent="0.2">
      <c r="A1134">
        <f>INDEX(CoreProteinGroups!A:A,MATCH(B1134,CoreProteinGroups!B:B,0))</f>
        <v>20</v>
      </c>
      <c r="B1134" s="1" t="s">
        <v>1923</v>
      </c>
      <c r="C1134" t="str">
        <f>VLOOKUP(B1134,CoreProteinGroups!$B:$C,2,FALSE)</f>
        <v>RAP94</v>
      </c>
      <c r="D1134" t="s">
        <v>1979</v>
      </c>
      <c r="E1134" s="6" t="str">
        <f t="shared" si="17"/>
        <v>PROT:AFH54649.1</v>
      </c>
      <c r="F1134" t="s">
        <v>1980</v>
      </c>
      <c r="G1134" t="s">
        <v>87</v>
      </c>
      <c r="H1134" t="s">
        <v>2619</v>
      </c>
      <c r="I1134" t="str">
        <f>INDEX(Genomes!$I:$I,(MATCH(AllProteins!H1134,Genomes!$B:$B,0)))</f>
        <v>JQ410350-ectromelia_virus_strain_ERPV</v>
      </c>
      <c r="J1134">
        <f>INDEX(Genomes!$A:$A,(MATCH(AllProteins!H1134,Genomes!$B:$B,0)))</f>
        <v>17</v>
      </c>
      <c r="K1134" t="str">
        <f>INDEX(Genomes!$J:$J,(MATCH(AllProteins!H1134,Genomes!$B:$B,0)))</f>
        <v>N</v>
      </c>
    </row>
    <row r="1135" spans="1:11" x14ac:dyDescent="0.2">
      <c r="A1135">
        <f>INDEX(CoreProteinGroups!A:A,MATCH(B1135,CoreProteinGroups!B:B,0))</f>
        <v>20</v>
      </c>
      <c r="B1135" s="1" t="s">
        <v>1923</v>
      </c>
      <c r="C1135" t="str">
        <f>VLOOKUP(B1135,CoreProteinGroups!$B:$C,2,FALSE)</f>
        <v>RAP94</v>
      </c>
      <c r="D1135" t="s">
        <v>1981</v>
      </c>
      <c r="E1135" s="6" t="str">
        <f t="shared" si="17"/>
        <v>PROT:AAL40552.1</v>
      </c>
      <c r="F1135" t="s">
        <v>1982</v>
      </c>
      <c r="G1135" t="s">
        <v>90</v>
      </c>
      <c r="H1135" t="s">
        <v>2673</v>
      </c>
      <c r="I1135" t="str">
        <f>INDEX(Genomes!$I:$I,(MATCH(AllProteins!H1135,Genomes!$B:$B,0)))</f>
        <v>AF380138-monkeypox_virus_(clade_I)</v>
      </c>
      <c r="J1135">
        <f>INDEX(Genomes!$A:$A,(MATCH(AllProteins!H1135,Genomes!$B:$B,0)))</f>
        <v>29</v>
      </c>
      <c r="K1135" t="str">
        <f>INDEX(Genomes!$J:$J,(MATCH(AllProteins!H1135,Genomes!$B:$B,0)))</f>
        <v>Y</v>
      </c>
    </row>
    <row r="1136" spans="1:11" x14ac:dyDescent="0.2">
      <c r="A1136">
        <f>INDEX(CoreProteinGroups!A:A,MATCH(B1136,CoreProteinGroups!B:B,0))</f>
        <v>20</v>
      </c>
      <c r="B1136" s="1" t="s">
        <v>1923</v>
      </c>
      <c r="C1136" t="str">
        <f>VLOOKUP(B1136,CoreProteinGroups!$B:$C,2,FALSE)</f>
        <v>RAP94</v>
      </c>
      <c r="D1136" t="s">
        <v>1983</v>
      </c>
      <c r="E1136" s="6" t="str">
        <f t="shared" si="17"/>
        <v>PROT:AAX09189.1</v>
      </c>
      <c r="F1136" t="s">
        <v>1984</v>
      </c>
      <c r="G1136" t="s">
        <v>93</v>
      </c>
      <c r="H1136" t="s">
        <v>2672</v>
      </c>
      <c r="I1136" t="str">
        <f>INDEX(Genomes!$I:$I,(MATCH(AllProteins!H1136,Genomes!$B:$B,0)))</f>
        <v>AY753185-monkeypox_virus_(clade_IIa)</v>
      </c>
      <c r="J1136">
        <f>INDEX(Genomes!$A:$A,(MATCH(AllProteins!H1136,Genomes!$B:$B,0)))</f>
        <v>28</v>
      </c>
      <c r="K1136" t="str">
        <f>INDEX(Genomes!$J:$J,(MATCH(AllProteins!H1136,Genomes!$B:$B,0)))</f>
        <v>Y</v>
      </c>
    </row>
    <row r="1137" spans="1:11" x14ac:dyDescent="0.2">
      <c r="A1137">
        <f>INDEX(CoreProteinGroups!A:A,MATCH(B1137,CoreProteinGroups!B:B,0))</f>
        <v>20</v>
      </c>
      <c r="B1137" s="1" t="s">
        <v>1923</v>
      </c>
      <c r="C1137" t="str">
        <f>VLOOKUP(B1137,CoreProteinGroups!$B:$C,2,FALSE)</f>
        <v>RAP94</v>
      </c>
      <c r="D1137" t="s">
        <v>1985</v>
      </c>
      <c r="E1137" s="6" t="str">
        <f t="shared" si="17"/>
        <v>PROT:AKJ93731.1</v>
      </c>
      <c r="F1137" t="s">
        <v>1924</v>
      </c>
      <c r="G1137" t="s">
        <v>95</v>
      </c>
      <c r="H1137" t="s">
        <v>2683</v>
      </c>
      <c r="I1137" t="str">
        <f>INDEX(Genomes!$I:$I,(MATCH(AllProteins!H1137,Genomes!$B:$B,0)))</f>
        <v>KP143769-raccoonpox_virus</v>
      </c>
      <c r="J1137">
        <f>INDEX(Genomes!$A:$A,(MATCH(AllProteins!H1137,Genomes!$B:$B,0)))</f>
        <v>41</v>
      </c>
      <c r="K1137" t="str">
        <f>INDEX(Genomes!$J:$J,(MATCH(AllProteins!H1137,Genomes!$B:$B,0)))</f>
        <v>Y</v>
      </c>
    </row>
    <row r="1138" spans="1:11" x14ac:dyDescent="0.2">
      <c r="A1138">
        <f>INDEX(CoreProteinGroups!A:A,MATCH(B1138,CoreProteinGroups!B:B,0))</f>
        <v>20</v>
      </c>
      <c r="B1138" s="1" t="s">
        <v>1923</v>
      </c>
      <c r="C1138" t="str">
        <f>VLOOKUP(B1138,CoreProteinGroups!$B:$C,2,FALSE)</f>
        <v>RAP94</v>
      </c>
      <c r="D1138" t="s">
        <v>1986</v>
      </c>
      <c r="E1138" s="6" t="str">
        <f t="shared" si="17"/>
        <v>PROT:AOP31580.1</v>
      </c>
      <c r="F1138" t="s">
        <v>1987</v>
      </c>
      <c r="G1138" t="s">
        <v>97</v>
      </c>
      <c r="H1138" t="s">
        <v>2686</v>
      </c>
      <c r="I1138" t="str">
        <f>INDEX(Genomes!$I:$I,(MATCH(AllProteins!H1138,Genomes!$B:$B,0)))</f>
        <v>KU749310-skunkpox_virus</v>
      </c>
      <c r="J1138">
        <f>INDEX(Genomes!$A:$A,(MATCH(AllProteins!H1138,Genomes!$B:$B,0)))</f>
        <v>45</v>
      </c>
      <c r="K1138" t="str">
        <f>INDEX(Genomes!$J:$J,(MATCH(AllProteins!H1138,Genomes!$B:$B,0)))</f>
        <v>Y</v>
      </c>
    </row>
    <row r="1139" spans="1:11" x14ac:dyDescent="0.2">
      <c r="A1139">
        <f>INDEX(CoreProteinGroups!A:A,MATCH(B1139,CoreProteinGroups!B:B,0))</f>
        <v>20</v>
      </c>
      <c r="B1139" s="1" t="s">
        <v>1923</v>
      </c>
      <c r="C1139" t="str">
        <f>VLOOKUP(B1139,CoreProteinGroups!$B:$C,2,FALSE)</f>
        <v>RAP94</v>
      </c>
      <c r="D1139" t="s">
        <v>1988</v>
      </c>
      <c r="E1139" s="6" t="str">
        <f t="shared" si="17"/>
        <v>PROT:ABD97670.1</v>
      </c>
      <c r="F1139" t="s">
        <v>1989</v>
      </c>
      <c r="G1139" t="s">
        <v>99</v>
      </c>
      <c r="H1139" t="s">
        <v>2691</v>
      </c>
      <c r="I1139" t="str">
        <f>INDEX(Genomes!$I:$I,(MATCH(AllProteins!H1139,Genomes!$B:$B,0)))</f>
        <v>DQ437594-taterapox_virus</v>
      </c>
      <c r="J1139">
        <f>INDEX(Genomes!$A:$A,(MATCH(AllProteins!H1139,Genomes!$B:$B,0)))</f>
        <v>50</v>
      </c>
      <c r="K1139" t="str">
        <f>INDEX(Genomes!$J:$J,(MATCH(AllProteins!H1139,Genomes!$B:$B,0)))</f>
        <v>Y</v>
      </c>
    </row>
    <row r="1140" spans="1:11" x14ac:dyDescent="0.2">
      <c r="A1140">
        <f>INDEX(CoreProteinGroups!A:A,MATCH(B1140,CoreProteinGroups!B:B,0))</f>
        <v>20</v>
      </c>
      <c r="B1140" s="1" t="s">
        <v>1923</v>
      </c>
      <c r="C1140" t="str">
        <f>VLOOKUP(B1140,CoreProteinGroups!$B:$C,2,FALSE)</f>
        <v>RAP94</v>
      </c>
      <c r="D1140" t="s">
        <v>1990</v>
      </c>
      <c r="E1140" s="6" t="str">
        <f t="shared" si="17"/>
        <v>PROT:AAO89381.1</v>
      </c>
      <c r="F1140" t="s">
        <v>1924</v>
      </c>
      <c r="G1140" t="s">
        <v>101</v>
      </c>
      <c r="H1140" t="s">
        <v>2693</v>
      </c>
      <c r="I1140" t="str">
        <f>INDEX(Genomes!$I:$I,(MATCH(AllProteins!H1140,Genomes!$B:$B,0)))</f>
        <v>AY243312-vaccinia_virus</v>
      </c>
      <c r="J1140">
        <f>INDEX(Genomes!$A:$A,(MATCH(AllProteins!H1140,Genomes!$B:$B,0)))</f>
        <v>52</v>
      </c>
      <c r="K1140" t="str">
        <f>INDEX(Genomes!$J:$J,(MATCH(AllProteins!H1140,Genomes!$B:$B,0)))</f>
        <v>Y</v>
      </c>
    </row>
    <row r="1141" spans="1:11" x14ac:dyDescent="0.2">
      <c r="A1141">
        <f>INDEX(CoreProteinGroups!A:A,MATCH(B1141,CoreProteinGroups!B:B,0))</f>
        <v>20</v>
      </c>
      <c r="B1141" s="1" t="s">
        <v>1923</v>
      </c>
      <c r="C1141" t="str">
        <f>VLOOKUP(B1141,CoreProteinGroups!$B:$C,2,FALSE)</f>
        <v>RAP94</v>
      </c>
      <c r="D1141" t="s">
        <v>1991</v>
      </c>
      <c r="E1141" s="6" t="str">
        <f t="shared" si="17"/>
        <v>PROT:CAA49028.1</v>
      </c>
      <c r="F1141" t="s">
        <v>1992</v>
      </c>
      <c r="G1141" t="s">
        <v>2585</v>
      </c>
      <c r="H1141" t="s">
        <v>2694</v>
      </c>
      <c r="I1141" t="str">
        <f>INDEX(Genomes!$I:$I,(MATCH(AllProteins!H1141,Genomes!$B:$B,0)))</f>
        <v>X69198-variola_major_virus</v>
      </c>
      <c r="J1141">
        <f>INDEX(Genomes!$A:$A,(MATCH(AllProteins!H1141,Genomes!$B:$B,0)))</f>
        <v>53</v>
      </c>
      <c r="K1141" t="str">
        <f>INDEX(Genomes!$J:$J,(MATCH(AllProteins!H1141,Genomes!$B:$B,0)))</f>
        <v>Y</v>
      </c>
    </row>
    <row r="1142" spans="1:11" x14ac:dyDescent="0.2">
      <c r="A1142">
        <f>INDEX(CoreProteinGroups!A:A,MATCH(B1142,CoreProteinGroups!B:B,0))</f>
        <v>20</v>
      </c>
      <c r="B1142" s="1" t="s">
        <v>1923</v>
      </c>
      <c r="C1142" t="str">
        <f>VLOOKUP(B1142,CoreProteinGroups!$B:$C,2,FALSE)</f>
        <v>RAP94</v>
      </c>
      <c r="D1142" t="s">
        <v>1993</v>
      </c>
      <c r="E1142" s="6" t="str">
        <f t="shared" si="17"/>
        <v>PROT:CAB54687.1</v>
      </c>
      <c r="F1142" t="s">
        <v>1994</v>
      </c>
      <c r="G1142" t="s">
        <v>106</v>
      </c>
      <c r="H1142" t="s">
        <v>2695</v>
      </c>
      <c r="I1142" t="str">
        <f>INDEX(Genomes!$I:$I,(MATCH(AllProteins!H1142,Genomes!$B:$B,0)))</f>
        <v>Y16780-variola_minor_virus</v>
      </c>
      <c r="J1142">
        <f>INDEX(Genomes!$A:$A,(MATCH(AllProteins!H1142,Genomes!$B:$B,0)))</f>
        <v>54</v>
      </c>
      <c r="K1142" t="str">
        <f>INDEX(Genomes!$J:$J,(MATCH(AllProteins!H1142,Genomes!$B:$B,0)))</f>
        <v>Y</v>
      </c>
    </row>
    <row r="1143" spans="1:11" x14ac:dyDescent="0.2">
      <c r="A1143">
        <f>INDEX(CoreProteinGroups!A:A,MATCH(B1143,CoreProteinGroups!B:B,0))</f>
        <v>20</v>
      </c>
      <c r="B1143" s="1" t="s">
        <v>1923</v>
      </c>
      <c r="C1143" t="str">
        <f>VLOOKUP(B1143,CoreProteinGroups!$B:$C,2,FALSE)</f>
        <v>RAP94</v>
      </c>
      <c r="D1143" t="s">
        <v>1995</v>
      </c>
      <c r="E1143" s="6" t="str">
        <f t="shared" si="17"/>
        <v>PROT:AOP31791.1</v>
      </c>
      <c r="F1143" t="s">
        <v>1987</v>
      </c>
      <c r="G1143" t="s">
        <v>108</v>
      </c>
      <c r="H1143" t="s">
        <v>2696</v>
      </c>
      <c r="I1143" t="str">
        <f>INDEX(Genomes!$I:$I,(MATCH(AllProteins!H1143,Genomes!$B:$B,0)))</f>
        <v>KU749311-volepox_virus</v>
      </c>
      <c r="J1143">
        <f>INDEX(Genomes!$A:$A,(MATCH(AllProteins!H1143,Genomes!$B:$B,0)))</f>
        <v>55</v>
      </c>
      <c r="K1143" t="str">
        <f>INDEX(Genomes!$J:$J,(MATCH(AllProteins!H1143,Genomes!$B:$B,0)))</f>
        <v>Y</v>
      </c>
    </row>
    <row r="1144" spans="1:11" x14ac:dyDescent="0.2">
      <c r="A1144">
        <f>INDEX(CoreProteinGroups!A:A,MATCH(B1144,CoreProteinGroups!B:B,0))</f>
        <v>20</v>
      </c>
      <c r="B1144" s="1" t="s">
        <v>1923</v>
      </c>
      <c r="C1144" t="str">
        <f>VLOOKUP(B1144,CoreProteinGroups!$B:$C,2,FALSE)</f>
        <v>RAP94</v>
      </c>
      <c r="D1144" t="s">
        <v>1996</v>
      </c>
      <c r="E1144" s="6" t="str">
        <f t="shared" si="17"/>
        <v>PROT:ASC55580.1</v>
      </c>
      <c r="F1144" t="s">
        <v>1997</v>
      </c>
      <c r="G1144" t="s">
        <v>111</v>
      </c>
      <c r="H1144" t="s">
        <v>2667</v>
      </c>
      <c r="I1144" t="str">
        <f>INDEX(Genomes!$I:$I,(MATCH(AllProteins!H1144,Genomes!$B:$B,0)))</f>
        <v>KY382358-seal_parapoxvirus</v>
      </c>
      <c r="J1144">
        <f>INDEX(Genomes!$A:$A,(MATCH(AllProteins!H1144,Genomes!$B:$B,0)))</f>
        <v>22</v>
      </c>
      <c r="K1144" t="str">
        <f>INDEX(Genomes!$J:$J,(MATCH(AllProteins!H1144,Genomes!$B:$B,0)))</f>
        <v>Y</v>
      </c>
    </row>
    <row r="1145" spans="1:11" x14ac:dyDescent="0.2">
      <c r="A1145">
        <f>INDEX(CoreProteinGroups!A:A,MATCH(B1145,CoreProteinGroups!B:B,0))</f>
        <v>20</v>
      </c>
      <c r="B1145" s="1" t="s">
        <v>1923</v>
      </c>
      <c r="C1145" t="str">
        <f>VLOOKUP(B1145,CoreProteinGroups!$B:$C,2,FALSE)</f>
        <v>RAP94</v>
      </c>
      <c r="D1145" t="s">
        <v>1998</v>
      </c>
      <c r="E1145" s="6" t="str">
        <f t="shared" si="17"/>
        <v>PROT:AAR98417.1</v>
      </c>
      <c r="F1145" t="s">
        <v>1999</v>
      </c>
      <c r="G1145" t="s">
        <v>114</v>
      </c>
      <c r="H1145" t="s">
        <v>2652</v>
      </c>
      <c r="I1145" t="str">
        <f>INDEX(Genomes!$I:$I,(MATCH(AllProteins!H1145,Genomes!$B:$B,0)))</f>
        <v>AY386265-bovine_papular_stomatitis_virus</v>
      </c>
      <c r="J1145">
        <f>INDEX(Genomes!$A:$A,(MATCH(AllProteins!H1145,Genomes!$B:$B,0)))</f>
        <v>6</v>
      </c>
      <c r="K1145" t="str">
        <f>INDEX(Genomes!$J:$J,(MATCH(AllProteins!H1145,Genomes!$B:$B,0)))</f>
        <v>Y</v>
      </c>
    </row>
    <row r="1146" spans="1:11" x14ac:dyDescent="0.2">
      <c r="A1146">
        <f>INDEX(CoreProteinGroups!A:A,MATCH(B1146,CoreProteinGroups!B:B,0))</f>
        <v>20</v>
      </c>
      <c r="B1146" s="1" t="s">
        <v>1923</v>
      </c>
      <c r="C1146" t="str">
        <f>VLOOKUP(B1146,CoreProteinGroups!$B:$C,2,FALSE)</f>
        <v>RAP94</v>
      </c>
      <c r="D1146" t="s">
        <v>2000</v>
      </c>
      <c r="E1146" s="6" t="str">
        <f t="shared" si="17"/>
        <v>PROT:AAR98285.1</v>
      </c>
      <c r="F1146" t="s">
        <v>1999</v>
      </c>
      <c r="G1146" t="s">
        <v>2702</v>
      </c>
      <c r="H1146" t="s">
        <v>2678</v>
      </c>
      <c r="I1146" t="str">
        <f>INDEX(Genomes!$I:$I,(MATCH(AllProteins!H1146,Genomes!$B:$B,0)))</f>
        <v>AY386264-orf_virus</v>
      </c>
      <c r="J1146">
        <f>INDEX(Genomes!$A:$A,(MATCH(AllProteins!H1146,Genomes!$B:$B,0)))</f>
        <v>35</v>
      </c>
      <c r="K1146" t="str">
        <f>INDEX(Genomes!$J:$J,(MATCH(AllProteins!H1146,Genomes!$B:$B,0)))</f>
        <v>Y</v>
      </c>
    </row>
    <row r="1147" spans="1:11" x14ac:dyDescent="0.2">
      <c r="A1147">
        <f>INDEX(CoreProteinGroups!A:A,MATCH(B1147,CoreProteinGroups!B:B,0))</f>
        <v>20</v>
      </c>
      <c r="B1147" s="1" t="s">
        <v>1923</v>
      </c>
      <c r="C1147" t="str">
        <f>VLOOKUP(B1147,CoreProteinGroups!$B:$C,2,FALSE)</f>
        <v>RAP94</v>
      </c>
      <c r="D1147" t="s">
        <v>2001</v>
      </c>
      <c r="E1147" s="6" t="str">
        <f t="shared" si="17"/>
        <v>PROT:ABA00577.1</v>
      </c>
      <c r="F1147" t="s">
        <v>2002</v>
      </c>
      <c r="G1147" t="s">
        <v>2555</v>
      </c>
      <c r="H1147" t="s">
        <v>2645</v>
      </c>
      <c r="I1147" t="str">
        <f>INDEX(Genomes!$I:$I,(MATCH(AllProteins!H1147,Genomes!$B:$B,0)))</f>
        <v>DQ184476-orf_virus_strain_NZ2</v>
      </c>
      <c r="J1147">
        <f>INDEX(Genomes!$A:$A,(MATCH(AllProteins!H1147,Genomes!$B:$B,0)))</f>
        <v>36</v>
      </c>
      <c r="K1147" t="str">
        <f>INDEX(Genomes!$J:$J,(MATCH(AllProteins!H1147,Genomes!$B:$B,0)))</f>
        <v>N</v>
      </c>
    </row>
    <row r="1148" spans="1:11" x14ac:dyDescent="0.2">
      <c r="A1148">
        <f>INDEX(CoreProteinGroups!A:A,MATCH(B1148,CoreProteinGroups!B:B,0))</f>
        <v>20</v>
      </c>
      <c r="B1148" s="1" t="s">
        <v>1923</v>
      </c>
      <c r="C1148" t="str">
        <f>VLOOKUP(B1148,CoreProteinGroups!$B:$C,2,FALSE)</f>
        <v>RAP94</v>
      </c>
      <c r="D1148" t="s">
        <v>2003</v>
      </c>
      <c r="E1148" s="6" t="str">
        <f t="shared" si="17"/>
        <v>PROT:AIZ77311.1</v>
      </c>
      <c r="F1148" t="s">
        <v>2004</v>
      </c>
      <c r="G1148" t="s">
        <v>119</v>
      </c>
      <c r="H1148" t="s">
        <v>2684</v>
      </c>
      <c r="I1148" t="str">
        <f>INDEX(Genomes!$I:$I,(MATCH(AllProteins!H1148,Genomes!$B:$B,0)))</f>
        <v>KM502564-parapoxvirus_red_deer</v>
      </c>
      <c r="J1148">
        <f>INDEX(Genomes!$A:$A,(MATCH(AllProteins!H1148,Genomes!$B:$B,0)))</f>
        <v>42</v>
      </c>
      <c r="K1148" t="str">
        <f>INDEX(Genomes!$J:$J,(MATCH(AllProteins!H1148,Genomes!$B:$B,0)))</f>
        <v>Y</v>
      </c>
    </row>
    <row r="1149" spans="1:11" x14ac:dyDescent="0.2">
      <c r="A1149">
        <f>INDEX(CoreProteinGroups!A:A,MATCH(B1149,CoreProteinGroups!B:B,0))</f>
        <v>20</v>
      </c>
      <c r="B1149" s="1" t="s">
        <v>1923</v>
      </c>
      <c r="C1149" t="str">
        <f>VLOOKUP(B1149,CoreProteinGroups!$B:$C,2,FALSE)</f>
        <v>RAP94</v>
      </c>
      <c r="D1149" t="s">
        <v>2005</v>
      </c>
      <c r="E1149" s="6" t="str">
        <f t="shared" si="17"/>
        <v>PROT:ADC53961.1</v>
      </c>
      <c r="F1149" t="s">
        <v>2002</v>
      </c>
      <c r="G1149" t="s">
        <v>121</v>
      </c>
      <c r="H1149" t="s">
        <v>2679</v>
      </c>
      <c r="I1149" t="str">
        <f>INDEX(Genomes!$I:$I,(MATCH(AllProteins!H1149,Genomes!$B:$B,0)))</f>
        <v>GQ329670-pseudocowpox_virus</v>
      </c>
      <c r="J1149">
        <f>INDEX(Genomes!$A:$A,(MATCH(AllProteins!H1149,Genomes!$B:$B,0)))</f>
        <v>37</v>
      </c>
      <c r="K1149" t="str">
        <f>INDEX(Genomes!$J:$J,(MATCH(AllProteins!H1149,Genomes!$B:$B,0)))</f>
        <v>Y</v>
      </c>
    </row>
    <row r="1150" spans="1:11" x14ac:dyDescent="0.2">
      <c r="A1150">
        <f>INDEX(CoreProteinGroups!A:A,MATCH(B1150,CoreProteinGroups!B:B,0))</f>
        <v>20</v>
      </c>
      <c r="B1150" s="1" t="s">
        <v>1923</v>
      </c>
      <c r="C1150" t="str">
        <f>VLOOKUP(B1150,CoreProteinGroups!$B:$C,2,FALSE)</f>
        <v>RAP94</v>
      </c>
      <c r="D1150" t="s">
        <v>2006</v>
      </c>
      <c r="E1150" s="6" t="str">
        <f t="shared" si="17"/>
        <v>PROT:AAL69811.1</v>
      </c>
      <c r="F1150" t="s">
        <v>2007</v>
      </c>
      <c r="G1150" t="s">
        <v>124</v>
      </c>
      <c r="H1150" t="s">
        <v>2690</v>
      </c>
      <c r="I1150" t="str">
        <f>INDEX(Genomes!$I:$I,(MATCH(AllProteins!H1150,Genomes!$B:$B,0)))</f>
        <v>AF410153-swinepox_virus</v>
      </c>
      <c r="J1150">
        <f>INDEX(Genomes!$A:$A,(MATCH(AllProteins!H1150,Genomes!$B:$B,0)))</f>
        <v>49</v>
      </c>
      <c r="K1150" t="str">
        <f>INDEX(Genomes!$J:$J,(MATCH(AllProteins!H1150,Genomes!$B:$B,0)))</f>
        <v>Y</v>
      </c>
    </row>
    <row r="1151" spans="1:11" x14ac:dyDescent="0.2">
      <c r="A1151">
        <f>INDEX(CoreProteinGroups!A:A,MATCH(B1151,CoreProteinGroups!B:B,0))</f>
        <v>20</v>
      </c>
      <c r="B1151" s="1" t="s">
        <v>1923</v>
      </c>
      <c r="C1151" t="str">
        <f>VLOOKUP(B1151,CoreProteinGroups!$B:$C,2,FALSE)</f>
        <v>RAP94</v>
      </c>
      <c r="D1151" t="s">
        <v>2008</v>
      </c>
      <c r="E1151" s="6" t="str">
        <f t="shared" si="17"/>
        <v>PROT:CAC21313.1</v>
      </c>
      <c r="F1151" t="s">
        <v>2009</v>
      </c>
      <c r="G1151" t="s">
        <v>127</v>
      </c>
      <c r="H1151" t="s">
        <v>2699</v>
      </c>
      <c r="I1151" t="str">
        <f>INDEX(Genomes!$I:$I,(MATCH(AllProteins!H1151,Genomes!$B:$B,0)))</f>
        <v>AJ293568-tanapox_virus</v>
      </c>
      <c r="J1151">
        <f>INDEX(Genomes!$A:$A,(MATCH(AllProteins!H1151,Genomes!$B:$B,0)))</f>
        <v>58</v>
      </c>
      <c r="K1151" t="str">
        <f>INDEX(Genomes!$J:$J,(MATCH(AllProteins!H1151,Genomes!$B:$B,0)))</f>
        <v>Y</v>
      </c>
    </row>
    <row r="1152" spans="1:11" x14ac:dyDescent="0.2">
      <c r="A1152">
        <f>INDEX(CoreProteinGroups!A:A,MATCH(B1152,CoreProteinGroups!B:B,0))</f>
        <v>20</v>
      </c>
      <c r="B1152" s="1" t="s">
        <v>1923</v>
      </c>
      <c r="C1152" t="str">
        <f>VLOOKUP(B1152,CoreProteinGroups!$B:$C,2,FALSE)</f>
        <v>RAP94</v>
      </c>
      <c r="D1152" t="s">
        <v>2010</v>
      </c>
      <c r="E1152" s="6" t="str">
        <f t="shared" si="17"/>
        <v>PROT:AAR07431.1</v>
      </c>
      <c r="F1152" t="s">
        <v>2011</v>
      </c>
      <c r="G1152" t="s">
        <v>130</v>
      </c>
      <c r="H1152" t="s">
        <v>2700</v>
      </c>
      <c r="I1152" t="str">
        <f>INDEX(Genomes!$I:$I,(MATCH(AllProteins!H1152,Genomes!$B:$B,0)))</f>
        <v>AY386371-Yaba_monkey_tumor_virus</v>
      </c>
      <c r="J1152">
        <f>INDEX(Genomes!$A:$A,(MATCH(AllProteins!H1152,Genomes!$B:$B,0)))</f>
        <v>59</v>
      </c>
      <c r="K1152" t="str">
        <f>INDEX(Genomes!$J:$J,(MATCH(AllProteins!H1152,Genomes!$B:$B,0)))</f>
        <v>Y</v>
      </c>
    </row>
    <row r="1153" spans="1:11" x14ac:dyDescent="0.2">
      <c r="A1153">
        <f>INDEX(CoreProteinGroups!A:A,MATCH(B1153,CoreProteinGroups!B:B,0))</f>
        <v>20</v>
      </c>
      <c r="B1153" s="1" t="s">
        <v>1923</v>
      </c>
      <c r="C1153" t="str">
        <f>VLOOKUP(B1153,CoreProteinGroups!$B:$C,2,FALSE)</f>
        <v>RAP94</v>
      </c>
      <c r="D1153" t="s">
        <v>2012</v>
      </c>
      <c r="E1153" s="6" t="str">
        <f t="shared" si="17"/>
        <v>PROT:AAC97801.1</v>
      </c>
      <c r="F1153" t="s">
        <v>2013</v>
      </c>
      <c r="G1153" t="s">
        <v>133</v>
      </c>
      <c r="H1153" t="s">
        <v>2674</v>
      </c>
      <c r="I1153" t="str">
        <f>INDEX(Genomes!$I:$I,(MATCH(AllProteins!H1153,Genomes!$B:$B,0)))</f>
        <v>AF063866-Melanoplus_sanguinipes_entomopoxvirus</v>
      </c>
      <c r="J1153">
        <f>INDEX(Genomes!$A:$A,(MATCH(AllProteins!H1153,Genomes!$B:$B,0)))</f>
        <v>30</v>
      </c>
      <c r="K1153" t="str">
        <f>INDEX(Genomes!$J:$J,(MATCH(AllProteins!H1153,Genomes!$B:$B,0)))</f>
        <v>Y</v>
      </c>
    </row>
    <row r="1154" spans="1:11" x14ac:dyDescent="0.2">
      <c r="A1154">
        <f>INDEX(CoreProteinGroups!A:A,MATCH(B1154,CoreProteinGroups!B:B,0))</f>
        <v>20</v>
      </c>
      <c r="B1154" s="1" t="s">
        <v>1923</v>
      </c>
      <c r="C1154" t="str">
        <f>VLOOKUP(B1154,CoreProteinGroups!$B:$C,2,FALSE)</f>
        <v>RAP94</v>
      </c>
      <c r="D1154" t="s">
        <v>2014</v>
      </c>
      <c r="E1154" s="6" t="str">
        <f t="shared" ref="E1154:E1217" si="18">HYPERLINK(_xlfn.CONCAT("https://www.ncbi.nlm.nih.gov/protein/",D1154),_xlfn.CONCAT("PROT:",D1154))</f>
        <v>PROT:BAO49510.1</v>
      </c>
      <c r="F1154" t="s">
        <v>2015</v>
      </c>
      <c r="G1154" t="s">
        <v>136</v>
      </c>
      <c r="H1154" t="s">
        <v>2648</v>
      </c>
      <c r="I1154" t="str">
        <f>INDEX(Genomes!$I:$I,(MATCH(AllProteins!H1154,Genomes!$B:$B,0)))</f>
        <v>AP013055-Anomala_cuprea_entomopoxvirus</v>
      </c>
      <c r="J1154">
        <f>INDEX(Genomes!$A:$A,(MATCH(AllProteins!H1154,Genomes!$B:$B,0)))</f>
        <v>2</v>
      </c>
      <c r="K1154" t="str">
        <f>INDEX(Genomes!$J:$J,(MATCH(AllProteins!H1154,Genomes!$B:$B,0)))</f>
        <v>Y</v>
      </c>
    </row>
    <row r="1155" spans="1:11" x14ac:dyDescent="0.2">
      <c r="A1155">
        <f>INDEX(CoreProteinGroups!A:A,MATCH(B1155,CoreProteinGroups!B:B,0))</f>
        <v>20</v>
      </c>
      <c r="B1155" s="1" t="s">
        <v>1923</v>
      </c>
      <c r="C1155" t="str">
        <f>VLOOKUP(B1155,CoreProteinGroups!$B:$C,2,FALSE)</f>
        <v>RAP94</v>
      </c>
      <c r="D1155" t="s">
        <v>2016</v>
      </c>
      <c r="E1155" s="6" t="str">
        <f t="shared" si="18"/>
        <v>PROT:CCU55375.1</v>
      </c>
      <c r="F1155" t="s">
        <v>2017</v>
      </c>
      <c r="G1155" t="s">
        <v>138</v>
      </c>
      <c r="H1155" t="s">
        <v>2649</v>
      </c>
      <c r="I1155" t="str">
        <f>INDEX(Genomes!$I:$I,(MATCH(AllProteins!H1155,Genomes!$B:$B,0)))</f>
        <v>HF679131-Adoxophyes_honmai_entomopoxvirus</v>
      </c>
      <c r="J1155">
        <f>INDEX(Genomes!$A:$A,(MATCH(AllProteins!H1155,Genomes!$B:$B,0)))</f>
        <v>3</v>
      </c>
      <c r="K1155" t="str">
        <f>INDEX(Genomes!$J:$J,(MATCH(AllProteins!H1155,Genomes!$B:$B,0)))</f>
        <v>Y</v>
      </c>
    </row>
    <row r="1156" spans="1:11" x14ac:dyDescent="0.2">
      <c r="A1156">
        <f>INDEX(CoreProteinGroups!A:A,MATCH(B1156,CoreProteinGroups!B:B,0))</f>
        <v>20</v>
      </c>
      <c r="B1156" s="1" t="s">
        <v>1923</v>
      </c>
      <c r="C1156" t="str">
        <f>VLOOKUP(B1156,CoreProteinGroups!$B:$C,2,FALSE)</f>
        <v>RAP94</v>
      </c>
      <c r="D1156" t="s">
        <v>2018</v>
      </c>
      <c r="E1156" s="6" t="str">
        <f t="shared" si="18"/>
        <v>PROT:AAG02760.1</v>
      </c>
      <c r="F1156" t="s">
        <v>2019</v>
      </c>
      <c r="G1156" t="s">
        <v>141</v>
      </c>
      <c r="H1156" t="s">
        <v>2651</v>
      </c>
      <c r="I1156" t="str">
        <f>INDEX(Genomes!$I:$I,(MATCH(AllProteins!H1156,Genomes!$B:$B,0)))</f>
        <v>AF250284-Amsacta_moorei_entomopoxvirus</v>
      </c>
      <c r="J1156">
        <f>INDEX(Genomes!$A:$A,(MATCH(AllProteins!H1156,Genomes!$B:$B,0)))</f>
        <v>5</v>
      </c>
      <c r="K1156" t="str">
        <f>INDEX(Genomes!$J:$J,(MATCH(AllProteins!H1156,Genomes!$B:$B,0)))</f>
        <v>Y</v>
      </c>
    </row>
    <row r="1157" spans="1:11" x14ac:dyDescent="0.2">
      <c r="A1157">
        <f>INDEX(CoreProteinGroups!A:A,MATCH(B1157,CoreProteinGroups!B:B,0))</f>
        <v>20</v>
      </c>
      <c r="B1157" s="1" t="s">
        <v>1923</v>
      </c>
      <c r="C1157" t="str">
        <f>VLOOKUP(B1157,CoreProteinGroups!$B:$C,2,FALSE)</f>
        <v>RAP94</v>
      </c>
      <c r="D1157" t="s">
        <v>2020</v>
      </c>
      <c r="E1157" s="6" t="str">
        <f t="shared" si="18"/>
        <v>PROT:CCU55665.1</v>
      </c>
      <c r="F1157" t="s">
        <v>2017</v>
      </c>
      <c r="G1157" t="s">
        <v>143</v>
      </c>
      <c r="H1157" t="s">
        <v>2656</v>
      </c>
      <c r="I1157" t="str">
        <f>INDEX(Genomes!$I:$I,(MATCH(AllProteins!H1157,Genomes!$B:$B,0)))</f>
        <v>HF679132-Choristoneura_biennis_entomopoxvirus</v>
      </c>
      <c r="J1157">
        <f>INDEX(Genomes!$A:$A,(MATCH(AllProteins!H1157,Genomes!$B:$B,0)))</f>
        <v>10</v>
      </c>
      <c r="K1157" t="str">
        <f>INDEX(Genomes!$J:$J,(MATCH(AllProteins!H1157,Genomes!$B:$B,0)))</f>
        <v>Y</v>
      </c>
    </row>
    <row r="1158" spans="1:11" x14ac:dyDescent="0.2">
      <c r="A1158">
        <f>INDEX(CoreProteinGroups!A:A,MATCH(B1158,CoreProteinGroups!B:B,0))</f>
        <v>20</v>
      </c>
      <c r="B1158" s="1" t="s">
        <v>1923</v>
      </c>
      <c r="C1158" t="str">
        <f>VLOOKUP(B1158,CoreProteinGroups!$B:$C,2,FALSE)</f>
        <v>RAP94</v>
      </c>
      <c r="D1158" t="s">
        <v>2021</v>
      </c>
      <c r="E1158" s="6" t="str">
        <f t="shared" si="18"/>
        <v>PROT:CCU55975.1</v>
      </c>
      <c r="F1158" t="s">
        <v>2017</v>
      </c>
      <c r="G1158" t="s">
        <v>145</v>
      </c>
      <c r="H1158" t="s">
        <v>2660</v>
      </c>
      <c r="I1158" t="str">
        <f>INDEX(Genomes!$I:$I,(MATCH(AllProteins!H1158,Genomes!$B:$B,0)))</f>
        <v>HF679133-Choristoneura_rosaceana_entomopoxvirus</v>
      </c>
      <c r="J1158">
        <f>INDEX(Genomes!$A:$A,(MATCH(AllProteins!H1158,Genomes!$B:$B,0)))</f>
        <v>14</v>
      </c>
      <c r="K1158" t="str">
        <f>INDEX(Genomes!$J:$J,(MATCH(AllProteins!H1158,Genomes!$B:$B,0)))</f>
        <v>Y</v>
      </c>
    </row>
    <row r="1159" spans="1:11" x14ac:dyDescent="0.2">
      <c r="A1159">
        <f>INDEX(CoreProteinGroups!A:A,MATCH(B1159,CoreProteinGroups!B:B,0))</f>
        <v>20</v>
      </c>
      <c r="B1159" s="1" t="s">
        <v>1923</v>
      </c>
      <c r="C1159" t="str">
        <f>VLOOKUP(B1159,CoreProteinGroups!$B:$C,2,FALSE)</f>
        <v>RAP94</v>
      </c>
      <c r="D1159" t="s">
        <v>2022</v>
      </c>
      <c r="E1159" s="6" t="str">
        <f t="shared" si="18"/>
        <v>PROT:CCU56277.1</v>
      </c>
      <c r="F1159" t="s">
        <v>2017</v>
      </c>
      <c r="G1159" t="s">
        <v>147</v>
      </c>
      <c r="H1159" t="s">
        <v>2675</v>
      </c>
      <c r="I1159" t="str">
        <f>INDEX(Genomes!$I:$I,(MATCH(AllProteins!H1159,Genomes!$B:$B,0)))</f>
        <v>HF679134-Mythimna_separata_entomopoxvirus</v>
      </c>
      <c r="J1159">
        <f>INDEX(Genomes!$A:$A,(MATCH(AllProteins!H1159,Genomes!$B:$B,0)))</f>
        <v>31</v>
      </c>
      <c r="K1159" t="str">
        <f>INDEX(Genomes!$J:$J,(MATCH(AllProteins!H1159,Genomes!$B:$B,0)))</f>
        <v>Y</v>
      </c>
    </row>
    <row r="1160" spans="1:11" x14ac:dyDescent="0.2">
      <c r="A1160">
        <f>INDEX(CoreProteinGroups!A:A,MATCH(B1160,CoreProteinGroups!B:B,0))</f>
        <v>20</v>
      </c>
      <c r="B1160" s="1" t="s">
        <v>1923</v>
      </c>
      <c r="C1160" t="str">
        <f>VLOOKUP(B1160,CoreProteinGroups!$B:$C,2,FALSE)</f>
        <v>RAP94</v>
      </c>
      <c r="D1160" t="s">
        <v>2023</v>
      </c>
      <c r="E1160" s="6" t="str">
        <f t="shared" si="18"/>
        <v>PROT:YP_001293266.1</v>
      </c>
      <c r="F1160" t="s">
        <v>2024</v>
      </c>
      <c r="G1160" t="s">
        <v>153</v>
      </c>
      <c r="H1160" t="s">
        <v>2644</v>
      </c>
      <c r="I1160" t="str">
        <f>INDEX(Genomes!$I:$I,(MATCH(AllProteins!H1160,Genomes!$B:$B,0)))</f>
        <v>NC_004003-goatpox_virus</v>
      </c>
      <c r="J1160">
        <f>INDEX(Genomes!$A:$A,(MATCH(AllProteins!H1160,Genomes!$B:$B,0)))</f>
        <v>23</v>
      </c>
      <c r="K1160" t="str">
        <f>INDEX(Genomes!$J:$J,(MATCH(AllProteins!H1160,Genomes!$B:$B,0)))</f>
        <v>Y</v>
      </c>
    </row>
    <row r="1161" spans="1:11" x14ac:dyDescent="0.2">
      <c r="A1161">
        <f>INDEX(CoreProteinGroups!A:A,MATCH(B1161,CoreProteinGroups!B:B,0))</f>
        <v>20</v>
      </c>
      <c r="B1161" s="1" t="s">
        <v>1923</v>
      </c>
      <c r="C1161" t="str">
        <f>VLOOKUP(B1161,CoreProteinGroups!$B:$C,2,FALSE)</f>
        <v>RAP94</v>
      </c>
      <c r="D1161" t="s">
        <v>2025</v>
      </c>
      <c r="E1161" s="6" t="str">
        <f t="shared" si="18"/>
        <v>PROT:NP_659647.1</v>
      </c>
      <c r="F1161" t="s">
        <v>2026</v>
      </c>
      <c r="G1161" t="s">
        <v>150</v>
      </c>
      <c r="H1161" t="s">
        <v>2620</v>
      </c>
      <c r="I1161" t="str">
        <f>INDEX(Genomes!$I:$I,(MATCH(AllProteins!H1161,Genomes!$B:$B,0)))</f>
        <v>NC_004002-sheeppox_virus</v>
      </c>
      <c r="J1161">
        <f>INDEX(Genomes!$A:$A,(MATCH(AllProteins!H1161,Genomes!$B:$B,0)))</f>
        <v>44</v>
      </c>
      <c r="K1161" t="str">
        <f>INDEX(Genomes!$J:$J,(MATCH(AllProteins!H1161,Genomes!$B:$B,0)))</f>
        <v>Y</v>
      </c>
    </row>
    <row r="1162" spans="1:11" x14ac:dyDescent="0.2">
      <c r="A1162">
        <f>INDEX(CoreProteinGroups!A:A,MATCH(B1162,CoreProteinGroups!B:B,0))</f>
        <v>21</v>
      </c>
      <c r="B1162" s="1" t="s">
        <v>2027</v>
      </c>
      <c r="C1162" t="str">
        <f>VLOOKUP(B1162,CoreProteinGroups!$B:$C,2,FALSE)</f>
        <v>DNA topoisomerase</v>
      </c>
      <c r="D1162" t="s">
        <v>2029</v>
      </c>
      <c r="E1162" s="6" t="str">
        <f t="shared" si="18"/>
        <v>PROT:ATI21185.1</v>
      </c>
      <c r="F1162" t="s">
        <v>2030</v>
      </c>
      <c r="G1162" t="s">
        <v>11</v>
      </c>
      <c r="H1162" t="s">
        <v>2663</v>
      </c>
      <c r="I1162" t="str">
        <f>INDEX(Genomes!$I:$I,(MATCH(AllProteins!H1162,Genomes!$B:$B,0)))</f>
        <v>MF467281-Eastern_grey_kangaroopox_virus</v>
      </c>
      <c r="J1162">
        <f>INDEX(Genomes!$A:$A,(MATCH(AllProteins!H1162,Genomes!$B:$B,0)))</f>
        <v>18</v>
      </c>
      <c r="K1162" t="str">
        <f>INDEX(Genomes!$J:$J,(MATCH(AllProteins!H1162,Genomes!$B:$B,0)))</f>
        <v>Y</v>
      </c>
    </row>
    <row r="1163" spans="1:11" x14ac:dyDescent="0.2">
      <c r="A1163">
        <f>INDEX(CoreProteinGroups!A:A,MATCH(B1163,CoreProteinGroups!B:B,0))</f>
        <v>21</v>
      </c>
      <c r="B1163" s="1" t="s">
        <v>2027</v>
      </c>
      <c r="C1163" t="str">
        <f>VLOOKUP(B1163,CoreProteinGroups!$B:$C,2,FALSE)</f>
        <v>DNA topoisomerase</v>
      </c>
      <c r="D1163" t="s">
        <v>2031</v>
      </c>
      <c r="E1163" s="6" t="str">
        <f t="shared" si="18"/>
        <v>PROT:AWU47120.1</v>
      </c>
      <c r="F1163" t="s">
        <v>2030</v>
      </c>
      <c r="G1163" t="s">
        <v>13</v>
      </c>
      <c r="H1163" t="s">
        <v>2688</v>
      </c>
      <c r="I1163" t="str">
        <f>INDEX(Genomes!$I:$I,(MATCH(AllProteins!H1163,Genomes!$B:$B,0)))</f>
        <v>MH427217-sea_otter_poxvirus</v>
      </c>
      <c r="J1163">
        <f>INDEX(Genomes!$A:$A,(MATCH(AllProteins!H1163,Genomes!$B:$B,0)))</f>
        <v>47</v>
      </c>
      <c r="K1163" t="str">
        <f>INDEX(Genomes!$J:$J,(MATCH(AllProteins!H1163,Genomes!$B:$B,0)))</f>
        <v>Y</v>
      </c>
    </row>
    <row r="1164" spans="1:11" x14ac:dyDescent="0.2">
      <c r="A1164">
        <f>INDEX(CoreProteinGroups!A:A,MATCH(B1164,CoreProteinGroups!B:B,0))</f>
        <v>21</v>
      </c>
      <c r="B1164" s="1" t="s">
        <v>2027</v>
      </c>
      <c r="C1164" t="str">
        <f>VLOOKUP(B1164,CoreProteinGroups!$B:$C,2,FALSE)</f>
        <v>DNA topoisomerase</v>
      </c>
      <c r="D1164" t="s">
        <v>2032</v>
      </c>
      <c r="E1164" s="6" t="str">
        <f t="shared" si="18"/>
        <v>PROT:APG58296.1</v>
      </c>
      <c r="F1164" t="s">
        <v>2033</v>
      </c>
      <c r="G1164" t="s">
        <v>16</v>
      </c>
      <c r="H1164" t="s">
        <v>2653</v>
      </c>
      <c r="I1164" t="str">
        <f>INDEX(Genomes!$I:$I,(MATCH(AllProteins!H1164,Genomes!$B:$B,0)))</f>
        <v>KY094066-BeAn_58058_virus</v>
      </c>
      <c r="J1164">
        <f>INDEX(Genomes!$A:$A,(MATCH(AllProteins!H1164,Genomes!$B:$B,0)))</f>
        <v>7</v>
      </c>
      <c r="K1164" t="str">
        <f>INDEX(Genomes!$J:$J,(MATCH(AllProteins!H1164,Genomes!$B:$B,0)))</f>
        <v>N</v>
      </c>
    </row>
    <row r="1165" spans="1:11" x14ac:dyDescent="0.2">
      <c r="A1165">
        <f>INDEX(CoreProteinGroups!A:A,MATCH(B1165,CoreProteinGroups!B:B,0))</f>
        <v>21</v>
      </c>
      <c r="B1165" s="1" t="s">
        <v>2027</v>
      </c>
      <c r="C1165" t="str">
        <f>VLOOKUP(B1165,CoreProteinGroups!$B:$C,2,FALSE)</f>
        <v>DNA topoisomerase</v>
      </c>
      <c r="D1165" t="s">
        <v>2034</v>
      </c>
      <c r="E1165" s="6" t="str">
        <f t="shared" si="18"/>
        <v>PROT:ADT91107.1</v>
      </c>
      <c r="F1165" t="s">
        <v>2030</v>
      </c>
      <c r="G1165" t="s">
        <v>19</v>
      </c>
      <c r="H1165" t="s">
        <v>2658</v>
      </c>
      <c r="I1165" t="str">
        <f>INDEX(Genomes!$I:$I,(MATCH(AllProteins!H1165,Genomes!$B:$B,0)))</f>
        <v>HQ647181-Cotia_virus</v>
      </c>
      <c r="J1165">
        <f>INDEX(Genomes!$A:$A,(MATCH(AllProteins!H1165,Genomes!$B:$B,0)))</f>
        <v>12</v>
      </c>
      <c r="K1165" t="str">
        <f>INDEX(Genomes!$J:$J,(MATCH(AllProteins!H1165,Genomes!$B:$B,0)))</f>
        <v>Y</v>
      </c>
    </row>
    <row r="1166" spans="1:11" x14ac:dyDescent="0.2">
      <c r="A1166">
        <f>INDEX(CoreProteinGroups!A:A,MATCH(B1166,CoreProteinGroups!B:B,0))</f>
        <v>21</v>
      </c>
      <c r="B1166" s="1" t="s">
        <v>2027</v>
      </c>
      <c r="C1166" t="str">
        <f>VLOOKUP(B1166,CoreProteinGroups!$B:$C,2,FALSE)</f>
        <v>DNA topoisomerase</v>
      </c>
      <c r="D1166" t="s">
        <v>2035</v>
      </c>
      <c r="E1166" s="6" t="str">
        <f t="shared" si="18"/>
        <v>PROT:ANS71164.1</v>
      </c>
      <c r="F1166" t="s">
        <v>2030</v>
      </c>
      <c r="G1166" t="s">
        <v>21</v>
      </c>
      <c r="H1166" t="s">
        <v>2682</v>
      </c>
      <c r="I1166" t="str">
        <f>INDEX(Genomes!$I:$I,(MATCH(AllProteins!H1166,Genomes!$B:$B,0)))</f>
        <v>KU980965-pteropox_virus</v>
      </c>
      <c r="J1166">
        <f>INDEX(Genomes!$A:$A,(MATCH(AllProteins!H1166,Genomes!$B:$B,0)))</f>
        <v>40</v>
      </c>
      <c r="K1166" t="str">
        <f>INDEX(Genomes!$J:$J,(MATCH(AllProteins!H1166,Genomes!$B:$B,0)))</f>
        <v>Y</v>
      </c>
    </row>
    <row r="1167" spans="1:11" x14ac:dyDescent="0.2">
      <c r="A1167">
        <f>INDEX(CoreProteinGroups!A:A,MATCH(B1167,CoreProteinGroups!B:B,0))</f>
        <v>21</v>
      </c>
      <c r="B1167" s="1" t="s">
        <v>2027</v>
      </c>
      <c r="C1167" t="str">
        <f>VLOOKUP(B1167,CoreProteinGroups!$B:$C,2,FALSE)</f>
        <v>DNA topoisomerase</v>
      </c>
      <c r="D1167" t="s">
        <v>2036</v>
      </c>
      <c r="E1167" s="6" t="str">
        <f t="shared" si="18"/>
        <v>PROT:AKR04295.1</v>
      </c>
      <c r="F1167" t="s">
        <v>2037</v>
      </c>
      <c r="G1167" t="s">
        <v>24</v>
      </c>
      <c r="H1167" t="s">
        <v>2687</v>
      </c>
      <c r="I1167" t="str">
        <f>INDEX(Genomes!$I:$I,(MATCH(AllProteins!H1167,Genomes!$B:$B,0)))</f>
        <v>KT159937-salmon_gill_poxvirus</v>
      </c>
      <c r="J1167">
        <f>INDEX(Genomes!$A:$A,(MATCH(AllProteins!H1167,Genomes!$B:$B,0)))</f>
        <v>46</v>
      </c>
      <c r="K1167" t="str">
        <f>INDEX(Genomes!$J:$J,(MATCH(AllProteins!H1167,Genomes!$B:$B,0)))</f>
        <v>Y</v>
      </c>
    </row>
    <row r="1168" spans="1:11" x14ac:dyDescent="0.2">
      <c r="A1168">
        <f>INDEX(CoreProteinGroups!A:A,MATCH(B1168,CoreProteinGroups!B:B,0))</f>
        <v>21</v>
      </c>
      <c r="B1168" s="1" t="s">
        <v>2027</v>
      </c>
      <c r="C1168" t="str">
        <f>VLOOKUP(B1168,CoreProteinGroups!$B:$C,2,FALSE)</f>
        <v>DNA topoisomerase</v>
      </c>
      <c r="D1168" t="s">
        <v>2038</v>
      </c>
      <c r="E1168" s="6" t="str">
        <f t="shared" si="18"/>
        <v>PROT:CCD83253.1</v>
      </c>
      <c r="F1168" t="s">
        <v>2039</v>
      </c>
      <c r="G1168" t="s">
        <v>27</v>
      </c>
      <c r="H1168" t="s">
        <v>2689</v>
      </c>
      <c r="I1168" t="str">
        <f>INDEX(Genomes!$I:$I,(MATCH(AllProteins!H1168,Genomes!$B:$B,0)))</f>
        <v>HE601899-squirrelpox_virus</v>
      </c>
      <c r="J1168">
        <f>INDEX(Genomes!$A:$A,(MATCH(AllProteins!H1168,Genomes!$B:$B,0)))</f>
        <v>48</v>
      </c>
      <c r="K1168" t="str">
        <f>INDEX(Genomes!$J:$J,(MATCH(AllProteins!H1168,Genomes!$B:$B,0)))</f>
        <v>Y</v>
      </c>
    </row>
    <row r="1169" spans="1:11" x14ac:dyDescent="0.2">
      <c r="A1169">
        <f>INDEX(CoreProteinGroups!A:A,MATCH(B1169,CoreProteinGroups!B:B,0))</f>
        <v>21</v>
      </c>
      <c r="B1169" s="1" t="s">
        <v>2027</v>
      </c>
      <c r="C1169" t="str">
        <f>VLOOKUP(B1169,CoreProteinGroups!$B:$C,2,FALSE)</f>
        <v>DNA topoisomerase</v>
      </c>
      <c r="D1169" t="s">
        <v>2040</v>
      </c>
      <c r="E1169" s="6" t="str">
        <f t="shared" si="18"/>
        <v>PROT:ASK51282.1</v>
      </c>
      <c r="F1169" t="s">
        <v>2030</v>
      </c>
      <c r="G1169" t="s">
        <v>30</v>
      </c>
      <c r="H1169" t="s">
        <v>2664</v>
      </c>
      <c r="I1169" t="str">
        <f>INDEX(Genomes!$I:$I,(MATCH(AllProteins!H1169,Genomes!$B:$B,0)))</f>
        <v>KY747497-eptesipox_virus</v>
      </c>
      <c r="J1169">
        <f>INDEX(Genomes!$A:$A,(MATCH(AllProteins!H1169,Genomes!$B:$B,0)))</f>
        <v>19</v>
      </c>
      <c r="K1169" t="str">
        <f>INDEX(Genomes!$J:$J,(MATCH(AllProteins!H1169,Genomes!$B:$B,0)))</f>
        <v>Y</v>
      </c>
    </row>
    <row r="1170" spans="1:11" x14ac:dyDescent="0.2">
      <c r="A1170">
        <f>INDEX(CoreProteinGroups!A:A,MATCH(B1170,CoreProteinGroups!B:B,0))</f>
        <v>21</v>
      </c>
      <c r="B1170" s="1" t="s">
        <v>2027</v>
      </c>
      <c r="C1170" t="str">
        <f>VLOOKUP(B1170,CoreProteinGroups!$B:$C,2,FALSE)</f>
        <v>DNA topoisomerase</v>
      </c>
      <c r="D1170" t="s">
        <v>2041</v>
      </c>
      <c r="E1170" s="6" t="str">
        <f t="shared" si="18"/>
        <v>PROT:AUD40247.1</v>
      </c>
      <c r="F1170" t="s">
        <v>2028</v>
      </c>
      <c r="G1170" t="s">
        <v>32</v>
      </c>
      <c r="H1170" t="s">
        <v>2665</v>
      </c>
      <c r="I1170" t="str">
        <f>INDEX(Genomes!$I:$I,(MATCH(AllProteins!H1170,Genomes!$B:$B,0)))</f>
        <v>MF678796-flamingopox_virus</v>
      </c>
      <c r="J1170">
        <f>INDEX(Genomes!$A:$A,(MATCH(AllProteins!H1170,Genomes!$B:$B,0)))</f>
        <v>20</v>
      </c>
      <c r="K1170" t="str">
        <f>INDEX(Genomes!$J:$J,(MATCH(AllProteins!H1170,Genomes!$B:$B,0)))</f>
        <v>Y</v>
      </c>
    </row>
    <row r="1171" spans="1:11" x14ac:dyDescent="0.2">
      <c r="A1171">
        <f>INDEX(CoreProteinGroups!A:A,MATCH(B1171,CoreProteinGroups!B:B,0))</f>
        <v>21</v>
      </c>
      <c r="B1171" s="1" t="s">
        <v>2027</v>
      </c>
      <c r="C1171" t="str">
        <f>VLOOKUP(B1171,CoreProteinGroups!$B:$C,2,FALSE)</f>
        <v>DNA topoisomerase</v>
      </c>
      <c r="D1171" t="s">
        <v>2042</v>
      </c>
      <c r="E1171" s="6" t="str">
        <f t="shared" si="18"/>
        <v>PROT:AID46879.1</v>
      </c>
      <c r="F1171" t="s">
        <v>2028</v>
      </c>
      <c r="G1171" t="s">
        <v>34</v>
      </c>
      <c r="H1171" t="s">
        <v>2681</v>
      </c>
      <c r="I1171" t="str">
        <f>INDEX(Genomes!$I:$I,(MATCH(AllProteins!H1171,Genomes!$B:$B,0)))</f>
        <v>KJ859677-penguinpox_virus</v>
      </c>
      <c r="J1171">
        <f>INDEX(Genomes!$A:$A,(MATCH(AllProteins!H1171,Genomes!$B:$B,0)))</f>
        <v>39</v>
      </c>
      <c r="K1171" t="str">
        <f>INDEX(Genomes!$J:$J,(MATCH(AllProteins!H1171,Genomes!$B:$B,0)))</f>
        <v>Y</v>
      </c>
    </row>
    <row r="1172" spans="1:11" x14ac:dyDescent="0.2">
      <c r="A1172">
        <f>INDEX(CoreProteinGroups!A:A,MATCH(B1172,CoreProteinGroups!B:B,0))</f>
        <v>21</v>
      </c>
      <c r="B1172" s="1" t="s">
        <v>2027</v>
      </c>
      <c r="C1172" t="str">
        <f>VLOOKUP(B1172,CoreProteinGroups!$B:$C,2,FALSE)</f>
        <v>DNA topoisomerase</v>
      </c>
      <c r="D1172" t="s">
        <v>2043</v>
      </c>
      <c r="E1172" s="6" t="str">
        <f t="shared" si="18"/>
        <v>PROT:AID46650.1</v>
      </c>
      <c r="F1172" t="s">
        <v>2028</v>
      </c>
      <c r="G1172" t="s">
        <v>36</v>
      </c>
      <c r="H1172" t="s">
        <v>2680</v>
      </c>
      <c r="I1172" t="str">
        <f>INDEX(Genomes!$I:$I,(MATCH(AllProteins!H1172,Genomes!$B:$B,0)))</f>
        <v>KJ801920-pigeonpox_virus</v>
      </c>
      <c r="J1172">
        <f>INDEX(Genomes!$A:$A,(MATCH(AllProteins!H1172,Genomes!$B:$B,0)))</f>
        <v>38</v>
      </c>
      <c r="K1172" t="str">
        <f>INDEX(Genomes!$J:$J,(MATCH(AllProteins!H1172,Genomes!$B:$B,0)))</f>
        <v>Y</v>
      </c>
    </row>
    <row r="1173" spans="1:11" x14ac:dyDescent="0.2">
      <c r="A1173">
        <f>INDEX(CoreProteinGroups!A:A,MATCH(B1173,CoreProteinGroups!B:B,0))</f>
        <v>21</v>
      </c>
      <c r="B1173" s="1" t="s">
        <v>2027</v>
      </c>
      <c r="C1173" t="str">
        <f>VLOOKUP(B1173,CoreProteinGroups!$B:$C,2,FALSE)</f>
        <v>DNA topoisomerase</v>
      </c>
      <c r="D1173" t="s">
        <v>2044</v>
      </c>
      <c r="E1173" s="6" t="str">
        <f t="shared" si="18"/>
        <v>PROT:ALA62481.1</v>
      </c>
      <c r="F1173" t="s">
        <v>2028</v>
      </c>
      <c r="G1173" t="s">
        <v>39</v>
      </c>
      <c r="H1173" t="s">
        <v>2692</v>
      </c>
      <c r="I1173" t="str">
        <f>INDEX(Genomes!$I:$I,(MATCH(AllProteins!H1173,Genomes!$B:$B,0)))</f>
        <v>KP728110-turkeypox_virus</v>
      </c>
      <c r="J1173">
        <f>INDEX(Genomes!$A:$A,(MATCH(AllProteins!H1173,Genomes!$B:$B,0)))</f>
        <v>51</v>
      </c>
      <c r="K1173" t="str">
        <f>INDEX(Genomes!$J:$J,(MATCH(AllProteins!H1173,Genomes!$B:$B,0)))</f>
        <v>Y</v>
      </c>
    </row>
    <row r="1174" spans="1:11" x14ac:dyDescent="0.2">
      <c r="A1174">
        <f>INDEX(CoreProteinGroups!A:A,MATCH(B1174,CoreProteinGroups!B:B,0))</f>
        <v>21</v>
      </c>
      <c r="B1174" s="1" t="s">
        <v>2027</v>
      </c>
      <c r="C1174" t="str">
        <f>VLOOKUP(B1174,CoreProteinGroups!$B:$C,2,FALSE)</f>
        <v>DNA topoisomerase</v>
      </c>
      <c r="D1174" t="s">
        <v>2045</v>
      </c>
      <c r="E1174" s="6" t="str">
        <f t="shared" si="18"/>
        <v>PROT:AAR83535.1</v>
      </c>
      <c r="F1174" t="s">
        <v>2046</v>
      </c>
      <c r="G1174" t="s">
        <v>42</v>
      </c>
      <c r="H1174" t="s">
        <v>2657</v>
      </c>
      <c r="I1174" t="str">
        <f>INDEX(Genomes!$I:$I,(MATCH(AllProteins!H1174,Genomes!$B:$B,0)))</f>
        <v>AY318871-canarypox_virus</v>
      </c>
      <c r="J1174">
        <f>INDEX(Genomes!$A:$A,(MATCH(AllProteins!H1174,Genomes!$B:$B,0)))</f>
        <v>11</v>
      </c>
      <c r="K1174" t="str">
        <f>INDEX(Genomes!$J:$J,(MATCH(AllProteins!H1174,Genomes!$B:$B,0)))</f>
        <v>Y</v>
      </c>
    </row>
    <row r="1175" spans="1:11" x14ac:dyDescent="0.2">
      <c r="A1175">
        <f>INDEX(CoreProteinGroups!A:A,MATCH(B1175,CoreProteinGroups!B:B,0))</f>
        <v>21</v>
      </c>
      <c r="B1175" s="1" t="s">
        <v>2027</v>
      </c>
      <c r="C1175" t="str">
        <f>VLOOKUP(B1175,CoreProteinGroups!$B:$C,2,FALSE)</f>
        <v>DNA topoisomerase</v>
      </c>
      <c r="D1175" t="s">
        <v>2047</v>
      </c>
      <c r="E1175" s="6" t="str">
        <f t="shared" si="18"/>
        <v>PROT:AAF44487.1</v>
      </c>
      <c r="F1175" t="s">
        <v>2048</v>
      </c>
      <c r="G1175" t="s">
        <v>45</v>
      </c>
      <c r="H1175" t="s">
        <v>2666</v>
      </c>
      <c r="I1175" t="str">
        <f>INDEX(Genomes!$I:$I,(MATCH(AllProteins!H1175,Genomes!$B:$B,0)))</f>
        <v>AF198100-fowlpox_virus</v>
      </c>
      <c r="J1175">
        <f>INDEX(Genomes!$A:$A,(MATCH(AllProteins!H1175,Genomes!$B:$B,0)))</f>
        <v>21</v>
      </c>
      <c r="K1175" t="str">
        <f>INDEX(Genomes!$J:$J,(MATCH(AllProteins!H1175,Genomes!$B:$B,0)))</f>
        <v>Y</v>
      </c>
    </row>
    <row r="1176" spans="1:11" x14ac:dyDescent="0.2">
      <c r="A1176">
        <f>INDEX(CoreProteinGroups!A:A,MATCH(B1176,CoreProteinGroups!B:B,0))</f>
        <v>21</v>
      </c>
      <c r="B1176" s="1" t="s">
        <v>2027</v>
      </c>
      <c r="C1176" t="str">
        <f>VLOOKUP(B1176,CoreProteinGroups!$B:$C,2,FALSE)</f>
        <v>DNA topoisomerase</v>
      </c>
      <c r="D1176" t="s">
        <v>2049</v>
      </c>
      <c r="E1176" s="6" t="str">
        <f t="shared" si="18"/>
        <v>PROT:AAK85038.1</v>
      </c>
      <c r="F1176" t="s">
        <v>2050</v>
      </c>
      <c r="G1176" t="s">
        <v>48</v>
      </c>
      <c r="H1176" t="s">
        <v>2669</v>
      </c>
      <c r="I1176" t="str">
        <f>INDEX(Genomes!$I:$I,(MATCH(AllProteins!H1176,Genomes!$B:$B,0)))</f>
        <v>AF325528-lumpy_skin_disease_virus</v>
      </c>
      <c r="J1176">
        <f>INDEX(Genomes!$A:$A,(MATCH(AllProteins!H1176,Genomes!$B:$B,0)))</f>
        <v>25</v>
      </c>
      <c r="K1176" t="str">
        <f>INDEX(Genomes!$J:$J,(MATCH(AllProteins!H1176,Genomes!$B:$B,0)))</f>
        <v>Y</v>
      </c>
    </row>
    <row r="1177" spans="1:11" x14ac:dyDescent="0.2">
      <c r="A1177">
        <f>INDEX(CoreProteinGroups!A:A,MATCH(B1177,CoreProteinGroups!B:B,0))</f>
        <v>21</v>
      </c>
      <c r="B1177" s="1" t="s">
        <v>2027</v>
      </c>
      <c r="C1177" t="str">
        <f>VLOOKUP(B1177,CoreProteinGroups!$B:$C,2,FALSE)</f>
        <v>DNA topoisomerase</v>
      </c>
      <c r="D1177" t="s">
        <v>2051</v>
      </c>
      <c r="E1177" s="6" t="str">
        <f t="shared" si="18"/>
        <v>PROT:AST09295.1</v>
      </c>
      <c r="F1177" t="s">
        <v>2030</v>
      </c>
      <c r="G1177" t="s">
        <v>50</v>
      </c>
      <c r="H1177" t="s">
        <v>2671</v>
      </c>
      <c r="I1177" t="str">
        <f>INDEX(Genomes!$I:$I,(MATCH(AllProteins!H1177,Genomes!$B:$B,0)))</f>
        <v>MF001304-Murmansk_poxvirus</v>
      </c>
      <c r="J1177">
        <f>INDEX(Genomes!$A:$A,(MATCH(AllProteins!H1177,Genomes!$B:$B,0)))</f>
        <v>27</v>
      </c>
      <c r="K1177" t="str">
        <f>INDEX(Genomes!$J:$J,(MATCH(AllProteins!H1177,Genomes!$B:$B,0)))</f>
        <v>Y</v>
      </c>
    </row>
    <row r="1178" spans="1:11" x14ac:dyDescent="0.2">
      <c r="A1178">
        <f>INDEX(CoreProteinGroups!A:A,MATCH(B1178,CoreProteinGroups!B:B,0))</f>
        <v>21</v>
      </c>
      <c r="B1178" s="1" t="s">
        <v>2027</v>
      </c>
      <c r="C1178" t="str">
        <f>VLOOKUP(B1178,CoreProteinGroups!$B:$C,2,FALSE)</f>
        <v>DNA topoisomerase</v>
      </c>
      <c r="D1178" t="s">
        <v>2052</v>
      </c>
      <c r="E1178" s="6" t="str">
        <f t="shared" si="18"/>
        <v>PROT:AEN03673.1</v>
      </c>
      <c r="F1178" t="s">
        <v>2030</v>
      </c>
      <c r="G1178" t="s">
        <v>52</v>
      </c>
      <c r="H1178" t="s">
        <v>2698</v>
      </c>
      <c r="I1178" t="str">
        <f>INDEX(Genomes!$I:$I,(MATCH(AllProteins!H1178,Genomes!$B:$B,0)))</f>
        <v>HQ849551-yokapox_virus</v>
      </c>
      <c r="J1178">
        <f>INDEX(Genomes!$A:$A,(MATCH(AllProteins!H1178,Genomes!$B:$B,0)))</f>
        <v>57</v>
      </c>
      <c r="K1178" t="str">
        <f>INDEX(Genomes!$J:$J,(MATCH(AllProteins!H1178,Genomes!$B:$B,0)))</f>
        <v>Y</v>
      </c>
    </row>
    <row r="1179" spans="1:11" x14ac:dyDescent="0.2">
      <c r="A1179">
        <f>INDEX(CoreProteinGroups!A:A,MATCH(B1179,CoreProteinGroups!B:B,0))</f>
        <v>21</v>
      </c>
      <c r="B1179" s="1" t="s">
        <v>2027</v>
      </c>
      <c r="C1179" t="str">
        <f>VLOOKUP(B1179,CoreProteinGroups!$B:$C,2,FALSE)</f>
        <v>DNA topoisomerase</v>
      </c>
      <c r="D1179" t="s">
        <v>2053</v>
      </c>
      <c r="E1179" s="6" t="str">
        <f t="shared" si="18"/>
        <v>PROT:ABI99241.1</v>
      </c>
      <c r="F1179" t="s">
        <v>2028</v>
      </c>
      <c r="G1179" t="s">
        <v>54</v>
      </c>
      <c r="H1179" t="s">
        <v>2661</v>
      </c>
      <c r="I1179" t="str">
        <f>INDEX(Genomes!$I:$I,(MATCH(AllProteins!H1179,Genomes!$B:$B,0)))</f>
        <v>AY689436-mule_deerpox_virus</v>
      </c>
      <c r="J1179">
        <f>INDEX(Genomes!$A:$A,(MATCH(AllProteins!H1179,Genomes!$B:$B,0)))</f>
        <v>15</v>
      </c>
      <c r="K1179" t="str">
        <f>INDEX(Genomes!$J:$J,(MATCH(AllProteins!H1179,Genomes!$B:$B,0)))</f>
        <v>Y</v>
      </c>
    </row>
    <row r="1180" spans="1:11" x14ac:dyDescent="0.2">
      <c r="A1180">
        <f>INDEX(CoreProteinGroups!A:A,MATCH(B1180,CoreProteinGroups!B:B,0))</f>
        <v>21</v>
      </c>
      <c r="B1180" s="1" t="s">
        <v>2027</v>
      </c>
      <c r="C1180" t="str">
        <f>VLOOKUP(B1180,CoreProteinGroups!$B:$C,2,FALSE)</f>
        <v>DNA topoisomerase</v>
      </c>
      <c r="D1180" t="s">
        <v>2054</v>
      </c>
      <c r="E1180" s="6" t="str">
        <f t="shared" si="18"/>
        <v>PROT:ABJ08997.1</v>
      </c>
      <c r="F1180" t="s">
        <v>2055</v>
      </c>
      <c r="G1180" t="s">
        <v>56</v>
      </c>
      <c r="H1180" t="s">
        <v>2677</v>
      </c>
      <c r="I1180" t="str">
        <f>INDEX(Genomes!$I:$I,(MATCH(AllProteins!H1180,Genomes!$B:$B,0)))</f>
        <v>DQ356948-Nile_crocodilepox_virus</v>
      </c>
      <c r="J1180">
        <f>INDEX(Genomes!$A:$A,(MATCH(AllProteins!H1180,Genomes!$B:$B,0)))</f>
        <v>34</v>
      </c>
      <c r="K1180" t="str">
        <f>INDEX(Genomes!$J:$J,(MATCH(AllProteins!H1180,Genomes!$B:$B,0)))</f>
        <v>Y</v>
      </c>
    </row>
    <row r="1181" spans="1:11" x14ac:dyDescent="0.2">
      <c r="A1181">
        <f>INDEX(CoreProteinGroups!A:A,MATCH(B1181,CoreProteinGroups!B:B,0))</f>
        <v>21</v>
      </c>
      <c r="B1181" s="1" t="s">
        <v>2027</v>
      </c>
      <c r="C1181" t="str">
        <f>VLOOKUP(B1181,CoreProteinGroups!$B:$C,2,FALSE)</f>
        <v>DNA topoisomerase</v>
      </c>
      <c r="D1181" t="s">
        <v>2056</v>
      </c>
      <c r="E1181" s="6" t="str">
        <f t="shared" si="18"/>
        <v>PROT:AAF14962.1</v>
      </c>
      <c r="F1181" t="s">
        <v>2057</v>
      </c>
      <c r="G1181" t="s">
        <v>2584</v>
      </c>
      <c r="H1181" t="s">
        <v>2676</v>
      </c>
      <c r="I1181" t="str">
        <f>INDEX(Genomes!$I:$I,(MATCH(AllProteins!H1181,Genomes!$B:$B,0)))</f>
        <v>AF170726-myxoma_virus</v>
      </c>
      <c r="J1181">
        <f>INDEX(Genomes!$A:$A,(MATCH(AllProteins!H1181,Genomes!$B:$B,0)))</f>
        <v>32</v>
      </c>
      <c r="K1181" t="str">
        <f>INDEX(Genomes!$J:$J,(MATCH(AllProteins!H1181,Genomes!$B:$B,0)))</f>
        <v>Y</v>
      </c>
    </row>
    <row r="1182" spans="1:11" x14ac:dyDescent="0.2">
      <c r="A1182">
        <f>INDEX(CoreProteinGroups!A:A,MATCH(B1182,CoreProteinGroups!B:B,0))</f>
        <v>21</v>
      </c>
      <c r="B1182" s="1" t="s">
        <v>2027</v>
      </c>
      <c r="C1182" t="str">
        <f>VLOOKUP(B1182,CoreProteinGroups!$B:$C,2,FALSE)</f>
        <v>DNA topoisomerase</v>
      </c>
      <c r="D1182" t="s">
        <v>2058</v>
      </c>
      <c r="E1182" s="6" t="str">
        <f t="shared" si="18"/>
        <v>PROT:AFU77338.1</v>
      </c>
      <c r="F1182" t="s">
        <v>2057</v>
      </c>
      <c r="G1182" t="s">
        <v>2553</v>
      </c>
      <c r="H1182" t="s">
        <v>2646</v>
      </c>
      <c r="I1182" t="str">
        <f>INDEX(Genomes!$I:$I,(MATCH(AllProteins!H1182,Genomes!$B:$B,0)))</f>
        <v>JX565564-myxoma_virus_isolate_BRK_897</v>
      </c>
      <c r="J1182">
        <f>INDEX(Genomes!$A:$A,(MATCH(AllProteins!H1182,Genomes!$B:$B,0)))</f>
        <v>33</v>
      </c>
      <c r="K1182" t="str">
        <f>INDEX(Genomes!$J:$J,(MATCH(AllProteins!H1182,Genomes!$B:$B,0)))</f>
        <v>N</v>
      </c>
    </row>
    <row r="1183" spans="1:11" x14ac:dyDescent="0.2">
      <c r="A1183">
        <f>INDEX(CoreProteinGroups!A:A,MATCH(B1183,CoreProteinGroups!B:B,0))</f>
        <v>21</v>
      </c>
      <c r="B1183" s="1" t="s">
        <v>2027</v>
      </c>
      <c r="C1183" t="str">
        <f>VLOOKUP(B1183,CoreProteinGroups!$B:$C,2,FALSE)</f>
        <v>DNA topoisomerase</v>
      </c>
      <c r="D1183" t="s">
        <v>2059</v>
      </c>
      <c r="E1183" s="6" t="str">
        <f t="shared" si="18"/>
        <v>PROT:AAF17956.1</v>
      </c>
      <c r="F1183" t="s">
        <v>2060</v>
      </c>
      <c r="G1183" t="s">
        <v>62</v>
      </c>
      <c r="H1183" t="s">
        <v>2685</v>
      </c>
      <c r="I1183" t="str">
        <f>INDEX(Genomes!$I:$I,(MATCH(AllProteins!H1183,Genomes!$B:$B,0)))</f>
        <v>AF170722-rabbit_fibroma_virus</v>
      </c>
      <c r="J1183">
        <f>INDEX(Genomes!$A:$A,(MATCH(AllProteins!H1183,Genomes!$B:$B,0)))</f>
        <v>43</v>
      </c>
      <c r="K1183" t="str">
        <f>INDEX(Genomes!$J:$J,(MATCH(AllProteins!H1183,Genomes!$B:$B,0)))</f>
        <v>Y</v>
      </c>
    </row>
    <row r="1184" spans="1:11" x14ac:dyDescent="0.2">
      <c r="A1184">
        <f>INDEX(CoreProteinGroups!A:A,MATCH(B1184,CoreProteinGroups!B:B,0))</f>
        <v>21</v>
      </c>
      <c r="B1184" s="1" t="s">
        <v>2027</v>
      </c>
      <c r="C1184" t="str">
        <f>VLOOKUP(B1184,CoreProteinGroups!$B:$C,2,FALSE)</f>
        <v>DNA topoisomerase</v>
      </c>
      <c r="D1184" t="s">
        <v>2061</v>
      </c>
      <c r="E1184" s="6" t="str">
        <f t="shared" si="18"/>
        <v>PROT:AAC55215.1</v>
      </c>
      <c r="F1184" t="s">
        <v>2062</v>
      </c>
      <c r="G1184" t="s">
        <v>65</v>
      </c>
      <c r="H1184" t="s">
        <v>2670</v>
      </c>
      <c r="I1184" t="str">
        <f>INDEX(Genomes!$I:$I,(MATCH(AllProteins!H1184,Genomes!$B:$B,0)))</f>
        <v>U60315-molluscum_contagiosum_virus</v>
      </c>
      <c r="J1184">
        <f>INDEX(Genomes!$A:$A,(MATCH(AllProteins!H1184,Genomes!$B:$B,0)))</f>
        <v>26</v>
      </c>
      <c r="K1184" t="str">
        <f>INDEX(Genomes!$J:$J,(MATCH(AllProteins!H1184,Genomes!$B:$B,0)))</f>
        <v>Y</v>
      </c>
    </row>
    <row r="1185" spans="1:11" x14ac:dyDescent="0.2">
      <c r="A1185">
        <f>INDEX(CoreProteinGroups!A:A,MATCH(B1185,CoreProteinGroups!B:B,0))</f>
        <v>21</v>
      </c>
      <c r="B1185" s="1" t="s">
        <v>2027</v>
      </c>
      <c r="C1185" t="str">
        <f>VLOOKUP(B1185,CoreProteinGroups!$B:$C,2,FALSE)</f>
        <v>DNA topoisomerase</v>
      </c>
      <c r="D1185" t="s">
        <v>2063</v>
      </c>
      <c r="E1185" s="6" t="str">
        <f t="shared" si="18"/>
        <v>PROT:AYN64670.1</v>
      </c>
      <c r="F1185" t="s">
        <v>2064</v>
      </c>
      <c r="G1185" t="s">
        <v>68</v>
      </c>
      <c r="H1185" t="s">
        <v>2647</v>
      </c>
      <c r="I1185" t="str">
        <f>INDEX(Genomes!$I:$I,(MATCH(AllProteins!H1185,Genomes!$B:$B,0)))</f>
        <v>MH816996-orthopoxvirus_abatino</v>
      </c>
      <c r="J1185">
        <f>INDEX(Genomes!$A:$A,(MATCH(AllProteins!H1185,Genomes!$B:$B,0)))</f>
        <v>1</v>
      </c>
      <c r="K1185" t="str">
        <f>INDEX(Genomes!$J:$J,(MATCH(AllProteins!H1185,Genomes!$B:$B,0)))</f>
        <v>Y</v>
      </c>
    </row>
    <row r="1186" spans="1:11" x14ac:dyDescent="0.2">
      <c r="A1186">
        <f>INDEX(CoreProteinGroups!A:A,MATCH(B1186,CoreProteinGroups!B:B,0))</f>
        <v>21</v>
      </c>
      <c r="B1186" s="1" t="s">
        <v>2027</v>
      </c>
      <c r="C1186" t="str">
        <f>VLOOKUP(B1186,CoreProteinGroups!$B:$C,2,FALSE)</f>
        <v>DNA topoisomerase</v>
      </c>
      <c r="D1186" t="s">
        <v>2065</v>
      </c>
      <c r="E1186" s="6" t="str">
        <f t="shared" si="18"/>
        <v>PROT:AXN74897.1</v>
      </c>
      <c r="F1186" t="s">
        <v>2066</v>
      </c>
      <c r="G1186" t="s">
        <v>70</v>
      </c>
      <c r="H1186" t="s">
        <v>2650</v>
      </c>
      <c r="I1186" t="str">
        <f>INDEX(Genomes!$I:$I,(MATCH(AllProteins!H1186,Genomes!$B:$B,0)))</f>
        <v>MH607141-Akhmeta_virus</v>
      </c>
      <c r="J1186">
        <f>INDEX(Genomes!$A:$A,(MATCH(AllProteins!H1186,Genomes!$B:$B,0)))</f>
        <v>4</v>
      </c>
      <c r="K1186" t="str">
        <f>INDEX(Genomes!$J:$J,(MATCH(AllProteins!H1186,Genomes!$B:$B,0)))</f>
        <v>Y</v>
      </c>
    </row>
    <row r="1187" spans="1:11" x14ac:dyDescent="0.2">
      <c r="A1187">
        <f>INDEX(CoreProteinGroups!A:A,MATCH(B1187,CoreProteinGroups!B:B,0))</f>
        <v>21</v>
      </c>
      <c r="B1187" s="1" t="s">
        <v>2027</v>
      </c>
      <c r="C1187" t="str">
        <f>VLOOKUP(B1187,CoreProteinGroups!$B:$C,2,FALSE)</f>
        <v>DNA topoisomerase</v>
      </c>
      <c r="D1187" t="s">
        <v>2067</v>
      </c>
      <c r="E1187" s="6" t="str">
        <f t="shared" si="18"/>
        <v>PROT:ABH08211.1</v>
      </c>
      <c r="F1187" t="s">
        <v>2068</v>
      </c>
      <c r="G1187" t="s">
        <v>73</v>
      </c>
      <c r="H1187" t="s">
        <v>2668</v>
      </c>
      <c r="I1187" t="str">
        <f>INDEX(Genomes!$I:$I,(MATCH(AllProteins!H1187,Genomes!$B:$B,0)))</f>
        <v>DQ792504-horsepox_virus</v>
      </c>
      <c r="J1187">
        <f>INDEX(Genomes!$A:$A,(MATCH(AllProteins!H1187,Genomes!$B:$B,0)))</f>
        <v>24</v>
      </c>
      <c r="K1187" t="str">
        <f>INDEX(Genomes!$J:$J,(MATCH(AllProteins!H1187,Genomes!$B:$B,0)))</f>
        <v>Y</v>
      </c>
    </row>
    <row r="1188" spans="1:11" x14ac:dyDescent="0.2">
      <c r="A1188">
        <f>INDEX(CoreProteinGroups!A:A,MATCH(B1188,CoreProteinGroups!B:B,0))</f>
        <v>21</v>
      </c>
      <c r="B1188" s="1" t="s">
        <v>2027</v>
      </c>
      <c r="C1188" t="str">
        <f>VLOOKUP(B1188,CoreProteinGroups!$B:$C,2,FALSE)</f>
        <v>DNA topoisomerase</v>
      </c>
      <c r="D1188" t="s">
        <v>2069</v>
      </c>
      <c r="E1188" s="6" t="str">
        <f t="shared" si="18"/>
        <v>PROT:AAG37574.1</v>
      </c>
      <c r="F1188" t="s">
        <v>2070</v>
      </c>
      <c r="G1188" t="s">
        <v>76</v>
      </c>
      <c r="H1188" t="s">
        <v>2655</v>
      </c>
      <c r="I1188" t="str">
        <f>INDEX(Genomes!$I:$I,(MATCH(AllProteins!H1188,Genomes!$B:$B,0)))</f>
        <v>AY009089-camelpox_virus_CMS</v>
      </c>
      <c r="J1188">
        <f>INDEX(Genomes!$A:$A,(MATCH(AllProteins!H1188,Genomes!$B:$B,0)))</f>
        <v>9</v>
      </c>
      <c r="K1188" t="str">
        <f>INDEX(Genomes!$J:$J,(MATCH(AllProteins!H1188,Genomes!$B:$B,0)))</f>
        <v>N</v>
      </c>
    </row>
    <row r="1189" spans="1:11" x14ac:dyDescent="0.2">
      <c r="A1189">
        <f>INDEX(CoreProteinGroups!A:A,MATCH(B1189,CoreProteinGroups!B:B,0))</f>
        <v>21</v>
      </c>
      <c r="B1189" s="1" t="s">
        <v>2027</v>
      </c>
      <c r="C1189" t="str">
        <f>VLOOKUP(B1189,CoreProteinGroups!$B:$C,2,FALSE)</f>
        <v>DNA topoisomerase</v>
      </c>
      <c r="D1189" t="s">
        <v>2071</v>
      </c>
      <c r="E1189" s="6" t="str">
        <f t="shared" si="18"/>
        <v>PROT:AAL73809.1</v>
      </c>
      <c r="F1189" t="s">
        <v>2028</v>
      </c>
      <c r="G1189" t="s">
        <v>79</v>
      </c>
      <c r="H1189" t="s">
        <v>2654</v>
      </c>
      <c r="I1189" t="str">
        <f>INDEX(Genomes!$I:$I,(MATCH(AllProteins!H1189,Genomes!$B:$B,0)))</f>
        <v>AF438165-camelpox_virus</v>
      </c>
      <c r="J1189">
        <f>INDEX(Genomes!$A:$A,(MATCH(AllProteins!H1189,Genomes!$B:$B,0)))</f>
        <v>8</v>
      </c>
      <c r="K1189" t="str">
        <f>INDEX(Genomes!$J:$J,(MATCH(AllProteins!H1189,Genomes!$B:$B,0)))</f>
        <v>Y</v>
      </c>
    </row>
    <row r="1190" spans="1:11" x14ac:dyDescent="0.2">
      <c r="A1190">
        <f>INDEX(CoreProteinGroups!A:A,MATCH(B1190,CoreProteinGroups!B:B,0))</f>
        <v>21</v>
      </c>
      <c r="B1190" s="1" t="s">
        <v>2027</v>
      </c>
      <c r="C1190" t="str">
        <f>VLOOKUP(B1190,CoreProteinGroups!$B:$C,2,FALSE)</f>
        <v>DNA topoisomerase</v>
      </c>
      <c r="D1190" t="s">
        <v>2072</v>
      </c>
      <c r="E1190" s="6" t="str">
        <f t="shared" si="18"/>
        <v>PROT:AAM13558.1</v>
      </c>
      <c r="F1190" t="s">
        <v>2073</v>
      </c>
      <c r="G1190" t="s">
        <v>82</v>
      </c>
      <c r="H1190" t="s">
        <v>2659</v>
      </c>
      <c r="I1190" t="str">
        <f>INDEX(Genomes!$I:$I,(MATCH(AllProteins!H1190,Genomes!$B:$B,0)))</f>
        <v>AF482758-cowpox_virus</v>
      </c>
      <c r="J1190">
        <f>INDEX(Genomes!$A:$A,(MATCH(AllProteins!H1190,Genomes!$B:$B,0)))</f>
        <v>13</v>
      </c>
      <c r="K1190" t="str">
        <f>INDEX(Genomes!$J:$J,(MATCH(AllProteins!H1190,Genomes!$B:$B,0)))</f>
        <v>Y</v>
      </c>
    </row>
    <row r="1191" spans="1:11" x14ac:dyDescent="0.2">
      <c r="A1191">
        <f>INDEX(CoreProteinGroups!A:A,MATCH(B1191,CoreProteinGroups!B:B,0))</f>
        <v>21</v>
      </c>
      <c r="B1191" s="1" t="s">
        <v>2027</v>
      </c>
      <c r="C1191" t="str">
        <f>VLOOKUP(B1191,CoreProteinGroups!$B:$C,2,FALSE)</f>
        <v>DNA topoisomerase</v>
      </c>
      <c r="D1191" t="s">
        <v>2074</v>
      </c>
      <c r="E1191" s="6" t="str">
        <f t="shared" si="18"/>
        <v>PROT:AAM92392.1</v>
      </c>
      <c r="F1191" t="s">
        <v>2075</v>
      </c>
      <c r="G1191" t="s">
        <v>85</v>
      </c>
      <c r="H1191" t="s">
        <v>2662</v>
      </c>
      <c r="I1191" t="str">
        <f>INDEX(Genomes!$I:$I,(MATCH(AllProteins!H1191,Genomes!$B:$B,0)))</f>
        <v>AF012825-ectromelia_virus</v>
      </c>
      <c r="J1191">
        <f>INDEX(Genomes!$A:$A,(MATCH(AllProteins!H1191,Genomes!$B:$B,0)))</f>
        <v>16</v>
      </c>
      <c r="K1191" t="str">
        <f>INDEX(Genomes!$J:$J,(MATCH(AllProteins!H1191,Genomes!$B:$B,0)))</f>
        <v>Y</v>
      </c>
    </row>
    <row r="1192" spans="1:11" x14ac:dyDescent="0.2">
      <c r="A1192">
        <f>INDEX(CoreProteinGroups!A:A,MATCH(B1192,CoreProteinGroups!B:B,0))</f>
        <v>21</v>
      </c>
      <c r="B1192" s="1" t="s">
        <v>2027</v>
      </c>
      <c r="C1192" t="str">
        <f>VLOOKUP(B1192,CoreProteinGroups!$B:$C,2,FALSE)</f>
        <v>DNA topoisomerase</v>
      </c>
      <c r="D1192" t="s">
        <v>2076</v>
      </c>
      <c r="E1192" s="6" t="str">
        <f t="shared" si="18"/>
        <v>PROT:AFH54651.1</v>
      </c>
      <c r="F1192" t="s">
        <v>2077</v>
      </c>
      <c r="G1192" t="s">
        <v>87</v>
      </c>
      <c r="H1192" t="s">
        <v>2619</v>
      </c>
      <c r="I1192" t="str">
        <f>INDEX(Genomes!$I:$I,(MATCH(AllProteins!H1192,Genomes!$B:$B,0)))</f>
        <v>JQ410350-ectromelia_virus_strain_ERPV</v>
      </c>
      <c r="J1192">
        <f>INDEX(Genomes!$A:$A,(MATCH(AllProteins!H1192,Genomes!$B:$B,0)))</f>
        <v>17</v>
      </c>
      <c r="K1192" t="str">
        <f>INDEX(Genomes!$J:$J,(MATCH(AllProteins!H1192,Genomes!$B:$B,0)))</f>
        <v>N</v>
      </c>
    </row>
    <row r="1193" spans="1:11" x14ac:dyDescent="0.2">
      <c r="A1193">
        <f>INDEX(CoreProteinGroups!A:A,MATCH(B1193,CoreProteinGroups!B:B,0))</f>
        <v>21</v>
      </c>
      <c r="B1193" s="1" t="s">
        <v>2027</v>
      </c>
      <c r="C1193" t="str">
        <f>VLOOKUP(B1193,CoreProteinGroups!$B:$C,2,FALSE)</f>
        <v>DNA topoisomerase</v>
      </c>
      <c r="D1193" t="s">
        <v>2078</v>
      </c>
      <c r="E1193" s="6" t="str">
        <f t="shared" si="18"/>
        <v>PROT:AAL40554.1</v>
      </c>
      <c r="F1193" t="s">
        <v>2079</v>
      </c>
      <c r="G1193" t="s">
        <v>90</v>
      </c>
      <c r="H1193" t="s">
        <v>2673</v>
      </c>
      <c r="I1193" t="str">
        <f>INDEX(Genomes!$I:$I,(MATCH(AllProteins!H1193,Genomes!$B:$B,0)))</f>
        <v>AF380138-monkeypox_virus_(clade_I)</v>
      </c>
      <c r="J1193">
        <f>INDEX(Genomes!$A:$A,(MATCH(AllProteins!H1193,Genomes!$B:$B,0)))</f>
        <v>29</v>
      </c>
      <c r="K1193" t="str">
        <f>INDEX(Genomes!$J:$J,(MATCH(AllProteins!H1193,Genomes!$B:$B,0)))</f>
        <v>Y</v>
      </c>
    </row>
    <row r="1194" spans="1:11" x14ac:dyDescent="0.2">
      <c r="A1194">
        <f>INDEX(CoreProteinGroups!A:A,MATCH(B1194,CoreProteinGroups!B:B,0))</f>
        <v>21</v>
      </c>
      <c r="B1194" s="1" t="s">
        <v>2027</v>
      </c>
      <c r="C1194" t="str">
        <f>VLOOKUP(B1194,CoreProteinGroups!$B:$C,2,FALSE)</f>
        <v>DNA topoisomerase</v>
      </c>
      <c r="D1194" t="s">
        <v>2080</v>
      </c>
      <c r="E1194" s="6" t="str">
        <f t="shared" si="18"/>
        <v>PROT:AAX09191.1</v>
      </c>
      <c r="F1194" t="s">
        <v>2081</v>
      </c>
      <c r="G1194" t="s">
        <v>93</v>
      </c>
      <c r="H1194" t="s">
        <v>2672</v>
      </c>
      <c r="I1194" t="str">
        <f>INDEX(Genomes!$I:$I,(MATCH(AllProteins!H1194,Genomes!$B:$B,0)))</f>
        <v>AY753185-monkeypox_virus_(clade_IIa)</v>
      </c>
      <c r="J1194">
        <f>INDEX(Genomes!$A:$A,(MATCH(AllProteins!H1194,Genomes!$B:$B,0)))</f>
        <v>28</v>
      </c>
      <c r="K1194" t="str">
        <f>INDEX(Genomes!$J:$J,(MATCH(AllProteins!H1194,Genomes!$B:$B,0)))</f>
        <v>Y</v>
      </c>
    </row>
    <row r="1195" spans="1:11" x14ac:dyDescent="0.2">
      <c r="A1195">
        <f>INDEX(CoreProteinGroups!A:A,MATCH(B1195,CoreProteinGroups!B:B,0))</f>
        <v>21</v>
      </c>
      <c r="B1195" s="1" t="s">
        <v>2027</v>
      </c>
      <c r="C1195" t="str">
        <f>VLOOKUP(B1195,CoreProteinGroups!$B:$C,2,FALSE)</f>
        <v>DNA topoisomerase</v>
      </c>
      <c r="D1195" t="s">
        <v>2082</v>
      </c>
      <c r="E1195" s="6" t="str">
        <f t="shared" si="18"/>
        <v>PROT:AKJ93733.1</v>
      </c>
      <c r="F1195" t="s">
        <v>2083</v>
      </c>
      <c r="G1195" t="s">
        <v>95</v>
      </c>
      <c r="H1195" t="s">
        <v>2683</v>
      </c>
      <c r="I1195" t="str">
        <f>INDEX(Genomes!$I:$I,(MATCH(AllProteins!H1195,Genomes!$B:$B,0)))</f>
        <v>KP143769-raccoonpox_virus</v>
      </c>
      <c r="J1195">
        <f>INDEX(Genomes!$A:$A,(MATCH(AllProteins!H1195,Genomes!$B:$B,0)))</f>
        <v>41</v>
      </c>
      <c r="K1195" t="str">
        <f>INDEX(Genomes!$J:$J,(MATCH(AllProteins!H1195,Genomes!$B:$B,0)))</f>
        <v>Y</v>
      </c>
    </row>
    <row r="1196" spans="1:11" x14ac:dyDescent="0.2">
      <c r="A1196">
        <f>INDEX(CoreProteinGroups!A:A,MATCH(B1196,CoreProteinGroups!B:B,0))</f>
        <v>21</v>
      </c>
      <c r="B1196" s="1" t="s">
        <v>2027</v>
      </c>
      <c r="C1196" t="str">
        <f>VLOOKUP(B1196,CoreProteinGroups!$B:$C,2,FALSE)</f>
        <v>DNA topoisomerase</v>
      </c>
      <c r="D1196" t="s">
        <v>2084</v>
      </c>
      <c r="E1196" s="6" t="str">
        <f t="shared" si="18"/>
        <v>PROT:AOP31582.1</v>
      </c>
      <c r="F1196" t="s">
        <v>2030</v>
      </c>
      <c r="G1196" t="s">
        <v>97</v>
      </c>
      <c r="H1196" t="s">
        <v>2686</v>
      </c>
      <c r="I1196" t="str">
        <f>INDEX(Genomes!$I:$I,(MATCH(AllProteins!H1196,Genomes!$B:$B,0)))</f>
        <v>KU749310-skunkpox_virus</v>
      </c>
      <c r="J1196">
        <f>INDEX(Genomes!$A:$A,(MATCH(AllProteins!H1196,Genomes!$B:$B,0)))</f>
        <v>45</v>
      </c>
      <c r="K1196" t="str">
        <f>INDEX(Genomes!$J:$J,(MATCH(AllProteins!H1196,Genomes!$B:$B,0)))</f>
        <v>Y</v>
      </c>
    </row>
    <row r="1197" spans="1:11" x14ac:dyDescent="0.2">
      <c r="A1197">
        <f>INDEX(CoreProteinGroups!A:A,MATCH(B1197,CoreProteinGroups!B:B,0))</f>
        <v>21</v>
      </c>
      <c r="B1197" s="1" t="s">
        <v>2027</v>
      </c>
      <c r="C1197" t="str">
        <f>VLOOKUP(B1197,CoreProteinGroups!$B:$C,2,FALSE)</f>
        <v>DNA topoisomerase</v>
      </c>
      <c r="D1197" t="s">
        <v>2085</v>
      </c>
      <c r="E1197" s="6" t="str">
        <f t="shared" si="18"/>
        <v>PROT:ABD97672.1</v>
      </c>
      <c r="F1197" t="s">
        <v>2086</v>
      </c>
      <c r="G1197" t="s">
        <v>99</v>
      </c>
      <c r="H1197" t="s">
        <v>2691</v>
      </c>
      <c r="I1197" t="str">
        <f>INDEX(Genomes!$I:$I,(MATCH(AllProteins!H1197,Genomes!$B:$B,0)))</f>
        <v>DQ437594-taterapox_virus</v>
      </c>
      <c r="J1197">
        <f>INDEX(Genomes!$A:$A,(MATCH(AllProteins!H1197,Genomes!$B:$B,0)))</f>
        <v>50</v>
      </c>
      <c r="K1197" t="str">
        <f>INDEX(Genomes!$J:$J,(MATCH(AllProteins!H1197,Genomes!$B:$B,0)))</f>
        <v>Y</v>
      </c>
    </row>
    <row r="1198" spans="1:11" x14ac:dyDescent="0.2">
      <c r="A1198">
        <f>INDEX(CoreProteinGroups!A:A,MATCH(B1198,CoreProteinGroups!B:B,0))</f>
        <v>21</v>
      </c>
      <c r="B1198" s="1" t="s">
        <v>2027</v>
      </c>
      <c r="C1198" t="str">
        <f>VLOOKUP(B1198,CoreProteinGroups!$B:$C,2,FALSE)</f>
        <v>DNA topoisomerase</v>
      </c>
      <c r="D1198" t="s">
        <v>2087</v>
      </c>
      <c r="E1198" s="6" t="str">
        <f t="shared" si="18"/>
        <v>PROT:AAO89383.1</v>
      </c>
      <c r="F1198" t="s">
        <v>2086</v>
      </c>
      <c r="G1198" t="s">
        <v>101</v>
      </c>
      <c r="H1198" t="s">
        <v>2693</v>
      </c>
      <c r="I1198" t="str">
        <f>INDEX(Genomes!$I:$I,(MATCH(AllProteins!H1198,Genomes!$B:$B,0)))</f>
        <v>AY243312-vaccinia_virus</v>
      </c>
      <c r="J1198">
        <f>INDEX(Genomes!$A:$A,(MATCH(AllProteins!H1198,Genomes!$B:$B,0)))</f>
        <v>52</v>
      </c>
      <c r="K1198" t="str">
        <f>INDEX(Genomes!$J:$J,(MATCH(AllProteins!H1198,Genomes!$B:$B,0)))</f>
        <v>Y</v>
      </c>
    </row>
    <row r="1199" spans="1:11" x14ac:dyDescent="0.2">
      <c r="A1199">
        <f>INDEX(CoreProteinGroups!A:A,MATCH(B1199,CoreProteinGroups!B:B,0))</f>
        <v>21</v>
      </c>
      <c r="B1199" s="1" t="s">
        <v>2027</v>
      </c>
      <c r="C1199" t="str">
        <f>VLOOKUP(B1199,CoreProteinGroups!$B:$C,2,FALSE)</f>
        <v>DNA topoisomerase</v>
      </c>
      <c r="D1199" t="s">
        <v>2088</v>
      </c>
      <c r="E1199" s="6" t="str">
        <f t="shared" si="18"/>
        <v>PROT:CAA49030.1</v>
      </c>
      <c r="F1199" t="s">
        <v>2089</v>
      </c>
      <c r="G1199" t="s">
        <v>2585</v>
      </c>
      <c r="H1199" t="s">
        <v>2694</v>
      </c>
      <c r="I1199" t="str">
        <f>INDEX(Genomes!$I:$I,(MATCH(AllProteins!H1199,Genomes!$B:$B,0)))</f>
        <v>X69198-variola_major_virus</v>
      </c>
      <c r="J1199">
        <f>INDEX(Genomes!$A:$A,(MATCH(AllProteins!H1199,Genomes!$B:$B,0)))</f>
        <v>53</v>
      </c>
      <c r="K1199" t="str">
        <f>INDEX(Genomes!$J:$J,(MATCH(AllProteins!H1199,Genomes!$B:$B,0)))</f>
        <v>Y</v>
      </c>
    </row>
    <row r="1200" spans="1:11" x14ac:dyDescent="0.2">
      <c r="A1200">
        <f>INDEX(CoreProteinGroups!A:A,MATCH(B1200,CoreProteinGroups!B:B,0))</f>
        <v>21</v>
      </c>
      <c r="B1200" s="1" t="s">
        <v>2027</v>
      </c>
      <c r="C1200" t="str">
        <f>VLOOKUP(B1200,CoreProteinGroups!$B:$C,2,FALSE)</f>
        <v>DNA topoisomerase</v>
      </c>
      <c r="D1200" t="s">
        <v>2090</v>
      </c>
      <c r="E1200" s="6" t="str">
        <f t="shared" si="18"/>
        <v>PROT:CAB54689.1</v>
      </c>
      <c r="F1200" t="s">
        <v>2091</v>
      </c>
      <c r="G1200" t="s">
        <v>106</v>
      </c>
      <c r="H1200" t="s">
        <v>2695</v>
      </c>
      <c r="I1200" t="str">
        <f>INDEX(Genomes!$I:$I,(MATCH(AllProteins!H1200,Genomes!$B:$B,0)))</f>
        <v>Y16780-variola_minor_virus</v>
      </c>
      <c r="J1200">
        <f>INDEX(Genomes!$A:$A,(MATCH(AllProteins!H1200,Genomes!$B:$B,0)))</f>
        <v>54</v>
      </c>
      <c r="K1200" t="str">
        <f>INDEX(Genomes!$J:$J,(MATCH(AllProteins!H1200,Genomes!$B:$B,0)))</f>
        <v>Y</v>
      </c>
    </row>
    <row r="1201" spans="1:11" x14ac:dyDescent="0.2">
      <c r="A1201">
        <f>INDEX(CoreProteinGroups!A:A,MATCH(B1201,CoreProteinGroups!B:B,0))</f>
        <v>21</v>
      </c>
      <c r="B1201" s="1" t="s">
        <v>2027</v>
      </c>
      <c r="C1201" t="str">
        <f>VLOOKUP(B1201,CoreProteinGroups!$B:$C,2,FALSE)</f>
        <v>DNA topoisomerase</v>
      </c>
      <c r="D1201" t="s">
        <v>2092</v>
      </c>
      <c r="E1201" s="6" t="str">
        <f t="shared" si="18"/>
        <v>PROT:AOP31793.1</v>
      </c>
      <c r="F1201" t="s">
        <v>2030</v>
      </c>
      <c r="G1201" t="s">
        <v>108</v>
      </c>
      <c r="H1201" t="s">
        <v>2696</v>
      </c>
      <c r="I1201" t="str">
        <f>INDEX(Genomes!$I:$I,(MATCH(AllProteins!H1201,Genomes!$B:$B,0)))</f>
        <v>KU749311-volepox_virus</v>
      </c>
      <c r="J1201">
        <f>INDEX(Genomes!$A:$A,(MATCH(AllProteins!H1201,Genomes!$B:$B,0)))</f>
        <v>55</v>
      </c>
      <c r="K1201" t="str">
        <f>INDEX(Genomes!$J:$J,(MATCH(AllProteins!H1201,Genomes!$B:$B,0)))</f>
        <v>Y</v>
      </c>
    </row>
    <row r="1202" spans="1:11" x14ac:dyDescent="0.2">
      <c r="A1202">
        <f>INDEX(CoreProteinGroups!A:A,MATCH(B1202,CoreProteinGroups!B:B,0))</f>
        <v>21</v>
      </c>
      <c r="B1202" s="1" t="s">
        <v>2027</v>
      </c>
      <c r="C1202" t="str">
        <f>VLOOKUP(B1202,CoreProteinGroups!$B:$C,2,FALSE)</f>
        <v>DNA topoisomerase</v>
      </c>
      <c r="D1202" t="s">
        <v>2093</v>
      </c>
      <c r="E1202" s="6" t="str">
        <f t="shared" si="18"/>
        <v>PROT:ASC55578.1</v>
      </c>
      <c r="F1202" t="s">
        <v>2094</v>
      </c>
      <c r="G1202" t="s">
        <v>111</v>
      </c>
      <c r="H1202" t="s">
        <v>2667</v>
      </c>
      <c r="I1202" t="str">
        <f>INDEX(Genomes!$I:$I,(MATCH(AllProteins!H1202,Genomes!$B:$B,0)))</f>
        <v>KY382358-seal_parapoxvirus</v>
      </c>
      <c r="J1202">
        <f>INDEX(Genomes!$A:$A,(MATCH(AllProteins!H1202,Genomes!$B:$B,0)))</f>
        <v>22</v>
      </c>
      <c r="K1202" t="str">
        <f>INDEX(Genomes!$J:$J,(MATCH(AllProteins!H1202,Genomes!$B:$B,0)))</f>
        <v>Y</v>
      </c>
    </row>
    <row r="1203" spans="1:11" x14ac:dyDescent="0.2">
      <c r="A1203">
        <f>INDEX(CoreProteinGroups!A:A,MATCH(B1203,CoreProteinGroups!B:B,0))</f>
        <v>21</v>
      </c>
      <c r="B1203" s="1" t="s">
        <v>2027</v>
      </c>
      <c r="C1203" t="str">
        <f>VLOOKUP(B1203,CoreProteinGroups!$B:$C,2,FALSE)</f>
        <v>DNA topoisomerase</v>
      </c>
      <c r="D1203" t="s">
        <v>2095</v>
      </c>
      <c r="E1203" s="6" t="str">
        <f t="shared" si="18"/>
        <v>PROT:AAR98419.1</v>
      </c>
      <c r="F1203" t="s">
        <v>2096</v>
      </c>
      <c r="G1203" t="s">
        <v>114</v>
      </c>
      <c r="H1203" t="s">
        <v>2652</v>
      </c>
      <c r="I1203" t="str">
        <f>INDEX(Genomes!$I:$I,(MATCH(AllProteins!H1203,Genomes!$B:$B,0)))</f>
        <v>AY386265-bovine_papular_stomatitis_virus</v>
      </c>
      <c r="J1203">
        <f>INDEX(Genomes!$A:$A,(MATCH(AllProteins!H1203,Genomes!$B:$B,0)))</f>
        <v>6</v>
      </c>
      <c r="K1203" t="str">
        <f>INDEX(Genomes!$J:$J,(MATCH(AllProteins!H1203,Genomes!$B:$B,0)))</f>
        <v>Y</v>
      </c>
    </row>
    <row r="1204" spans="1:11" x14ac:dyDescent="0.2">
      <c r="A1204">
        <f>INDEX(CoreProteinGroups!A:A,MATCH(B1204,CoreProteinGroups!B:B,0))</f>
        <v>21</v>
      </c>
      <c r="B1204" s="1" t="s">
        <v>2027</v>
      </c>
      <c r="C1204" t="str">
        <f>VLOOKUP(B1204,CoreProteinGroups!$B:$C,2,FALSE)</f>
        <v>DNA topoisomerase</v>
      </c>
      <c r="D1204" t="s">
        <v>2097</v>
      </c>
      <c r="E1204" s="6" t="str">
        <f t="shared" si="18"/>
        <v>PROT:AAR98287.1</v>
      </c>
      <c r="F1204" t="s">
        <v>2096</v>
      </c>
      <c r="G1204" t="s">
        <v>2702</v>
      </c>
      <c r="H1204" t="s">
        <v>2678</v>
      </c>
      <c r="I1204" t="str">
        <f>INDEX(Genomes!$I:$I,(MATCH(AllProteins!H1204,Genomes!$B:$B,0)))</f>
        <v>AY386264-orf_virus</v>
      </c>
      <c r="J1204">
        <f>INDEX(Genomes!$A:$A,(MATCH(AllProteins!H1204,Genomes!$B:$B,0)))</f>
        <v>35</v>
      </c>
      <c r="K1204" t="str">
        <f>INDEX(Genomes!$J:$J,(MATCH(AllProteins!H1204,Genomes!$B:$B,0)))</f>
        <v>Y</v>
      </c>
    </row>
    <row r="1205" spans="1:11" x14ac:dyDescent="0.2">
      <c r="A1205">
        <f>INDEX(CoreProteinGroups!A:A,MATCH(B1205,CoreProteinGroups!B:B,0))</f>
        <v>21</v>
      </c>
      <c r="B1205" s="1" t="s">
        <v>2027</v>
      </c>
      <c r="C1205" t="str">
        <f>VLOOKUP(B1205,CoreProteinGroups!$B:$C,2,FALSE)</f>
        <v>DNA topoisomerase</v>
      </c>
      <c r="D1205" t="s">
        <v>2098</v>
      </c>
      <c r="E1205" s="6" t="str">
        <f t="shared" si="18"/>
        <v>PROT:ABA00579.1</v>
      </c>
      <c r="F1205" t="s">
        <v>2099</v>
      </c>
      <c r="G1205" t="s">
        <v>2555</v>
      </c>
      <c r="H1205" t="s">
        <v>2645</v>
      </c>
      <c r="I1205" t="str">
        <f>INDEX(Genomes!$I:$I,(MATCH(AllProteins!H1205,Genomes!$B:$B,0)))</f>
        <v>DQ184476-orf_virus_strain_NZ2</v>
      </c>
      <c r="J1205">
        <f>INDEX(Genomes!$A:$A,(MATCH(AllProteins!H1205,Genomes!$B:$B,0)))</f>
        <v>36</v>
      </c>
      <c r="K1205" t="str">
        <f>INDEX(Genomes!$J:$J,(MATCH(AllProteins!H1205,Genomes!$B:$B,0)))</f>
        <v>N</v>
      </c>
    </row>
    <row r="1206" spans="1:11" x14ac:dyDescent="0.2">
      <c r="A1206">
        <f>INDEX(CoreProteinGroups!A:A,MATCH(B1206,CoreProteinGroups!B:B,0))</f>
        <v>21</v>
      </c>
      <c r="B1206" s="1" t="s">
        <v>2027</v>
      </c>
      <c r="C1206" t="str">
        <f>VLOOKUP(B1206,CoreProteinGroups!$B:$C,2,FALSE)</f>
        <v>DNA topoisomerase</v>
      </c>
      <c r="D1206" t="s">
        <v>2100</v>
      </c>
      <c r="E1206" s="6" t="str">
        <f t="shared" si="18"/>
        <v>PROT:AIZ77313.1</v>
      </c>
      <c r="F1206" t="s">
        <v>2101</v>
      </c>
      <c r="G1206" t="s">
        <v>119</v>
      </c>
      <c r="H1206" t="s">
        <v>2684</v>
      </c>
      <c r="I1206" t="str">
        <f>INDEX(Genomes!$I:$I,(MATCH(AllProteins!H1206,Genomes!$B:$B,0)))</f>
        <v>KM502564-parapoxvirus_red_deer</v>
      </c>
      <c r="J1206">
        <f>INDEX(Genomes!$A:$A,(MATCH(AllProteins!H1206,Genomes!$B:$B,0)))</f>
        <v>42</v>
      </c>
      <c r="K1206" t="str">
        <f>INDEX(Genomes!$J:$J,(MATCH(AllProteins!H1206,Genomes!$B:$B,0)))</f>
        <v>Y</v>
      </c>
    </row>
    <row r="1207" spans="1:11" x14ac:dyDescent="0.2">
      <c r="A1207">
        <f>INDEX(CoreProteinGroups!A:A,MATCH(B1207,CoreProteinGroups!B:B,0))</f>
        <v>21</v>
      </c>
      <c r="B1207" s="1" t="s">
        <v>2027</v>
      </c>
      <c r="C1207" t="str">
        <f>VLOOKUP(B1207,CoreProteinGroups!$B:$C,2,FALSE)</f>
        <v>DNA topoisomerase</v>
      </c>
      <c r="D1207" t="s">
        <v>2102</v>
      </c>
      <c r="E1207" s="6" t="str">
        <f t="shared" si="18"/>
        <v>PROT:ADC53963.1</v>
      </c>
      <c r="F1207" t="s">
        <v>2099</v>
      </c>
      <c r="G1207" t="s">
        <v>121</v>
      </c>
      <c r="H1207" t="s">
        <v>2679</v>
      </c>
      <c r="I1207" t="str">
        <f>INDEX(Genomes!$I:$I,(MATCH(AllProteins!H1207,Genomes!$B:$B,0)))</f>
        <v>GQ329670-pseudocowpox_virus</v>
      </c>
      <c r="J1207">
        <f>INDEX(Genomes!$A:$A,(MATCH(AllProteins!H1207,Genomes!$B:$B,0)))</f>
        <v>37</v>
      </c>
      <c r="K1207" t="str">
        <f>INDEX(Genomes!$J:$J,(MATCH(AllProteins!H1207,Genomes!$B:$B,0)))</f>
        <v>Y</v>
      </c>
    </row>
    <row r="1208" spans="1:11" x14ac:dyDescent="0.2">
      <c r="A1208">
        <f>INDEX(CoreProteinGroups!A:A,MATCH(B1208,CoreProteinGroups!B:B,0))</f>
        <v>21</v>
      </c>
      <c r="B1208" s="1" t="s">
        <v>2027</v>
      </c>
      <c r="C1208" t="str">
        <f>VLOOKUP(B1208,CoreProteinGroups!$B:$C,2,FALSE)</f>
        <v>DNA topoisomerase</v>
      </c>
      <c r="D1208" t="s">
        <v>2103</v>
      </c>
      <c r="E1208" s="6" t="str">
        <f t="shared" si="18"/>
        <v>PROT:AAL69813.1</v>
      </c>
      <c r="F1208" t="s">
        <v>2104</v>
      </c>
      <c r="G1208" t="s">
        <v>124</v>
      </c>
      <c r="H1208" t="s">
        <v>2690</v>
      </c>
      <c r="I1208" t="str">
        <f>INDEX(Genomes!$I:$I,(MATCH(AllProteins!H1208,Genomes!$B:$B,0)))</f>
        <v>AF410153-swinepox_virus</v>
      </c>
      <c r="J1208">
        <f>INDEX(Genomes!$A:$A,(MATCH(AllProteins!H1208,Genomes!$B:$B,0)))</f>
        <v>49</v>
      </c>
      <c r="K1208" t="str">
        <f>INDEX(Genomes!$J:$J,(MATCH(AllProteins!H1208,Genomes!$B:$B,0)))</f>
        <v>Y</v>
      </c>
    </row>
    <row r="1209" spans="1:11" x14ac:dyDescent="0.2">
      <c r="A1209">
        <f>INDEX(CoreProteinGroups!A:A,MATCH(B1209,CoreProteinGroups!B:B,0))</f>
        <v>21</v>
      </c>
      <c r="B1209" s="1" t="s">
        <v>2027</v>
      </c>
      <c r="C1209" t="str">
        <f>VLOOKUP(B1209,CoreProteinGroups!$B:$C,2,FALSE)</f>
        <v>DNA topoisomerase</v>
      </c>
      <c r="D1209" t="s">
        <v>2105</v>
      </c>
      <c r="E1209" s="6" t="str">
        <f t="shared" si="18"/>
        <v>PROT:CAC21315.1</v>
      </c>
      <c r="F1209" t="s">
        <v>2106</v>
      </c>
      <c r="G1209" t="s">
        <v>127</v>
      </c>
      <c r="H1209" t="s">
        <v>2699</v>
      </c>
      <c r="I1209" t="str">
        <f>INDEX(Genomes!$I:$I,(MATCH(AllProteins!H1209,Genomes!$B:$B,0)))</f>
        <v>AJ293568-tanapox_virus</v>
      </c>
      <c r="J1209">
        <f>INDEX(Genomes!$A:$A,(MATCH(AllProteins!H1209,Genomes!$B:$B,0)))</f>
        <v>58</v>
      </c>
      <c r="K1209" t="str">
        <f>INDEX(Genomes!$J:$J,(MATCH(AllProteins!H1209,Genomes!$B:$B,0)))</f>
        <v>Y</v>
      </c>
    </row>
    <row r="1210" spans="1:11" x14ac:dyDescent="0.2">
      <c r="A1210">
        <f>INDEX(CoreProteinGroups!A:A,MATCH(B1210,CoreProteinGroups!B:B,0))</f>
        <v>21</v>
      </c>
      <c r="B1210" s="1" t="s">
        <v>2027</v>
      </c>
      <c r="C1210" t="str">
        <f>VLOOKUP(B1210,CoreProteinGroups!$B:$C,2,FALSE)</f>
        <v>DNA topoisomerase</v>
      </c>
      <c r="D1210" t="s">
        <v>2107</v>
      </c>
      <c r="E1210" s="6" t="str">
        <f t="shared" si="18"/>
        <v>PROT:AAR07433.1</v>
      </c>
      <c r="F1210" t="s">
        <v>2108</v>
      </c>
      <c r="G1210" t="s">
        <v>130</v>
      </c>
      <c r="H1210" t="s">
        <v>2700</v>
      </c>
      <c r="I1210" t="str">
        <f>INDEX(Genomes!$I:$I,(MATCH(AllProteins!H1210,Genomes!$B:$B,0)))</f>
        <v>AY386371-Yaba_monkey_tumor_virus</v>
      </c>
      <c r="J1210">
        <f>INDEX(Genomes!$A:$A,(MATCH(AllProteins!H1210,Genomes!$B:$B,0)))</f>
        <v>59</v>
      </c>
      <c r="K1210" t="str">
        <f>INDEX(Genomes!$J:$J,(MATCH(AllProteins!H1210,Genomes!$B:$B,0)))</f>
        <v>Y</v>
      </c>
    </row>
    <row r="1211" spans="1:11" x14ac:dyDescent="0.2">
      <c r="A1211">
        <f>INDEX(CoreProteinGroups!A:A,MATCH(B1211,CoreProteinGroups!B:B,0))</f>
        <v>21</v>
      </c>
      <c r="B1211" s="1" t="s">
        <v>2027</v>
      </c>
      <c r="C1211" t="str">
        <f>VLOOKUP(B1211,CoreProteinGroups!$B:$C,2,FALSE)</f>
        <v>DNA topoisomerase</v>
      </c>
      <c r="D1211" t="s">
        <v>2109</v>
      </c>
      <c r="E1211" s="6" t="str">
        <f t="shared" si="18"/>
        <v>PROT:AAC97665.1</v>
      </c>
      <c r="F1211" t="s">
        <v>2110</v>
      </c>
      <c r="G1211" t="s">
        <v>133</v>
      </c>
      <c r="H1211" t="s">
        <v>2674</v>
      </c>
      <c r="I1211" t="str">
        <f>INDEX(Genomes!$I:$I,(MATCH(AllProteins!H1211,Genomes!$B:$B,0)))</f>
        <v>AF063866-Melanoplus_sanguinipes_entomopoxvirus</v>
      </c>
      <c r="J1211">
        <f>INDEX(Genomes!$A:$A,(MATCH(AllProteins!H1211,Genomes!$B:$B,0)))</f>
        <v>30</v>
      </c>
      <c r="K1211" t="str">
        <f>INDEX(Genomes!$J:$J,(MATCH(AllProteins!H1211,Genomes!$B:$B,0)))</f>
        <v>Y</v>
      </c>
    </row>
    <row r="1212" spans="1:11" x14ac:dyDescent="0.2">
      <c r="A1212">
        <f>INDEX(CoreProteinGroups!A:A,MATCH(B1212,CoreProteinGroups!B:B,0))</f>
        <v>21</v>
      </c>
      <c r="B1212" s="1" t="s">
        <v>2027</v>
      </c>
      <c r="C1212" t="str">
        <f>VLOOKUP(B1212,CoreProteinGroups!$B:$C,2,FALSE)</f>
        <v>DNA topoisomerase</v>
      </c>
      <c r="D1212" t="s">
        <v>2111</v>
      </c>
      <c r="E1212" s="6" t="str">
        <f t="shared" si="18"/>
        <v>PROT:BAO49512.1</v>
      </c>
      <c r="F1212" t="s">
        <v>2030</v>
      </c>
      <c r="G1212" t="s">
        <v>136</v>
      </c>
      <c r="H1212" t="s">
        <v>2648</v>
      </c>
      <c r="I1212" t="str">
        <f>INDEX(Genomes!$I:$I,(MATCH(AllProteins!H1212,Genomes!$B:$B,0)))</f>
        <v>AP013055-Anomala_cuprea_entomopoxvirus</v>
      </c>
      <c r="J1212">
        <f>INDEX(Genomes!$A:$A,(MATCH(AllProteins!H1212,Genomes!$B:$B,0)))</f>
        <v>2</v>
      </c>
      <c r="K1212" t="str">
        <f>INDEX(Genomes!$J:$J,(MATCH(AllProteins!H1212,Genomes!$B:$B,0)))</f>
        <v>Y</v>
      </c>
    </row>
    <row r="1213" spans="1:11" x14ac:dyDescent="0.2">
      <c r="A1213">
        <f>INDEX(CoreProteinGroups!A:A,MATCH(B1213,CoreProteinGroups!B:B,0))</f>
        <v>21</v>
      </c>
      <c r="B1213" s="1" t="s">
        <v>2027</v>
      </c>
      <c r="C1213" t="str">
        <f>VLOOKUP(B1213,CoreProteinGroups!$B:$C,2,FALSE)</f>
        <v>DNA topoisomerase</v>
      </c>
      <c r="D1213" t="s">
        <v>2112</v>
      </c>
      <c r="E1213" s="6" t="str">
        <f t="shared" si="18"/>
        <v>PROT:CCU55373.1</v>
      </c>
      <c r="F1213" t="s">
        <v>2083</v>
      </c>
      <c r="G1213" t="s">
        <v>138</v>
      </c>
      <c r="H1213" t="s">
        <v>2649</v>
      </c>
      <c r="I1213" t="str">
        <f>INDEX(Genomes!$I:$I,(MATCH(AllProteins!H1213,Genomes!$B:$B,0)))</f>
        <v>HF679131-Adoxophyes_honmai_entomopoxvirus</v>
      </c>
      <c r="J1213">
        <f>INDEX(Genomes!$A:$A,(MATCH(AllProteins!H1213,Genomes!$B:$B,0)))</f>
        <v>3</v>
      </c>
      <c r="K1213" t="str">
        <f>INDEX(Genomes!$J:$J,(MATCH(AllProteins!H1213,Genomes!$B:$B,0)))</f>
        <v>Y</v>
      </c>
    </row>
    <row r="1214" spans="1:11" x14ac:dyDescent="0.2">
      <c r="A1214">
        <f>INDEX(CoreProteinGroups!A:A,MATCH(B1214,CoreProteinGroups!B:B,0))</f>
        <v>21</v>
      </c>
      <c r="B1214" s="1" t="s">
        <v>2027</v>
      </c>
      <c r="C1214" t="str">
        <f>VLOOKUP(B1214,CoreProteinGroups!$B:$C,2,FALSE)</f>
        <v>DNA topoisomerase</v>
      </c>
      <c r="D1214" t="s">
        <v>2113</v>
      </c>
      <c r="E1214" s="6" t="str">
        <f t="shared" si="18"/>
        <v>PROT:AAG02758.1</v>
      </c>
      <c r="F1214" t="s">
        <v>2114</v>
      </c>
      <c r="G1214" t="s">
        <v>141</v>
      </c>
      <c r="H1214" t="s">
        <v>2651</v>
      </c>
      <c r="I1214" t="str">
        <f>INDEX(Genomes!$I:$I,(MATCH(AllProteins!H1214,Genomes!$B:$B,0)))</f>
        <v>AF250284-Amsacta_moorei_entomopoxvirus</v>
      </c>
      <c r="J1214">
        <f>INDEX(Genomes!$A:$A,(MATCH(AllProteins!H1214,Genomes!$B:$B,0)))</f>
        <v>5</v>
      </c>
      <c r="K1214" t="str">
        <f>INDEX(Genomes!$J:$J,(MATCH(AllProteins!H1214,Genomes!$B:$B,0)))</f>
        <v>Y</v>
      </c>
    </row>
    <row r="1215" spans="1:11" x14ac:dyDescent="0.2">
      <c r="A1215">
        <f>INDEX(CoreProteinGroups!A:A,MATCH(B1215,CoreProteinGroups!B:B,0))</f>
        <v>21</v>
      </c>
      <c r="B1215" s="1" t="s">
        <v>2027</v>
      </c>
      <c r="C1215" t="str">
        <f>VLOOKUP(B1215,CoreProteinGroups!$B:$C,2,FALSE)</f>
        <v>DNA topoisomerase</v>
      </c>
      <c r="D1215" t="s">
        <v>2115</v>
      </c>
      <c r="E1215" s="6" t="str">
        <f t="shared" si="18"/>
        <v>PROT:CCU55663.1</v>
      </c>
      <c r="F1215" t="s">
        <v>2083</v>
      </c>
      <c r="G1215" t="s">
        <v>143</v>
      </c>
      <c r="H1215" t="s">
        <v>2656</v>
      </c>
      <c r="I1215" t="str">
        <f>INDEX(Genomes!$I:$I,(MATCH(AllProteins!H1215,Genomes!$B:$B,0)))</f>
        <v>HF679132-Choristoneura_biennis_entomopoxvirus</v>
      </c>
      <c r="J1215">
        <f>INDEX(Genomes!$A:$A,(MATCH(AllProteins!H1215,Genomes!$B:$B,0)))</f>
        <v>10</v>
      </c>
      <c r="K1215" t="str">
        <f>INDEX(Genomes!$J:$J,(MATCH(AllProteins!H1215,Genomes!$B:$B,0)))</f>
        <v>Y</v>
      </c>
    </row>
    <row r="1216" spans="1:11" x14ac:dyDescent="0.2">
      <c r="A1216">
        <f>INDEX(CoreProteinGroups!A:A,MATCH(B1216,CoreProteinGroups!B:B,0))</f>
        <v>21</v>
      </c>
      <c r="B1216" s="1" t="s">
        <v>2027</v>
      </c>
      <c r="C1216" t="str">
        <f>VLOOKUP(B1216,CoreProteinGroups!$B:$C,2,FALSE)</f>
        <v>DNA topoisomerase</v>
      </c>
      <c r="D1216" t="s">
        <v>2116</v>
      </c>
      <c r="E1216" s="6" t="str">
        <f t="shared" si="18"/>
        <v>PROT:CCU55973.1</v>
      </c>
      <c r="F1216" t="s">
        <v>2083</v>
      </c>
      <c r="G1216" t="s">
        <v>145</v>
      </c>
      <c r="H1216" t="s">
        <v>2660</v>
      </c>
      <c r="I1216" t="str">
        <f>INDEX(Genomes!$I:$I,(MATCH(AllProteins!H1216,Genomes!$B:$B,0)))</f>
        <v>HF679133-Choristoneura_rosaceana_entomopoxvirus</v>
      </c>
      <c r="J1216">
        <f>INDEX(Genomes!$A:$A,(MATCH(AllProteins!H1216,Genomes!$B:$B,0)))</f>
        <v>14</v>
      </c>
      <c r="K1216" t="str">
        <f>INDEX(Genomes!$J:$J,(MATCH(AllProteins!H1216,Genomes!$B:$B,0)))</f>
        <v>Y</v>
      </c>
    </row>
    <row r="1217" spans="1:11" x14ac:dyDescent="0.2">
      <c r="A1217">
        <f>INDEX(CoreProteinGroups!A:A,MATCH(B1217,CoreProteinGroups!B:B,0))</f>
        <v>21</v>
      </c>
      <c r="B1217" s="1" t="s">
        <v>2027</v>
      </c>
      <c r="C1217" t="str">
        <f>VLOOKUP(B1217,CoreProteinGroups!$B:$C,2,FALSE)</f>
        <v>DNA topoisomerase</v>
      </c>
      <c r="D1217" t="s">
        <v>2117</v>
      </c>
      <c r="E1217" s="6" t="str">
        <f t="shared" si="18"/>
        <v>PROT:CCU56275.1</v>
      </c>
      <c r="F1217" t="s">
        <v>2083</v>
      </c>
      <c r="G1217" t="s">
        <v>147</v>
      </c>
      <c r="H1217" t="s">
        <v>2675</v>
      </c>
      <c r="I1217" t="str">
        <f>INDEX(Genomes!$I:$I,(MATCH(AllProteins!H1217,Genomes!$B:$B,0)))</f>
        <v>HF679134-Mythimna_separata_entomopoxvirus</v>
      </c>
      <c r="J1217">
        <f>INDEX(Genomes!$A:$A,(MATCH(AllProteins!H1217,Genomes!$B:$B,0)))</f>
        <v>31</v>
      </c>
      <c r="K1217" t="str">
        <f>INDEX(Genomes!$J:$J,(MATCH(AllProteins!H1217,Genomes!$B:$B,0)))</f>
        <v>Y</v>
      </c>
    </row>
    <row r="1218" spans="1:11" x14ac:dyDescent="0.2">
      <c r="A1218">
        <f>INDEX(CoreProteinGroups!A:A,MATCH(B1218,CoreProteinGroups!B:B,0))</f>
        <v>21</v>
      </c>
      <c r="B1218" s="1" t="s">
        <v>2027</v>
      </c>
      <c r="C1218" t="str">
        <f>VLOOKUP(B1218,CoreProteinGroups!$B:$C,2,FALSE)</f>
        <v>DNA topoisomerase</v>
      </c>
      <c r="D1218" t="s">
        <v>2118</v>
      </c>
      <c r="E1218" s="6" t="str">
        <f t="shared" ref="E1218:E1281" si="19">HYPERLINK(_xlfn.CONCAT("https://www.ncbi.nlm.nih.gov/protein/",D1218),_xlfn.CONCAT("PROT:",D1218))</f>
        <v>PROT:NP_659649.1</v>
      </c>
      <c r="F1218" t="s">
        <v>2028</v>
      </c>
      <c r="G1218" t="s">
        <v>150</v>
      </c>
      <c r="H1218" t="s">
        <v>2620</v>
      </c>
      <c r="I1218" t="str">
        <f>INDEX(Genomes!$I:$I,(MATCH(AllProteins!H1218,Genomes!$B:$B,0)))</f>
        <v>NC_004002-sheeppox_virus</v>
      </c>
      <c r="J1218">
        <f>INDEX(Genomes!$A:$A,(MATCH(AllProteins!H1218,Genomes!$B:$B,0)))</f>
        <v>44</v>
      </c>
      <c r="K1218" t="str">
        <f>INDEX(Genomes!$J:$J,(MATCH(AllProteins!H1218,Genomes!$B:$B,0)))</f>
        <v>Y</v>
      </c>
    </row>
    <row r="1219" spans="1:11" x14ac:dyDescent="0.2">
      <c r="A1219">
        <f>INDEX(CoreProteinGroups!A:A,MATCH(B1219,CoreProteinGroups!B:B,0))</f>
        <v>21</v>
      </c>
      <c r="B1219" s="1" t="s">
        <v>2027</v>
      </c>
      <c r="C1219" t="str">
        <f>VLOOKUP(B1219,CoreProteinGroups!$B:$C,2,FALSE)</f>
        <v>DNA topoisomerase</v>
      </c>
      <c r="D1219" t="s">
        <v>2119</v>
      </c>
      <c r="E1219" s="6" t="str">
        <f t="shared" si="19"/>
        <v>PROT:YP_001293268.1</v>
      </c>
      <c r="F1219" t="s">
        <v>2120</v>
      </c>
      <c r="G1219" t="s">
        <v>153</v>
      </c>
      <c r="H1219" t="s">
        <v>2644</v>
      </c>
      <c r="I1219" t="str">
        <f>INDEX(Genomes!$I:$I,(MATCH(AllProteins!H1219,Genomes!$B:$B,0)))</f>
        <v>NC_004003-goatpox_virus</v>
      </c>
      <c r="J1219">
        <f>INDEX(Genomes!$A:$A,(MATCH(AllProteins!H1219,Genomes!$B:$B,0)))</f>
        <v>23</v>
      </c>
      <c r="K1219" t="str">
        <f>INDEX(Genomes!$J:$J,(MATCH(AllProteins!H1219,Genomes!$B:$B,0)))</f>
        <v>Y</v>
      </c>
    </row>
    <row r="1220" spans="1:11" x14ac:dyDescent="0.2">
      <c r="A1220">
        <f>INDEX(CoreProteinGroups!A:A,MATCH(B1220,CoreProteinGroups!B:B,0))</f>
        <v>22</v>
      </c>
      <c r="B1220" s="1" t="s">
        <v>2121</v>
      </c>
      <c r="C1220" t="str">
        <f>VLOOKUP(B1220,CoreProteinGroups!$B:$C,2,FALSE)</f>
        <v>NPH-II</v>
      </c>
      <c r="D1220" t="s">
        <v>2123</v>
      </c>
      <c r="E1220" s="6" t="str">
        <f t="shared" si="19"/>
        <v>PROT:ATI21157.1</v>
      </c>
      <c r="F1220" t="s">
        <v>2124</v>
      </c>
      <c r="G1220" t="s">
        <v>11</v>
      </c>
      <c r="H1220" t="s">
        <v>2663</v>
      </c>
      <c r="I1220" t="str">
        <f>INDEX(Genomes!$I:$I,(MATCH(AllProteins!H1220,Genomes!$B:$B,0)))</f>
        <v>MF467281-Eastern_grey_kangaroopox_virus</v>
      </c>
      <c r="J1220">
        <f>INDEX(Genomes!$A:$A,(MATCH(AllProteins!H1220,Genomes!$B:$B,0)))</f>
        <v>18</v>
      </c>
      <c r="K1220" t="str">
        <f>INDEX(Genomes!$J:$J,(MATCH(AllProteins!H1220,Genomes!$B:$B,0)))</f>
        <v>Y</v>
      </c>
    </row>
    <row r="1221" spans="1:11" x14ac:dyDescent="0.2">
      <c r="A1221">
        <f>INDEX(CoreProteinGroups!A:A,MATCH(B1221,CoreProteinGroups!B:B,0))</f>
        <v>22</v>
      </c>
      <c r="B1221" s="1" t="s">
        <v>2121</v>
      </c>
      <c r="C1221" t="str">
        <f>VLOOKUP(B1221,CoreProteinGroups!$B:$C,2,FALSE)</f>
        <v>NPH-II</v>
      </c>
      <c r="D1221" t="s">
        <v>2125</v>
      </c>
      <c r="E1221" s="6" t="str">
        <f t="shared" si="19"/>
        <v>PROT:AWU47094.1</v>
      </c>
      <c r="F1221" t="s">
        <v>2126</v>
      </c>
      <c r="G1221" t="s">
        <v>13</v>
      </c>
      <c r="H1221" t="s">
        <v>2688</v>
      </c>
      <c r="I1221" t="str">
        <f>INDEX(Genomes!$I:$I,(MATCH(AllProteins!H1221,Genomes!$B:$B,0)))</f>
        <v>MH427217-sea_otter_poxvirus</v>
      </c>
      <c r="J1221">
        <f>INDEX(Genomes!$A:$A,(MATCH(AllProteins!H1221,Genomes!$B:$B,0)))</f>
        <v>47</v>
      </c>
      <c r="K1221" t="str">
        <f>INDEX(Genomes!$J:$J,(MATCH(AllProteins!H1221,Genomes!$B:$B,0)))</f>
        <v>Y</v>
      </c>
    </row>
    <row r="1222" spans="1:11" x14ac:dyDescent="0.2">
      <c r="A1222">
        <f>INDEX(CoreProteinGroups!A:A,MATCH(B1222,CoreProteinGroups!B:B,0))</f>
        <v>22</v>
      </c>
      <c r="B1222" s="1" t="s">
        <v>2121</v>
      </c>
      <c r="C1222" t="str">
        <f>VLOOKUP(B1222,CoreProteinGroups!$B:$C,2,FALSE)</f>
        <v>NPH-II</v>
      </c>
      <c r="D1222" t="s">
        <v>2127</v>
      </c>
      <c r="E1222" s="6" t="str">
        <f t="shared" si="19"/>
        <v>PROT:APG58264.1</v>
      </c>
      <c r="F1222" t="s">
        <v>2128</v>
      </c>
      <c r="G1222" t="s">
        <v>16</v>
      </c>
      <c r="H1222" t="s">
        <v>2653</v>
      </c>
      <c r="I1222" t="str">
        <f>INDEX(Genomes!$I:$I,(MATCH(AllProteins!H1222,Genomes!$B:$B,0)))</f>
        <v>KY094066-BeAn_58058_virus</v>
      </c>
      <c r="J1222">
        <f>INDEX(Genomes!$A:$A,(MATCH(AllProteins!H1222,Genomes!$B:$B,0)))</f>
        <v>7</v>
      </c>
      <c r="K1222" t="str">
        <f>INDEX(Genomes!$J:$J,(MATCH(AllProteins!H1222,Genomes!$B:$B,0)))</f>
        <v>N</v>
      </c>
    </row>
    <row r="1223" spans="1:11" x14ac:dyDescent="0.2">
      <c r="A1223">
        <f>INDEX(CoreProteinGroups!A:A,MATCH(B1223,CoreProteinGroups!B:B,0))</f>
        <v>22</v>
      </c>
      <c r="B1223" s="1" t="s">
        <v>2121</v>
      </c>
      <c r="C1223" t="str">
        <f>VLOOKUP(B1223,CoreProteinGroups!$B:$C,2,FALSE)</f>
        <v>NPH-II</v>
      </c>
      <c r="D1223" t="s">
        <v>2129</v>
      </c>
      <c r="E1223" s="6" t="str">
        <f t="shared" si="19"/>
        <v>PROT:ADT91081.1</v>
      </c>
      <c r="F1223" t="s">
        <v>2128</v>
      </c>
      <c r="G1223" t="s">
        <v>19</v>
      </c>
      <c r="H1223" t="s">
        <v>2658</v>
      </c>
      <c r="I1223" t="str">
        <f>INDEX(Genomes!$I:$I,(MATCH(AllProteins!H1223,Genomes!$B:$B,0)))</f>
        <v>HQ647181-Cotia_virus</v>
      </c>
      <c r="J1223">
        <f>INDEX(Genomes!$A:$A,(MATCH(AllProteins!H1223,Genomes!$B:$B,0)))</f>
        <v>12</v>
      </c>
      <c r="K1223" t="str">
        <f>INDEX(Genomes!$J:$J,(MATCH(AllProteins!H1223,Genomes!$B:$B,0)))</f>
        <v>Y</v>
      </c>
    </row>
    <row r="1224" spans="1:11" x14ac:dyDescent="0.2">
      <c r="A1224">
        <f>INDEX(CoreProteinGroups!A:A,MATCH(B1224,CoreProteinGroups!B:B,0))</f>
        <v>22</v>
      </c>
      <c r="B1224" s="1" t="s">
        <v>2121</v>
      </c>
      <c r="C1224" t="str">
        <f>VLOOKUP(B1224,CoreProteinGroups!$B:$C,2,FALSE)</f>
        <v>NPH-II</v>
      </c>
      <c r="D1224" t="s">
        <v>2130</v>
      </c>
      <c r="E1224" s="6" t="str">
        <f t="shared" si="19"/>
        <v>PROT:ANS71138.1</v>
      </c>
      <c r="F1224" t="s">
        <v>2131</v>
      </c>
      <c r="G1224" t="s">
        <v>21</v>
      </c>
      <c r="H1224" t="s">
        <v>2682</v>
      </c>
      <c r="I1224" t="str">
        <f>INDEX(Genomes!$I:$I,(MATCH(AllProteins!H1224,Genomes!$B:$B,0)))</f>
        <v>KU980965-pteropox_virus</v>
      </c>
      <c r="J1224">
        <f>INDEX(Genomes!$A:$A,(MATCH(AllProteins!H1224,Genomes!$B:$B,0)))</f>
        <v>40</v>
      </c>
      <c r="K1224" t="str">
        <f>INDEX(Genomes!$J:$J,(MATCH(AllProteins!H1224,Genomes!$B:$B,0)))</f>
        <v>Y</v>
      </c>
    </row>
    <row r="1225" spans="1:11" x14ac:dyDescent="0.2">
      <c r="A1225">
        <f>INDEX(CoreProteinGroups!A:A,MATCH(B1225,CoreProteinGroups!B:B,0))</f>
        <v>22</v>
      </c>
      <c r="B1225" s="1" t="s">
        <v>2121</v>
      </c>
      <c r="C1225" t="str">
        <f>VLOOKUP(B1225,CoreProteinGroups!$B:$C,2,FALSE)</f>
        <v>NPH-II</v>
      </c>
      <c r="D1225" t="s">
        <v>2132</v>
      </c>
      <c r="E1225" s="6" t="str">
        <f t="shared" si="19"/>
        <v>PROT:AKR04274.1</v>
      </c>
      <c r="F1225" t="s">
        <v>2133</v>
      </c>
      <c r="G1225" t="s">
        <v>24</v>
      </c>
      <c r="H1225" t="s">
        <v>2687</v>
      </c>
      <c r="I1225" t="str">
        <f>INDEX(Genomes!$I:$I,(MATCH(AllProteins!H1225,Genomes!$B:$B,0)))</f>
        <v>KT159937-salmon_gill_poxvirus</v>
      </c>
      <c r="J1225">
        <f>INDEX(Genomes!$A:$A,(MATCH(AllProteins!H1225,Genomes!$B:$B,0)))</f>
        <v>46</v>
      </c>
      <c r="K1225" t="str">
        <f>INDEX(Genomes!$J:$J,(MATCH(AllProteins!H1225,Genomes!$B:$B,0)))</f>
        <v>Y</v>
      </c>
    </row>
    <row r="1226" spans="1:11" x14ac:dyDescent="0.2">
      <c r="A1226">
        <f>INDEX(CoreProteinGroups!A:A,MATCH(B1226,CoreProteinGroups!B:B,0))</f>
        <v>22</v>
      </c>
      <c r="B1226" s="1" t="s">
        <v>2121</v>
      </c>
      <c r="C1226" t="str">
        <f>VLOOKUP(B1226,CoreProteinGroups!$B:$C,2,FALSE)</f>
        <v>NPH-II</v>
      </c>
      <c r="D1226" t="s">
        <v>2134</v>
      </c>
      <c r="E1226" s="6" t="str">
        <f t="shared" si="19"/>
        <v>PROT:CCD83226.1</v>
      </c>
      <c r="F1226" t="s">
        <v>2135</v>
      </c>
      <c r="G1226" t="s">
        <v>27</v>
      </c>
      <c r="H1226" t="s">
        <v>2689</v>
      </c>
      <c r="I1226" t="str">
        <f>INDEX(Genomes!$I:$I,(MATCH(AllProteins!H1226,Genomes!$B:$B,0)))</f>
        <v>HE601899-squirrelpox_virus</v>
      </c>
      <c r="J1226">
        <f>INDEX(Genomes!$A:$A,(MATCH(AllProteins!H1226,Genomes!$B:$B,0)))</f>
        <v>48</v>
      </c>
      <c r="K1226" t="str">
        <f>INDEX(Genomes!$J:$J,(MATCH(AllProteins!H1226,Genomes!$B:$B,0)))</f>
        <v>Y</v>
      </c>
    </row>
    <row r="1227" spans="1:11" x14ac:dyDescent="0.2">
      <c r="A1227">
        <f>INDEX(CoreProteinGroups!A:A,MATCH(B1227,CoreProteinGroups!B:B,0))</f>
        <v>22</v>
      </c>
      <c r="B1227" s="1" t="s">
        <v>2121</v>
      </c>
      <c r="C1227" t="str">
        <f>VLOOKUP(B1227,CoreProteinGroups!$B:$C,2,FALSE)</f>
        <v>NPH-II</v>
      </c>
      <c r="D1227" t="s">
        <v>2136</v>
      </c>
      <c r="E1227" s="6" t="str">
        <f t="shared" si="19"/>
        <v>PROT:ASK51254.1</v>
      </c>
      <c r="F1227" t="s">
        <v>2137</v>
      </c>
      <c r="G1227" t="s">
        <v>30</v>
      </c>
      <c r="H1227" t="s">
        <v>2664</v>
      </c>
      <c r="I1227" t="str">
        <f>INDEX(Genomes!$I:$I,(MATCH(AllProteins!H1227,Genomes!$B:$B,0)))</f>
        <v>KY747497-eptesipox_virus</v>
      </c>
      <c r="J1227">
        <f>INDEX(Genomes!$A:$A,(MATCH(AllProteins!H1227,Genomes!$B:$B,0)))</f>
        <v>19</v>
      </c>
      <c r="K1227" t="str">
        <f>INDEX(Genomes!$J:$J,(MATCH(AllProteins!H1227,Genomes!$B:$B,0)))</f>
        <v>Y</v>
      </c>
    </row>
    <row r="1228" spans="1:11" x14ac:dyDescent="0.2">
      <c r="A1228">
        <f>INDEX(CoreProteinGroups!A:A,MATCH(B1228,CoreProteinGroups!B:B,0))</f>
        <v>22</v>
      </c>
      <c r="B1228" s="1" t="s">
        <v>2121</v>
      </c>
      <c r="C1228" t="str">
        <f>VLOOKUP(B1228,CoreProteinGroups!$B:$C,2,FALSE)</f>
        <v>NPH-II</v>
      </c>
      <c r="D1228" t="s">
        <v>2138</v>
      </c>
      <c r="E1228" s="6" t="str">
        <f t="shared" si="19"/>
        <v>PROT:AUD40185.1</v>
      </c>
      <c r="F1228" t="s">
        <v>2139</v>
      </c>
      <c r="G1228" t="s">
        <v>32</v>
      </c>
      <c r="H1228" t="s">
        <v>2665</v>
      </c>
      <c r="I1228" t="str">
        <f>INDEX(Genomes!$I:$I,(MATCH(AllProteins!H1228,Genomes!$B:$B,0)))</f>
        <v>MF678796-flamingopox_virus</v>
      </c>
      <c r="J1228">
        <f>INDEX(Genomes!$A:$A,(MATCH(AllProteins!H1228,Genomes!$B:$B,0)))</f>
        <v>20</v>
      </c>
      <c r="K1228" t="str">
        <f>INDEX(Genomes!$J:$J,(MATCH(AllProteins!H1228,Genomes!$B:$B,0)))</f>
        <v>Y</v>
      </c>
    </row>
    <row r="1229" spans="1:11" x14ac:dyDescent="0.2">
      <c r="A1229">
        <f>INDEX(CoreProteinGroups!A:A,MATCH(B1229,CoreProteinGroups!B:B,0))</f>
        <v>22</v>
      </c>
      <c r="B1229" s="1" t="s">
        <v>2121</v>
      </c>
      <c r="C1229" t="str">
        <f>VLOOKUP(B1229,CoreProteinGroups!$B:$C,2,FALSE)</f>
        <v>NPH-II</v>
      </c>
      <c r="D1229" t="s">
        <v>2140</v>
      </c>
      <c r="E1229" s="6" t="str">
        <f t="shared" si="19"/>
        <v>PROT:AID46820.1</v>
      </c>
      <c r="F1229" t="s">
        <v>2139</v>
      </c>
      <c r="G1229" t="s">
        <v>34</v>
      </c>
      <c r="H1229" t="s">
        <v>2681</v>
      </c>
      <c r="I1229" t="str">
        <f>INDEX(Genomes!$I:$I,(MATCH(AllProteins!H1229,Genomes!$B:$B,0)))</f>
        <v>KJ859677-penguinpox_virus</v>
      </c>
      <c r="J1229">
        <f>INDEX(Genomes!$A:$A,(MATCH(AllProteins!H1229,Genomes!$B:$B,0)))</f>
        <v>39</v>
      </c>
      <c r="K1229" t="str">
        <f>INDEX(Genomes!$J:$J,(MATCH(AllProteins!H1229,Genomes!$B:$B,0)))</f>
        <v>Y</v>
      </c>
    </row>
    <row r="1230" spans="1:11" x14ac:dyDescent="0.2">
      <c r="A1230">
        <f>INDEX(CoreProteinGroups!A:A,MATCH(B1230,CoreProteinGroups!B:B,0))</f>
        <v>22</v>
      </c>
      <c r="B1230" s="1" t="s">
        <v>2121</v>
      </c>
      <c r="C1230" t="str">
        <f>VLOOKUP(B1230,CoreProteinGroups!$B:$C,2,FALSE)</f>
        <v>NPH-II</v>
      </c>
      <c r="D1230" t="s">
        <v>2141</v>
      </c>
      <c r="E1230" s="6" t="str">
        <f t="shared" si="19"/>
        <v>PROT:AID46591.1</v>
      </c>
      <c r="F1230" t="s">
        <v>2139</v>
      </c>
      <c r="G1230" t="s">
        <v>36</v>
      </c>
      <c r="H1230" t="s">
        <v>2680</v>
      </c>
      <c r="I1230" t="str">
        <f>INDEX(Genomes!$I:$I,(MATCH(AllProteins!H1230,Genomes!$B:$B,0)))</f>
        <v>KJ801920-pigeonpox_virus</v>
      </c>
      <c r="J1230">
        <f>INDEX(Genomes!$A:$A,(MATCH(AllProteins!H1230,Genomes!$B:$B,0)))</f>
        <v>38</v>
      </c>
      <c r="K1230" t="str">
        <f>INDEX(Genomes!$J:$J,(MATCH(AllProteins!H1230,Genomes!$B:$B,0)))</f>
        <v>Y</v>
      </c>
    </row>
    <row r="1231" spans="1:11" x14ac:dyDescent="0.2">
      <c r="A1231">
        <f>INDEX(CoreProteinGroups!A:A,MATCH(B1231,CoreProteinGroups!B:B,0))</f>
        <v>22</v>
      </c>
      <c r="B1231" s="1" t="s">
        <v>2121</v>
      </c>
      <c r="C1231" t="str">
        <f>VLOOKUP(B1231,CoreProteinGroups!$B:$C,2,FALSE)</f>
        <v>NPH-II</v>
      </c>
      <c r="D1231" t="s">
        <v>2142</v>
      </c>
      <c r="E1231" s="6" t="str">
        <f t="shared" si="19"/>
        <v>PROT:ALA62429.1</v>
      </c>
      <c r="F1231" t="s">
        <v>2143</v>
      </c>
      <c r="G1231" t="s">
        <v>39</v>
      </c>
      <c r="H1231" t="s">
        <v>2692</v>
      </c>
      <c r="I1231" t="str">
        <f>INDEX(Genomes!$I:$I,(MATCH(AllProteins!H1231,Genomes!$B:$B,0)))</f>
        <v>KP728110-turkeypox_virus</v>
      </c>
      <c r="J1231">
        <f>INDEX(Genomes!$A:$A,(MATCH(AllProteins!H1231,Genomes!$B:$B,0)))</f>
        <v>51</v>
      </c>
      <c r="K1231" t="str">
        <f>INDEX(Genomes!$J:$J,(MATCH(AllProteins!H1231,Genomes!$B:$B,0)))</f>
        <v>Y</v>
      </c>
    </row>
    <row r="1232" spans="1:11" x14ac:dyDescent="0.2">
      <c r="A1232">
        <f>INDEX(CoreProteinGroups!A:A,MATCH(B1232,CoreProteinGroups!B:B,0))</f>
        <v>22</v>
      </c>
      <c r="B1232" s="1" t="s">
        <v>2121</v>
      </c>
      <c r="C1232" t="str">
        <f>VLOOKUP(B1232,CoreProteinGroups!$B:$C,2,FALSE)</f>
        <v>NPH-II</v>
      </c>
      <c r="D1232" t="s">
        <v>2144</v>
      </c>
      <c r="E1232" s="6" t="str">
        <f t="shared" si="19"/>
        <v>PROT:AAR83455.1</v>
      </c>
      <c r="F1232" t="s">
        <v>2145</v>
      </c>
      <c r="G1232" t="s">
        <v>42</v>
      </c>
      <c r="H1232" t="s">
        <v>2657</v>
      </c>
      <c r="I1232" t="str">
        <f>INDEX(Genomes!$I:$I,(MATCH(AllProteins!H1232,Genomes!$B:$B,0)))</f>
        <v>AY318871-canarypox_virus</v>
      </c>
      <c r="J1232">
        <f>INDEX(Genomes!$A:$A,(MATCH(AllProteins!H1232,Genomes!$B:$B,0)))</f>
        <v>11</v>
      </c>
      <c r="K1232" t="str">
        <f>INDEX(Genomes!$J:$J,(MATCH(AllProteins!H1232,Genomes!$B:$B,0)))</f>
        <v>Y</v>
      </c>
    </row>
    <row r="1233" spans="1:11" x14ac:dyDescent="0.2">
      <c r="A1233">
        <f>INDEX(CoreProteinGroups!A:A,MATCH(B1233,CoreProteinGroups!B:B,0))</f>
        <v>22</v>
      </c>
      <c r="B1233" s="1" t="s">
        <v>2121</v>
      </c>
      <c r="C1233" t="str">
        <f>VLOOKUP(B1233,CoreProteinGroups!$B:$C,2,FALSE)</f>
        <v>NPH-II</v>
      </c>
      <c r="D1233" t="s">
        <v>2146</v>
      </c>
      <c r="E1233" s="6" t="str">
        <f t="shared" si="19"/>
        <v>PROT:AAF44426.1</v>
      </c>
      <c r="F1233" t="s">
        <v>2147</v>
      </c>
      <c r="G1233" t="s">
        <v>45</v>
      </c>
      <c r="H1233" t="s">
        <v>2666</v>
      </c>
      <c r="I1233" t="str">
        <f>INDEX(Genomes!$I:$I,(MATCH(AllProteins!H1233,Genomes!$B:$B,0)))</f>
        <v>AF198100-fowlpox_virus</v>
      </c>
      <c r="J1233">
        <f>INDEX(Genomes!$A:$A,(MATCH(AllProteins!H1233,Genomes!$B:$B,0)))</f>
        <v>21</v>
      </c>
      <c r="K1233" t="str">
        <f>INDEX(Genomes!$J:$J,(MATCH(AllProteins!H1233,Genomes!$B:$B,0)))</f>
        <v>Y</v>
      </c>
    </row>
    <row r="1234" spans="1:11" x14ac:dyDescent="0.2">
      <c r="A1234">
        <f>INDEX(CoreProteinGroups!A:A,MATCH(B1234,CoreProteinGroups!B:B,0))</f>
        <v>22</v>
      </c>
      <c r="B1234" s="1" t="s">
        <v>2121</v>
      </c>
      <c r="C1234" t="str">
        <f>VLOOKUP(B1234,CoreProteinGroups!$B:$C,2,FALSE)</f>
        <v>NPH-II</v>
      </c>
      <c r="D1234" t="s">
        <v>2148</v>
      </c>
      <c r="E1234" s="6" t="str">
        <f t="shared" si="19"/>
        <v>PROT:AAK85010.1</v>
      </c>
      <c r="F1234" t="s">
        <v>2149</v>
      </c>
      <c r="G1234" t="s">
        <v>48</v>
      </c>
      <c r="H1234" t="s">
        <v>2669</v>
      </c>
      <c r="I1234" t="str">
        <f>INDEX(Genomes!$I:$I,(MATCH(AllProteins!H1234,Genomes!$B:$B,0)))</f>
        <v>AF325528-lumpy_skin_disease_virus</v>
      </c>
      <c r="J1234">
        <f>INDEX(Genomes!$A:$A,(MATCH(AllProteins!H1234,Genomes!$B:$B,0)))</f>
        <v>25</v>
      </c>
      <c r="K1234" t="str">
        <f>INDEX(Genomes!$J:$J,(MATCH(AllProteins!H1234,Genomes!$B:$B,0)))</f>
        <v>Y</v>
      </c>
    </row>
    <row r="1235" spans="1:11" x14ac:dyDescent="0.2">
      <c r="A1235">
        <f>INDEX(CoreProteinGroups!A:A,MATCH(B1235,CoreProteinGroups!B:B,0))</f>
        <v>22</v>
      </c>
      <c r="B1235" s="1" t="s">
        <v>2121</v>
      </c>
      <c r="C1235" t="str">
        <f>VLOOKUP(B1235,CoreProteinGroups!$B:$C,2,FALSE)</f>
        <v>NPH-II</v>
      </c>
      <c r="D1235" t="s">
        <v>2150</v>
      </c>
      <c r="E1235" s="6" t="str">
        <f t="shared" si="19"/>
        <v>PROT:AST09268.1</v>
      </c>
      <c r="F1235" t="s">
        <v>2151</v>
      </c>
      <c r="G1235" t="s">
        <v>50</v>
      </c>
      <c r="H1235" t="s">
        <v>2671</v>
      </c>
      <c r="I1235" t="str">
        <f>INDEX(Genomes!$I:$I,(MATCH(AllProteins!H1235,Genomes!$B:$B,0)))</f>
        <v>MF001304-Murmansk_poxvirus</v>
      </c>
      <c r="J1235">
        <f>INDEX(Genomes!$A:$A,(MATCH(AllProteins!H1235,Genomes!$B:$B,0)))</f>
        <v>27</v>
      </c>
      <c r="K1235" t="str">
        <f>INDEX(Genomes!$J:$J,(MATCH(AllProteins!H1235,Genomes!$B:$B,0)))</f>
        <v>Y</v>
      </c>
    </row>
    <row r="1236" spans="1:11" x14ac:dyDescent="0.2">
      <c r="A1236">
        <f>INDEX(CoreProteinGroups!A:A,MATCH(B1236,CoreProteinGroups!B:B,0))</f>
        <v>22</v>
      </c>
      <c r="B1236" s="1" t="s">
        <v>2121</v>
      </c>
      <c r="C1236" t="str">
        <f>VLOOKUP(B1236,CoreProteinGroups!$B:$C,2,FALSE)</f>
        <v>NPH-II</v>
      </c>
      <c r="D1236" t="s">
        <v>2152</v>
      </c>
      <c r="E1236" s="6" t="str">
        <f t="shared" si="19"/>
        <v>PROT:AEN03645.1</v>
      </c>
      <c r="F1236" t="s">
        <v>2153</v>
      </c>
      <c r="G1236" t="s">
        <v>52</v>
      </c>
      <c r="H1236" t="s">
        <v>2698</v>
      </c>
      <c r="I1236" t="str">
        <f>INDEX(Genomes!$I:$I,(MATCH(AllProteins!H1236,Genomes!$B:$B,0)))</f>
        <v>HQ849551-yokapox_virus</v>
      </c>
      <c r="J1236">
        <f>INDEX(Genomes!$A:$A,(MATCH(AllProteins!H1236,Genomes!$B:$B,0)))</f>
        <v>57</v>
      </c>
      <c r="K1236" t="str">
        <f>INDEX(Genomes!$J:$J,(MATCH(AllProteins!H1236,Genomes!$B:$B,0)))</f>
        <v>Y</v>
      </c>
    </row>
    <row r="1237" spans="1:11" x14ac:dyDescent="0.2">
      <c r="A1237">
        <f>INDEX(CoreProteinGroups!A:A,MATCH(B1237,CoreProteinGroups!B:B,0))</f>
        <v>22</v>
      </c>
      <c r="B1237" s="1" t="s">
        <v>2121</v>
      </c>
      <c r="C1237" t="str">
        <f>VLOOKUP(B1237,CoreProteinGroups!$B:$C,2,FALSE)</f>
        <v>NPH-II</v>
      </c>
      <c r="D1237" t="s">
        <v>2154</v>
      </c>
      <c r="E1237" s="6" t="str">
        <f t="shared" si="19"/>
        <v>PROT:ABI99213.1</v>
      </c>
      <c r="F1237" t="s">
        <v>2126</v>
      </c>
      <c r="G1237" t="s">
        <v>54</v>
      </c>
      <c r="H1237" t="s">
        <v>2661</v>
      </c>
      <c r="I1237" t="str">
        <f>INDEX(Genomes!$I:$I,(MATCH(AllProteins!H1237,Genomes!$B:$B,0)))</f>
        <v>AY689436-mule_deerpox_virus</v>
      </c>
      <c r="J1237">
        <f>INDEX(Genomes!$A:$A,(MATCH(AllProteins!H1237,Genomes!$B:$B,0)))</f>
        <v>15</v>
      </c>
      <c r="K1237" t="str">
        <f>INDEX(Genomes!$J:$J,(MATCH(AllProteins!H1237,Genomes!$B:$B,0)))</f>
        <v>Y</v>
      </c>
    </row>
    <row r="1238" spans="1:11" x14ac:dyDescent="0.2">
      <c r="A1238">
        <f>INDEX(CoreProteinGroups!A:A,MATCH(B1238,CoreProteinGroups!B:B,0))</f>
        <v>22</v>
      </c>
      <c r="B1238" s="1" t="s">
        <v>2121</v>
      </c>
      <c r="C1238" t="str">
        <f>VLOOKUP(B1238,CoreProteinGroups!$B:$C,2,FALSE)</f>
        <v>NPH-II</v>
      </c>
      <c r="D1238" t="s">
        <v>2155</v>
      </c>
      <c r="E1238" s="6" t="str">
        <f t="shared" si="19"/>
        <v>PROT:ABJ08962.1</v>
      </c>
      <c r="F1238" t="s">
        <v>2128</v>
      </c>
      <c r="G1238" t="s">
        <v>56</v>
      </c>
      <c r="H1238" t="s">
        <v>2677</v>
      </c>
      <c r="I1238" t="str">
        <f>INDEX(Genomes!$I:$I,(MATCH(AllProteins!H1238,Genomes!$B:$B,0)))</f>
        <v>DQ356948-Nile_crocodilepox_virus</v>
      </c>
      <c r="J1238">
        <f>INDEX(Genomes!$A:$A,(MATCH(AllProteins!H1238,Genomes!$B:$B,0)))</f>
        <v>34</v>
      </c>
      <c r="K1238" t="str">
        <f>INDEX(Genomes!$J:$J,(MATCH(AllProteins!H1238,Genomes!$B:$B,0)))</f>
        <v>Y</v>
      </c>
    </row>
    <row r="1239" spans="1:11" x14ac:dyDescent="0.2">
      <c r="A1239">
        <f>INDEX(CoreProteinGroups!A:A,MATCH(B1239,CoreProteinGroups!B:B,0))</f>
        <v>22</v>
      </c>
      <c r="B1239" s="1" t="s">
        <v>2121</v>
      </c>
      <c r="C1239" t="str">
        <f>VLOOKUP(B1239,CoreProteinGroups!$B:$C,2,FALSE)</f>
        <v>NPH-II</v>
      </c>
      <c r="D1239" t="s">
        <v>2156</v>
      </c>
      <c r="E1239" s="6" t="str">
        <f t="shared" si="19"/>
        <v>PROT:AAF14932.1</v>
      </c>
      <c r="F1239" t="s">
        <v>2157</v>
      </c>
      <c r="G1239" t="s">
        <v>2584</v>
      </c>
      <c r="H1239" t="s">
        <v>2676</v>
      </c>
      <c r="I1239" t="str">
        <f>INDEX(Genomes!$I:$I,(MATCH(AllProteins!H1239,Genomes!$B:$B,0)))</f>
        <v>AF170726-myxoma_virus</v>
      </c>
      <c r="J1239">
        <f>INDEX(Genomes!$A:$A,(MATCH(AllProteins!H1239,Genomes!$B:$B,0)))</f>
        <v>32</v>
      </c>
      <c r="K1239" t="str">
        <f>INDEX(Genomes!$J:$J,(MATCH(AllProteins!H1239,Genomes!$B:$B,0)))</f>
        <v>Y</v>
      </c>
    </row>
    <row r="1240" spans="1:11" x14ac:dyDescent="0.2">
      <c r="A1240">
        <f>INDEX(CoreProteinGroups!A:A,MATCH(B1240,CoreProteinGroups!B:B,0))</f>
        <v>22</v>
      </c>
      <c r="B1240" s="1" t="s">
        <v>2121</v>
      </c>
      <c r="C1240" t="str">
        <f>VLOOKUP(B1240,CoreProteinGroups!$B:$C,2,FALSE)</f>
        <v>NPH-II</v>
      </c>
      <c r="D1240" t="s">
        <v>2158</v>
      </c>
      <c r="E1240" s="6" t="str">
        <f t="shared" si="19"/>
        <v>PROT:AFU77309.1</v>
      </c>
      <c r="F1240" t="s">
        <v>2157</v>
      </c>
      <c r="G1240" t="s">
        <v>2553</v>
      </c>
      <c r="H1240" t="s">
        <v>2646</v>
      </c>
      <c r="I1240" t="str">
        <f>INDEX(Genomes!$I:$I,(MATCH(AllProteins!H1240,Genomes!$B:$B,0)))</f>
        <v>JX565564-myxoma_virus_isolate_BRK_897</v>
      </c>
      <c r="J1240">
        <f>INDEX(Genomes!$A:$A,(MATCH(AllProteins!H1240,Genomes!$B:$B,0)))</f>
        <v>33</v>
      </c>
      <c r="K1240" t="str">
        <f>INDEX(Genomes!$J:$J,(MATCH(AllProteins!H1240,Genomes!$B:$B,0)))</f>
        <v>N</v>
      </c>
    </row>
    <row r="1241" spans="1:11" x14ac:dyDescent="0.2">
      <c r="A1241">
        <f>INDEX(CoreProteinGroups!A:A,MATCH(B1241,CoreProteinGroups!B:B,0))</f>
        <v>22</v>
      </c>
      <c r="B1241" s="1" t="s">
        <v>2121</v>
      </c>
      <c r="C1241" t="str">
        <f>VLOOKUP(B1241,CoreProteinGroups!$B:$C,2,FALSE)</f>
        <v>NPH-II</v>
      </c>
      <c r="D1241" t="s">
        <v>2159</v>
      </c>
      <c r="E1241" s="6" t="str">
        <f t="shared" si="19"/>
        <v>PROT:AAF17926.1</v>
      </c>
      <c r="F1241" t="s">
        <v>2160</v>
      </c>
      <c r="G1241" t="s">
        <v>62</v>
      </c>
      <c r="H1241" t="s">
        <v>2685</v>
      </c>
      <c r="I1241" t="str">
        <f>INDEX(Genomes!$I:$I,(MATCH(AllProteins!H1241,Genomes!$B:$B,0)))</f>
        <v>AF170722-rabbit_fibroma_virus</v>
      </c>
      <c r="J1241">
        <f>INDEX(Genomes!$A:$A,(MATCH(AllProteins!H1241,Genomes!$B:$B,0)))</f>
        <v>43</v>
      </c>
      <c r="K1241" t="str">
        <f>INDEX(Genomes!$J:$J,(MATCH(AllProteins!H1241,Genomes!$B:$B,0)))</f>
        <v>Y</v>
      </c>
    </row>
    <row r="1242" spans="1:11" x14ac:dyDescent="0.2">
      <c r="A1242">
        <f>INDEX(CoreProteinGroups!A:A,MATCH(B1242,CoreProteinGroups!B:B,0))</f>
        <v>22</v>
      </c>
      <c r="B1242" s="1" t="s">
        <v>2121</v>
      </c>
      <c r="C1242" t="str">
        <f>VLOOKUP(B1242,CoreProteinGroups!$B:$C,2,FALSE)</f>
        <v>NPH-II</v>
      </c>
      <c r="D1242" t="s">
        <v>2161</v>
      </c>
      <c r="E1242" s="6" t="str">
        <f t="shared" si="19"/>
        <v>PROT:AAC55178.1</v>
      </c>
      <c r="F1242" t="s">
        <v>2162</v>
      </c>
      <c r="G1242" t="s">
        <v>65</v>
      </c>
      <c r="H1242" t="s">
        <v>2670</v>
      </c>
      <c r="I1242" t="str">
        <f>INDEX(Genomes!$I:$I,(MATCH(AllProteins!H1242,Genomes!$B:$B,0)))</f>
        <v>U60315-molluscum_contagiosum_virus</v>
      </c>
      <c r="J1242">
        <f>INDEX(Genomes!$A:$A,(MATCH(AllProteins!H1242,Genomes!$B:$B,0)))</f>
        <v>26</v>
      </c>
      <c r="K1242" t="str">
        <f>INDEX(Genomes!$J:$J,(MATCH(AllProteins!H1242,Genomes!$B:$B,0)))</f>
        <v>Y</v>
      </c>
    </row>
    <row r="1243" spans="1:11" x14ac:dyDescent="0.2">
      <c r="A1243">
        <f>INDEX(CoreProteinGroups!A:A,MATCH(B1243,CoreProteinGroups!B:B,0))</f>
        <v>22</v>
      </c>
      <c r="B1243" s="1" t="s">
        <v>2121</v>
      </c>
      <c r="C1243" t="str">
        <f>VLOOKUP(B1243,CoreProteinGroups!$B:$C,2,FALSE)</f>
        <v>NPH-II</v>
      </c>
      <c r="D1243" t="s">
        <v>2163</v>
      </c>
      <c r="E1243" s="6" t="str">
        <f t="shared" si="19"/>
        <v>PROT:AYN64644.1</v>
      </c>
      <c r="F1243" t="s">
        <v>2164</v>
      </c>
      <c r="G1243" t="s">
        <v>68</v>
      </c>
      <c r="H1243" t="s">
        <v>2647</v>
      </c>
      <c r="I1243" t="str">
        <f>INDEX(Genomes!$I:$I,(MATCH(AllProteins!H1243,Genomes!$B:$B,0)))</f>
        <v>MH816996-orthopoxvirus_abatino</v>
      </c>
      <c r="J1243">
        <f>INDEX(Genomes!$A:$A,(MATCH(AllProteins!H1243,Genomes!$B:$B,0)))</f>
        <v>1</v>
      </c>
      <c r="K1243" t="str">
        <f>INDEX(Genomes!$J:$J,(MATCH(AllProteins!H1243,Genomes!$B:$B,0)))</f>
        <v>Y</v>
      </c>
    </row>
    <row r="1244" spans="1:11" x14ac:dyDescent="0.2">
      <c r="A1244">
        <f>INDEX(CoreProteinGroups!A:A,MATCH(B1244,CoreProteinGroups!B:B,0))</f>
        <v>22</v>
      </c>
      <c r="B1244" s="1" t="s">
        <v>2121</v>
      </c>
      <c r="C1244" t="str">
        <f>VLOOKUP(B1244,CoreProteinGroups!$B:$C,2,FALSE)</f>
        <v>NPH-II</v>
      </c>
      <c r="D1244" t="s">
        <v>2165</v>
      </c>
      <c r="E1244" s="6" t="str">
        <f t="shared" si="19"/>
        <v>PROT:AXN74869.1</v>
      </c>
      <c r="F1244" t="s">
        <v>2126</v>
      </c>
      <c r="G1244" t="s">
        <v>70</v>
      </c>
      <c r="H1244" t="s">
        <v>2650</v>
      </c>
      <c r="I1244" t="str">
        <f>INDEX(Genomes!$I:$I,(MATCH(AllProteins!H1244,Genomes!$B:$B,0)))</f>
        <v>MH607141-Akhmeta_virus</v>
      </c>
      <c r="J1244">
        <f>INDEX(Genomes!$A:$A,(MATCH(AllProteins!H1244,Genomes!$B:$B,0)))</f>
        <v>4</v>
      </c>
      <c r="K1244" t="str">
        <f>INDEX(Genomes!$J:$J,(MATCH(AllProteins!H1244,Genomes!$B:$B,0)))</f>
        <v>Y</v>
      </c>
    </row>
    <row r="1245" spans="1:11" x14ac:dyDescent="0.2">
      <c r="A1245">
        <f>INDEX(CoreProteinGroups!A:A,MATCH(B1245,CoreProteinGroups!B:B,0))</f>
        <v>22</v>
      </c>
      <c r="B1245" s="1" t="s">
        <v>2121</v>
      </c>
      <c r="C1245" t="str">
        <f>VLOOKUP(B1245,CoreProteinGroups!$B:$C,2,FALSE)</f>
        <v>NPH-II</v>
      </c>
      <c r="D1245" t="s">
        <v>2166</v>
      </c>
      <c r="E1245" s="6" t="str">
        <f t="shared" si="19"/>
        <v>PROT:ABH08184.1</v>
      </c>
      <c r="F1245" t="s">
        <v>2167</v>
      </c>
      <c r="G1245" t="s">
        <v>73</v>
      </c>
      <c r="H1245" t="s">
        <v>2668</v>
      </c>
      <c r="I1245" t="str">
        <f>INDEX(Genomes!$I:$I,(MATCH(AllProteins!H1245,Genomes!$B:$B,0)))</f>
        <v>DQ792504-horsepox_virus</v>
      </c>
      <c r="J1245">
        <f>INDEX(Genomes!$A:$A,(MATCH(AllProteins!H1245,Genomes!$B:$B,0)))</f>
        <v>24</v>
      </c>
      <c r="K1245" t="str">
        <f>INDEX(Genomes!$J:$J,(MATCH(AllProteins!H1245,Genomes!$B:$B,0)))</f>
        <v>Y</v>
      </c>
    </row>
    <row r="1246" spans="1:11" x14ac:dyDescent="0.2">
      <c r="A1246">
        <f>INDEX(CoreProteinGroups!A:A,MATCH(B1246,CoreProteinGroups!B:B,0))</f>
        <v>22</v>
      </c>
      <c r="B1246" s="1" t="s">
        <v>2121</v>
      </c>
      <c r="C1246" t="str">
        <f>VLOOKUP(B1246,CoreProteinGroups!$B:$C,2,FALSE)</f>
        <v>NPH-II</v>
      </c>
      <c r="D1246" t="s">
        <v>2168</v>
      </c>
      <c r="E1246" s="6" t="str">
        <f t="shared" si="19"/>
        <v>PROT:AAG37544.1</v>
      </c>
      <c r="F1246" t="s">
        <v>2169</v>
      </c>
      <c r="G1246" t="s">
        <v>76</v>
      </c>
      <c r="H1246" t="s">
        <v>2655</v>
      </c>
      <c r="I1246" t="str">
        <f>INDEX(Genomes!$I:$I,(MATCH(AllProteins!H1246,Genomes!$B:$B,0)))</f>
        <v>AY009089-camelpox_virus_CMS</v>
      </c>
      <c r="J1246">
        <f>INDEX(Genomes!$A:$A,(MATCH(AllProteins!H1246,Genomes!$B:$B,0)))</f>
        <v>9</v>
      </c>
      <c r="K1246" t="str">
        <f>INDEX(Genomes!$J:$J,(MATCH(AllProteins!H1246,Genomes!$B:$B,0)))</f>
        <v>N</v>
      </c>
    </row>
    <row r="1247" spans="1:11" x14ac:dyDescent="0.2">
      <c r="A1247">
        <f>INDEX(CoreProteinGroups!A:A,MATCH(B1247,CoreProteinGroups!B:B,0))</f>
        <v>22</v>
      </c>
      <c r="B1247" s="1" t="s">
        <v>2121</v>
      </c>
      <c r="C1247" t="str">
        <f>VLOOKUP(B1247,CoreProteinGroups!$B:$C,2,FALSE)</f>
        <v>NPH-II</v>
      </c>
      <c r="D1247" t="s">
        <v>2170</v>
      </c>
      <c r="E1247" s="6" t="str">
        <f t="shared" si="19"/>
        <v>PROT:AAL73782.1</v>
      </c>
      <c r="F1247" t="s">
        <v>2171</v>
      </c>
      <c r="G1247" t="s">
        <v>79</v>
      </c>
      <c r="H1247" t="s">
        <v>2654</v>
      </c>
      <c r="I1247" t="str">
        <f>INDEX(Genomes!$I:$I,(MATCH(AllProteins!H1247,Genomes!$B:$B,0)))</f>
        <v>AF438165-camelpox_virus</v>
      </c>
      <c r="J1247">
        <f>INDEX(Genomes!$A:$A,(MATCH(AllProteins!H1247,Genomes!$B:$B,0)))</f>
        <v>8</v>
      </c>
      <c r="K1247" t="str">
        <f>INDEX(Genomes!$J:$J,(MATCH(AllProteins!H1247,Genomes!$B:$B,0)))</f>
        <v>Y</v>
      </c>
    </row>
    <row r="1248" spans="1:11" x14ac:dyDescent="0.2">
      <c r="A1248">
        <f>INDEX(CoreProteinGroups!A:A,MATCH(B1248,CoreProteinGroups!B:B,0))</f>
        <v>22</v>
      </c>
      <c r="B1248" s="1" t="s">
        <v>2121</v>
      </c>
      <c r="C1248" t="str">
        <f>VLOOKUP(B1248,CoreProteinGroups!$B:$C,2,FALSE)</f>
        <v>NPH-II</v>
      </c>
      <c r="D1248" t="s">
        <v>2172</v>
      </c>
      <c r="E1248" s="6" t="str">
        <f t="shared" si="19"/>
        <v>PROT:AAM13532.1</v>
      </c>
      <c r="F1248" t="s">
        <v>2173</v>
      </c>
      <c r="G1248" t="s">
        <v>82</v>
      </c>
      <c r="H1248" t="s">
        <v>2659</v>
      </c>
      <c r="I1248" t="str">
        <f>INDEX(Genomes!$I:$I,(MATCH(AllProteins!H1248,Genomes!$B:$B,0)))</f>
        <v>AF482758-cowpox_virus</v>
      </c>
      <c r="J1248">
        <f>INDEX(Genomes!$A:$A,(MATCH(AllProteins!H1248,Genomes!$B:$B,0)))</f>
        <v>13</v>
      </c>
      <c r="K1248" t="str">
        <f>INDEX(Genomes!$J:$J,(MATCH(AllProteins!H1248,Genomes!$B:$B,0)))</f>
        <v>Y</v>
      </c>
    </row>
    <row r="1249" spans="1:11" x14ac:dyDescent="0.2">
      <c r="A1249">
        <f>INDEX(CoreProteinGroups!A:A,MATCH(B1249,CoreProteinGroups!B:B,0))</f>
        <v>22</v>
      </c>
      <c r="B1249" s="1" t="s">
        <v>2121</v>
      </c>
      <c r="C1249" t="str">
        <f>VLOOKUP(B1249,CoreProteinGroups!$B:$C,2,FALSE)</f>
        <v>NPH-II</v>
      </c>
      <c r="D1249" t="s">
        <v>2174</v>
      </c>
      <c r="E1249" s="6" t="str">
        <f t="shared" si="19"/>
        <v>PROT:AAM92365.1</v>
      </c>
      <c r="F1249" t="s">
        <v>2175</v>
      </c>
      <c r="G1249" t="s">
        <v>85</v>
      </c>
      <c r="H1249" t="s">
        <v>2662</v>
      </c>
      <c r="I1249" t="str">
        <f>INDEX(Genomes!$I:$I,(MATCH(AllProteins!H1249,Genomes!$B:$B,0)))</f>
        <v>AF012825-ectromelia_virus</v>
      </c>
      <c r="J1249">
        <f>INDEX(Genomes!$A:$A,(MATCH(AllProteins!H1249,Genomes!$B:$B,0)))</f>
        <v>16</v>
      </c>
      <c r="K1249" t="str">
        <f>INDEX(Genomes!$J:$J,(MATCH(AllProteins!H1249,Genomes!$B:$B,0)))</f>
        <v>Y</v>
      </c>
    </row>
    <row r="1250" spans="1:11" x14ac:dyDescent="0.2">
      <c r="A1250">
        <f>INDEX(CoreProteinGroups!A:A,MATCH(B1250,CoreProteinGroups!B:B,0))</f>
        <v>22</v>
      </c>
      <c r="B1250" s="1" t="s">
        <v>2121</v>
      </c>
      <c r="C1250" t="str">
        <f>VLOOKUP(B1250,CoreProteinGroups!$B:$C,2,FALSE)</f>
        <v>NPH-II</v>
      </c>
      <c r="D1250" t="s">
        <v>2176</v>
      </c>
      <c r="E1250" s="6" t="str">
        <f t="shared" si="19"/>
        <v>PROT:AFH54624.1</v>
      </c>
      <c r="F1250" t="s">
        <v>2126</v>
      </c>
      <c r="G1250" t="s">
        <v>87</v>
      </c>
      <c r="H1250" t="s">
        <v>2619</v>
      </c>
      <c r="I1250" t="str">
        <f>INDEX(Genomes!$I:$I,(MATCH(AllProteins!H1250,Genomes!$B:$B,0)))</f>
        <v>JQ410350-ectromelia_virus_strain_ERPV</v>
      </c>
      <c r="J1250">
        <f>INDEX(Genomes!$A:$A,(MATCH(AllProteins!H1250,Genomes!$B:$B,0)))</f>
        <v>17</v>
      </c>
      <c r="K1250" t="str">
        <f>INDEX(Genomes!$J:$J,(MATCH(AllProteins!H1250,Genomes!$B:$B,0)))</f>
        <v>N</v>
      </c>
    </row>
    <row r="1251" spans="1:11" x14ac:dyDescent="0.2">
      <c r="A1251">
        <f>INDEX(CoreProteinGroups!A:A,MATCH(B1251,CoreProteinGroups!B:B,0))</f>
        <v>22</v>
      </c>
      <c r="B1251" s="1" t="s">
        <v>2121</v>
      </c>
      <c r="C1251" t="str">
        <f>VLOOKUP(B1251,CoreProteinGroups!$B:$C,2,FALSE)</f>
        <v>NPH-II</v>
      </c>
      <c r="D1251" t="s">
        <v>2177</v>
      </c>
      <c r="E1251" s="6" t="str">
        <f t="shared" si="19"/>
        <v>PROT:AAL40527.1</v>
      </c>
      <c r="F1251" t="s">
        <v>2178</v>
      </c>
      <c r="G1251" t="s">
        <v>90</v>
      </c>
      <c r="H1251" t="s">
        <v>2673</v>
      </c>
      <c r="I1251" t="str">
        <f>INDEX(Genomes!$I:$I,(MATCH(AllProteins!H1251,Genomes!$B:$B,0)))</f>
        <v>AF380138-monkeypox_virus_(clade_I)</v>
      </c>
      <c r="J1251">
        <f>INDEX(Genomes!$A:$A,(MATCH(AllProteins!H1251,Genomes!$B:$B,0)))</f>
        <v>29</v>
      </c>
      <c r="K1251" t="str">
        <f>INDEX(Genomes!$J:$J,(MATCH(AllProteins!H1251,Genomes!$B:$B,0)))</f>
        <v>Y</v>
      </c>
    </row>
    <row r="1252" spans="1:11" x14ac:dyDescent="0.2">
      <c r="A1252">
        <f>INDEX(CoreProteinGroups!A:A,MATCH(B1252,CoreProteinGroups!B:B,0))</f>
        <v>22</v>
      </c>
      <c r="B1252" s="1" t="s">
        <v>2121</v>
      </c>
      <c r="C1252" t="str">
        <f>VLOOKUP(B1252,CoreProteinGroups!$B:$C,2,FALSE)</f>
        <v>NPH-II</v>
      </c>
      <c r="D1252" t="s">
        <v>2179</v>
      </c>
      <c r="E1252" s="6" t="str">
        <f t="shared" si="19"/>
        <v>PROT:AAX09164.1</v>
      </c>
      <c r="F1252" t="s">
        <v>2180</v>
      </c>
      <c r="G1252" t="s">
        <v>93</v>
      </c>
      <c r="H1252" t="s">
        <v>2672</v>
      </c>
      <c r="I1252" t="str">
        <f>INDEX(Genomes!$I:$I,(MATCH(AllProteins!H1252,Genomes!$B:$B,0)))</f>
        <v>AY753185-monkeypox_virus_(clade_IIa)</v>
      </c>
      <c r="J1252">
        <f>INDEX(Genomes!$A:$A,(MATCH(AllProteins!H1252,Genomes!$B:$B,0)))</f>
        <v>28</v>
      </c>
      <c r="K1252" t="str">
        <f>INDEX(Genomes!$J:$J,(MATCH(AllProteins!H1252,Genomes!$B:$B,0)))</f>
        <v>Y</v>
      </c>
    </row>
    <row r="1253" spans="1:11" x14ac:dyDescent="0.2">
      <c r="A1253">
        <f>INDEX(CoreProteinGroups!A:A,MATCH(B1253,CoreProteinGroups!B:B,0))</f>
        <v>22</v>
      </c>
      <c r="B1253" s="1" t="s">
        <v>2121</v>
      </c>
      <c r="C1253" t="str">
        <f>VLOOKUP(B1253,CoreProteinGroups!$B:$C,2,FALSE)</f>
        <v>NPH-II</v>
      </c>
      <c r="D1253" t="s">
        <v>2181</v>
      </c>
      <c r="E1253" s="6" t="str">
        <f t="shared" si="19"/>
        <v>PROT:AKJ93706.1</v>
      </c>
      <c r="F1253" t="s">
        <v>2137</v>
      </c>
      <c r="G1253" t="s">
        <v>95</v>
      </c>
      <c r="H1253" t="s">
        <v>2683</v>
      </c>
      <c r="I1253" t="str">
        <f>INDEX(Genomes!$I:$I,(MATCH(AllProteins!H1253,Genomes!$B:$B,0)))</f>
        <v>KP143769-raccoonpox_virus</v>
      </c>
      <c r="J1253">
        <f>INDEX(Genomes!$A:$A,(MATCH(AllProteins!H1253,Genomes!$B:$B,0)))</f>
        <v>41</v>
      </c>
      <c r="K1253" t="str">
        <f>INDEX(Genomes!$J:$J,(MATCH(AllProteins!H1253,Genomes!$B:$B,0)))</f>
        <v>Y</v>
      </c>
    </row>
    <row r="1254" spans="1:11" x14ac:dyDescent="0.2">
      <c r="A1254">
        <f>INDEX(CoreProteinGroups!A:A,MATCH(B1254,CoreProteinGroups!B:B,0))</f>
        <v>22</v>
      </c>
      <c r="B1254" s="1" t="s">
        <v>2121</v>
      </c>
      <c r="C1254" t="str">
        <f>VLOOKUP(B1254,CoreProteinGroups!$B:$C,2,FALSE)</f>
        <v>NPH-II</v>
      </c>
      <c r="D1254" t="s">
        <v>2182</v>
      </c>
      <c r="E1254" s="6" t="str">
        <f t="shared" si="19"/>
        <v>PROT:AOP31555.1</v>
      </c>
      <c r="F1254" t="s">
        <v>2126</v>
      </c>
      <c r="G1254" t="s">
        <v>97</v>
      </c>
      <c r="H1254" t="s">
        <v>2686</v>
      </c>
      <c r="I1254" t="str">
        <f>INDEX(Genomes!$I:$I,(MATCH(AllProteins!H1254,Genomes!$B:$B,0)))</f>
        <v>KU749310-skunkpox_virus</v>
      </c>
      <c r="J1254">
        <f>INDEX(Genomes!$A:$A,(MATCH(AllProteins!H1254,Genomes!$B:$B,0)))</f>
        <v>45</v>
      </c>
      <c r="K1254" t="str">
        <f>INDEX(Genomes!$J:$J,(MATCH(AllProteins!H1254,Genomes!$B:$B,0)))</f>
        <v>Y</v>
      </c>
    </row>
    <row r="1255" spans="1:11" x14ac:dyDescent="0.2">
      <c r="A1255">
        <f>INDEX(CoreProteinGroups!A:A,MATCH(B1255,CoreProteinGroups!B:B,0))</f>
        <v>22</v>
      </c>
      <c r="B1255" s="1" t="s">
        <v>2121</v>
      </c>
      <c r="C1255" t="str">
        <f>VLOOKUP(B1255,CoreProteinGroups!$B:$C,2,FALSE)</f>
        <v>NPH-II</v>
      </c>
      <c r="D1255" t="s">
        <v>2183</v>
      </c>
      <c r="E1255" s="6" t="str">
        <f t="shared" si="19"/>
        <v>PROT:ABD97646.1</v>
      </c>
      <c r="F1255" t="s">
        <v>2184</v>
      </c>
      <c r="G1255" t="s">
        <v>99</v>
      </c>
      <c r="H1255" t="s">
        <v>2691</v>
      </c>
      <c r="I1255" t="str">
        <f>INDEX(Genomes!$I:$I,(MATCH(AllProteins!H1255,Genomes!$B:$B,0)))</f>
        <v>DQ437594-taterapox_virus</v>
      </c>
      <c r="J1255">
        <f>INDEX(Genomes!$A:$A,(MATCH(AllProteins!H1255,Genomes!$B:$B,0)))</f>
        <v>50</v>
      </c>
      <c r="K1255" t="str">
        <f>INDEX(Genomes!$J:$J,(MATCH(AllProteins!H1255,Genomes!$B:$B,0)))</f>
        <v>Y</v>
      </c>
    </row>
    <row r="1256" spans="1:11" x14ac:dyDescent="0.2">
      <c r="A1256">
        <f>INDEX(CoreProteinGroups!A:A,MATCH(B1256,CoreProteinGroups!B:B,0))</f>
        <v>22</v>
      </c>
      <c r="B1256" s="1" t="s">
        <v>2121</v>
      </c>
      <c r="C1256" t="str">
        <f>VLOOKUP(B1256,CoreProteinGroups!$B:$C,2,FALSE)</f>
        <v>NPH-II</v>
      </c>
      <c r="D1256" t="s">
        <v>2185</v>
      </c>
      <c r="E1256" s="6" t="str">
        <f t="shared" si="19"/>
        <v>PROT:AAO89356.1</v>
      </c>
      <c r="F1256" t="s">
        <v>2137</v>
      </c>
      <c r="G1256" t="s">
        <v>101</v>
      </c>
      <c r="H1256" t="s">
        <v>2693</v>
      </c>
      <c r="I1256" t="str">
        <f>INDEX(Genomes!$I:$I,(MATCH(AllProteins!H1256,Genomes!$B:$B,0)))</f>
        <v>AY243312-vaccinia_virus</v>
      </c>
      <c r="J1256">
        <f>INDEX(Genomes!$A:$A,(MATCH(AllProteins!H1256,Genomes!$B:$B,0)))</f>
        <v>52</v>
      </c>
      <c r="K1256" t="str">
        <f>INDEX(Genomes!$J:$J,(MATCH(AllProteins!H1256,Genomes!$B:$B,0)))</f>
        <v>Y</v>
      </c>
    </row>
    <row r="1257" spans="1:11" x14ac:dyDescent="0.2">
      <c r="A1257">
        <f>INDEX(CoreProteinGroups!A:A,MATCH(B1257,CoreProteinGroups!B:B,0))</f>
        <v>22</v>
      </c>
      <c r="B1257" s="1" t="s">
        <v>2121</v>
      </c>
      <c r="C1257" t="str">
        <f>VLOOKUP(B1257,CoreProteinGroups!$B:$C,2,FALSE)</f>
        <v>NPH-II</v>
      </c>
      <c r="D1257" t="s">
        <v>2186</v>
      </c>
      <c r="E1257" s="6" t="str">
        <f t="shared" si="19"/>
        <v>PROT:CAA49003.1</v>
      </c>
      <c r="F1257" t="s">
        <v>2187</v>
      </c>
      <c r="G1257" t="s">
        <v>2585</v>
      </c>
      <c r="H1257" t="s">
        <v>2694</v>
      </c>
      <c r="I1257" t="str">
        <f>INDEX(Genomes!$I:$I,(MATCH(AllProteins!H1257,Genomes!$B:$B,0)))</f>
        <v>X69198-variola_major_virus</v>
      </c>
      <c r="J1257">
        <f>INDEX(Genomes!$A:$A,(MATCH(AllProteins!H1257,Genomes!$B:$B,0)))</f>
        <v>53</v>
      </c>
      <c r="K1257" t="str">
        <f>INDEX(Genomes!$J:$J,(MATCH(AllProteins!H1257,Genomes!$B:$B,0)))</f>
        <v>Y</v>
      </c>
    </row>
    <row r="1258" spans="1:11" x14ac:dyDescent="0.2">
      <c r="A1258">
        <f>INDEX(CoreProteinGroups!A:A,MATCH(B1258,CoreProteinGroups!B:B,0))</f>
        <v>22</v>
      </c>
      <c r="B1258" s="1" t="s">
        <v>2121</v>
      </c>
      <c r="C1258" t="str">
        <f>VLOOKUP(B1258,CoreProteinGroups!$B:$C,2,FALSE)</f>
        <v>NPH-II</v>
      </c>
      <c r="D1258" t="s">
        <v>2188</v>
      </c>
      <c r="E1258" s="6" t="str">
        <f t="shared" si="19"/>
        <v>PROT:CAB54662.1</v>
      </c>
      <c r="F1258" t="s">
        <v>2189</v>
      </c>
      <c r="G1258" t="s">
        <v>106</v>
      </c>
      <c r="H1258" t="s">
        <v>2695</v>
      </c>
      <c r="I1258" t="str">
        <f>INDEX(Genomes!$I:$I,(MATCH(AllProteins!H1258,Genomes!$B:$B,0)))</f>
        <v>Y16780-variola_minor_virus</v>
      </c>
      <c r="J1258">
        <f>INDEX(Genomes!$A:$A,(MATCH(AllProteins!H1258,Genomes!$B:$B,0)))</f>
        <v>54</v>
      </c>
      <c r="K1258" t="str">
        <f>INDEX(Genomes!$J:$J,(MATCH(AllProteins!H1258,Genomes!$B:$B,0)))</f>
        <v>Y</v>
      </c>
    </row>
    <row r="1259" spans="1:11" x14ac:dyDescent="0.2">
      <c r="A1259">
        <f>INDEX(CoreProteinGroups!A:A,MATCH(B1259,CoreProteinGroups!B:B,0))</f>
        <v>22</v>
      </c>
      <c r="B1259" s="1" t="s">
        <v>2121</v>
      </c>
      <c r="C1259" t="str">
        <f>VLOOKUP(B1259,CoreProteinGroups!$B:$C,2,FALSE)</f>
        <v>NPH-II</v>
      </c>
      <c r="D1259" t="s">
        <v>2190</v>
      </c>
      <c r="E1259" s="6" t="str">
        <f t="shared" si="19"/>
        <v>PROT:AOP31766.1</v>
      </c>
      <c r="F1259" t="s">
        <v>2126</v>
      </c>
      <c r="G1259" t="s">
        <v>108</v>
      </c>
      <c r="H1259" t="s">
        <v>2696</v>
      </c>
      <c r="I1259" t="str">
        <f>INDEX(Genomes!$I:$I,(MATCH(AllProteins!H1259,Genomes!$B:$B,0)))</f>
        <v>KU749311-volepox_virus</v>
      </c>
      <c r="J1259">
        <f>INDEX(Genomes!$A:$A,(MATCH(AllProteins!H1259,Genomes!$B:$B,0)))</f>
        <v>55</v>
      </c>
      <c r="K1259" t="str">
        <f>INDEX(Genomes!$J:$J,(MATCH(AllProteins!H1259,Genomes!$B:$B,0)))</f>
        <v>Y</v>
      </c>
    </row>
    <row r="1260" spans="1:11" x14ac:dyDescent="0.2">
      <c r="A1260">
        <f>INDEX(CoreProteinGroups!A:A,MATCH(B1260,CoreProteinGroups!B:B,0))</f>
        <v>22</v>
      </c>
      <c r="B1260" s="1" t="s">
        <v>2121</v>
      </c>
      <c r="C1260" t="str">
        <f>VLOOKUP(B1260,CoreProteinGroups!$B:$C,2,FALSE)</f>
        <v>NPH-II</v>
      </c>
      <c r="D1260" t="s">
        <v>2191</v>
      </c>
      <c r="E1260" s="6" t="str">
        <f t="shared" si="19"/>
        <v>PROT:ASC55602.1</v>
      </c>
      <c r="F1260" t="s">
        <v>2192</v>
      </c>
      <c r="G1260" t="s">
        <v>111</v>
      </c>
      <c r="H1260" t="s">
        <v>2667</v>
      </c>
      <c r="I1260" t="str">
        <f>INDEX(Genomes!$I:$I,(MATCH(AllProteins!H1260,Genomes!$B:$B,0)))</f>
        <v>KY382358-seal_parapoxvirus</v>
      </c>
      <c r="J1260">
        <f>INDEX(Genomes!$A:$A,(MATCH(AllProteins!H1260,Genomes!$B:$B,0)))</f>
        <v>22</v>
      </c>
      <c r="K1260" t="str">
        <f>INDEX(Genomes!$J:$J,(MATCH(AllProteins!H1260,Genomes!$B:$B,0)))</f>
        <v>Y</v>
      </c>
    </row>
    <row r="1261" spans="1:11" x14ac:dyDescent="0.2">
      <c r="A1261">
        <f>INDEX(CoreProteinGroups!A:A,MATCH(B1261,CoreProteinGroups!B:B,0))</f>
        <v>22</v>
      </c>
      <c r="B1261" s="1" t="s">
        <v>2121</v>
      </c>
      <c r="C1261" t="str">
        <f>VLOOKUP(B1261,CoreProteinGroups!$B:$C,2,FALSE)</f>
        <v>NPH-II</v>
      </c>
      <c r="D1261" t="s">
        <v>2193</v>
      </c>
      <c r="E1261" s="6" t="str">
        <f t="shared" si="19"/>
        <v>PROT:AAR98393.1</v>
      </c>
      <c r="F1261" t="s">
        <v>2194</v>
      </c>
      <c r="G1261" t="s">
        <v>114</v>
      </c>
      <c r="H1261" t="s">
        <v>2652</v>
      </c>
      <c r="I1261" t="str">
        <f>INDEX(Genomes!$I:$I,(MATCH(AllProteins!H1261,Genomes!$B:$B,0)))</f>
        <v>AY386265-bovine_papular_stomatitis_virus</v>
      </c>
      <c r="J1261">
        <f>INDEX(Genomes!$A:$A,(MATCH(AllProteins!H1261,Genomes!$B:$B,0)))</f>
        <v>6</v>
      </c>
      <c r="K1261" t="str">
        <f>INDEX(Genomes!$J:$J,(MATCH(AllProteins!H1261,Genomes!$B:$B,0)))</f>
        <v>Y</v>
      </c>
    </row>
    <row r="1262" spans="1:11" x14ac:dyDescent="0.2">
      <c r="A1262">
        <f>INDEX(CoreProteinGroups!A:A,MATCH(B1262,CoreProteinGroups!B:B,0))</f>
        <v>22</v>
      </c>
      <c r="B1262" s="1" t="s">
        <v>2121</v>
      </c>
      <c r="C1262" t="str">
        <f>VLOOKUP(B1262,CoreProteinGroups!$B:$C,2,FALSE)</f>
        <v>NPH-II</v>
      </c>
      <c r="D1262" t="s">
        <v>2195</v>
      </c>
      <c r="E1262" s="6" t="str">
        <f t="shared" si="19"/>
        <v>PROT:AAR98261.1</v>
      </c>
      <c r="F1262" t="s">
        <v>2194</v>
      </c>
      <c r="G1262" t="s">
        <v>2702</v>
      </c>
      <c r="H1262" t="s">
        <v>2678</v>
      </c>
      <c r="I1262" t="str">
        <f>INDEX(Genomes!$I:$I,(MATCH(AllProteins!H1262,Genomes!$B:$B,0)))</f>
        <v>AY386264-orf_virus</v>
      </c>
      <c r="J1262">
        <f>INDEX(Genomes!$A:$A,(MATCH(AllProteins!H1262,Genomes!$B:$B,0)))</f>
        <v>35</v>
      </c>
      <c r="K1262" t="str">
        <f>INDEX(Genomes!$J:$J,(MATCH(AllProteins!H1262,Genomes!$B:$B,0)))</f>
        <v>Y</v>
      </c>
    </row>
    <row r="1263" spans="1:11" x14ac:dyDescent="0.2">
      <c r="A1263">
        <f>INDEX(CoreProteinGroups!A:A,MATCH(B1263,CoreProteinGroups!B:B,0))</f>
        <v>22</v>
      </c>
      <c r="B1263" s="1" t="s">
        <v>2121</v>
      </c>
      <c r="C1263" t="str">
        <f>VLOOKUP(B1263,CoreProteinGroups!$B:$C,2,FALSE)</f>
        <v>NPH-II</v>
      </c>
      <c r="D1263" t="s">
        <v>2196</v>
      </c>
      <c r="E1263" s="6" t="str">
        <f t="shared" si="19"/>
        <v>PROT:ABA00553.1</v>
      </c>
      <c r="F1263" t="s">
        <v>2126</v>
      </c>
      <c r="G1263" t="s">
        <v>2555</v>
      </c>
      <c r="H1263" t="s">
        <v>2645</v>
      </c>
      <c r="I1263" t="str">
        <f>INDEX(Genomes!$I:$I,(MATCH(AllProteins!H1263,Genomes!$B:$B,0)))</f>
        <v>DQ184476-orf_virus_strain_NZ2</v>
      </c>
      <c r="J1263">
        <f>INDEX(Genomes!$A:$A,(MATCH(AllProteins!H1263,Genomes!$B:$B,0)))</f>
        <v>36</v>
      </c>
      <c r="K1263" t="str">
        <f>INDEX(Genomes!$J:$J,(MATCH(AllProteins!H1263,Genomes!$B:$B,0)))</f>
        <v>N</v>
      </c>
    </row>
    <row r="1264" spans="1:11" x14ac:dyDescent="0.2">
      <c r="A1264">
        <f>INDEX(CoreProteinGroups!A:A,MATCH(B1264,CoreProteinGroups!B:B,0))</f>
        <v>22</v>
      </c>
      <c r="B1264" s="1" t="s">
        <v>2121</v>
      </c>
      <c r="C1264" t="str">
        <f>VLOOKUP(B1264,CoreProteinGroups!$B:$C,2,FALSE)</f>
        <v>NPH-II</v>
      </c>
      <c r="D1264" t="s">
        <v>2197</v>
      </c>
      <c r="E1264" s="6" t="str">
        <f t="shared" si="19"/>
        <v>PROT:AIZ77287.1</v>
      </c>
      <c r="F1264" t="s">
        <v>2198</v>
      </c>
      <c r="G1264" t="s">
        <v>119</v>
      </c>
      <c r="H1264" t="s">
        <v>2684</v>
      </c>
      <c r="I1264" t="str">
        <f>INDEX(Genomes!$I:$I,(MATCH(AllProteins!H1264,Genomes!$B:$B,0)))</f>
        <v>KM502564-parapoxvirus_red_deer</v>
      </c>
      <c r="J1264">
        <f>INDEX(Genomes!$A:$A,(MATCH(AllProteins!H1264,Genomes!$B:$B,0)))</f>
        <v>42</v>
      </c>
      <c r="K1264" t="str">
        <f>INDEX(Genomes!$J:$J,(MATCH(AllProteins!H1264,Genomes!$B:$B,0)))</f>
        <v>Y</v>
      </c>
    </row>
    <row r="1265" spans="1:11" x14ac:dyDescent="0.2">
      <c r="A1265">
        <f>INDEX(CoreProteinGroups!A:A,MATCH(B1265,CoreProteinGroups!B:B,0))</f>
        <v>22</v>
      </c>
      <c r="B1265" s="1" t="s">
        <v>2121</v>
      </c>
      <c r="C1265" t="str">
        <f>VLOOKUP(B1265,CoreProteinGroups!$B:$C,2,FALSE)</f>
        <v>NPH-II</v>
      </c>
      <c r="D1265" t="s">
        <v>2199</v>
      </c>
      <c r="E1265" s="6" t="str">
        <f t="shared" si="19"/>
        <v>PROT:ADC53937.1</v>
      </c>
      <c r="F1265" t="s">
        <v>2128</v>
      </c>
      <c r="G1265" t="s">
        <v>121</v>
      </c>
      <c r="H1265" t="s">
        <v>2679</v>
      </c>
      <c r="I1265" t="str">
        <f>INDEX(Genomes!$I:$I,(MATCH(AllProteins!H1265,Genomes!$B:$B,0)))</f>
        <v>GQ329670-pseudocowpox_virus</v>
      </c>
      <c r="J1265">
        <f>INDEX(Genomes!$A:$A,(MATCH(AllProteins!H1265,Genomes!$B:$B,0)))</f>
        <v>37</v>
      </c>
      <c r="K1265" t="str">
        <f>INDEX(Genomes!$J:$J,(MATCH(AllProteins!H1265,Genomes!$B:$B,0)))</f>
        <v>Y</v>
      </c>
    </row>
    <row r="1266" spans="1:11" x14ac:dyDescent="0.2">
      <c r="A1266">
        <f>INDEX(CoreProteinGroups!A:A,MATCH(B1266,CoreProteinGroups!B:B,0))</f>
        <v>22</v>
      </c>
      <c r="B1266" s="1" t="s">
        <v>2121</v>
      </c>
      <c r="C1266" t="str">
        <f>VLOOKUP(B1266,CoreProteinGroups!$B:$C,2,FALSE)</f>
        <v>NPH-II</v>
      </c>
      <c r="D1266" t="s">
        <v>2200</v>
      </c>
      <c r="E1266" s="6" t="str">
        <f t="shared" si="19"/>
        <v>PROT:AAL69785.1</v>
      </c>
      <c r="F1266" t="s">
        <v>2201</v>
      </c>
      <c r="G1266" t="s">
        <v>124</v>
      </c>
      <c r="H1266" t="s">
        <v>2690</v>
      </c>
      <c r="I1266" t="str">
        <f>INDEX(Genomes!$I:$I,(MATCH(AllProteins!H1266,Genomes!$B:$B,0)))</f>
        <v>AF410153-swinepox_virus</v>
      </c>
      <c r="J1266">
        <f>INDEX(Genomes!$A:$A,(MATCH(AllProteins!H1266,Genomes!$B:$B,0)))</f>
        <v>49</v>
      </c>
      <c r="K1266" t="str">
        <f>INDEX(Genomes!$J:$J,(MATCH(AllProteins!H1266,Genomes!$B:$B,0)))</f>
        <v>Y</v>
      </c>
    </row>
    <row r="1267" spans="1:11" x14ac:dyDescent="0.2">
      <c r="A1267">
        <f>INDEX(CoreProteinGroups!A:A,MATCH(B1267,CoreProteinGroups!B:B,0))</f>
        <v>22</v>
      </c>
      <c r="B1267" s="1" t="s">
        <v>2121</v>
      </c>
      <c r="C1267" t="str">
        <f>VLOOKUP(B1267,CoreProteinGroups!$B:$C,2,FALSE)</f>
        <v>NPH-II</v>
      </c>
      <c r="D1267" t="s">
        <v>2202</v>
      </c>
      <c r="E1267" s="6" t="str">
        <f t="shared" si="19"/>
        <v>PROT:CAC21287.1</v>
      </c>
      <c r="F1267" t="s">
        <v>2203</v>
      </c>
      <c r="G1267" t="s">
        <v>127</v>
      </c>
      <c r="H1267" t="s">
        <v>2699</v>
      </c>
      <c r="I1267" t="str">
        <f>INDEX(Genomes!$I:$I,(MATCH(AllProteins!H1267,Genomes!$B:$B,0)))</f>
        <v>AJ293568-tanapox_virus</v>
      </c>
      <c r="J1267">
        <f>INDEX(Genomes!$A:$A,(MATCH(AllProteins!H1267,Genomes!$B:$B,0)))</f>
        <v>58</v>
      </c>
      <c r="K1267" t="str">
        <f>INDEX(Genomes!$J:$J,(MATCH(AllProteins!H1267,Genomes!$B:$B,0)))</f>
        <v>Y</v>
      </c>
    </row>
    <row r="1268" spans="1:11" x14ac:dyDescent="0.2">
      <c r="A1268">
        <f>INDEX(CoreProteinGroups!A:A,MATCH(B1268,CoreProteinGroups!B:B,0))</f>
        <v>22</v>
      </c>
      <c r="B1268" s="1" t="s">
        <v>2121</v>
      </c>
      <c r="C1268" t="str">
        <f>VLOOKUP(B1268,CoreProteinGroups!$B:$C,2,FALSE)</f>
        <v>NPH-II</v>
      </c>
      <c r="D1268" t="s">
        <v>2204</v>
      </c>
      <c r="E1268" s="6" t="str">
        <f t="shared" si="19"/>
        <v>PROT:AAR07405.1</v>
      </c>
      <c r="F1268" t="s">
        <v>2205</v>
      </c>
      <c r="G1268" t="s">
        <v>130</v>
      </c>
      <c r="H1268" t="s">
        <v>2700</v>
      </c>
      <c r="I1268" t="str">
        <f>INDEX(Genomes!$I:$I,(MATCH(AllProteins!H1268,Genomes!$B:$B,0)))</f>
        <v>AY386371-Yaba_monkey_tumor_virus</v>
      </c>
      <c r="J1268">
        <f>INDEX(Genomes!$A:$A,(MATCH(AllProteins!H1268,Genomes!$B:$B,0)))</f>
        <v>59</v>
      </c>
      <c r="K1268" t="str">
        <f>INDEX(Genomes!$J:$J,(MATCH(AllProteins!H1268,Genomes!$B:$B,0)))</f>
        <v>Y</v>
      </c>
    </row>
    <row r="1269" spans="1:11" x14ac:dyDescent="0.2">
      <c r="A1269">
        <f>INDEX(CoreProteinGroups!A:A,MATCH(B1269,CoreProteinGroups!B:B,0))</f>
        <v>22</v>
      </c>
      <c r="B1269" s="1" t="s">
        <v>2121</v>
      </c>
      <c r="C1269" t="str">
        <f>VLOOKUP(B1269,CoreProteinGroups!$B:$C,2,FALSE)</f>
        <v>NPH-II</v>
      </c>
      <c r="D1269" t="s">
        <v>2206</v>
      </c>
      <c r="E1269" s="6" t="str">
        <f t="shared" si="19"/>
        <v>PROT:AAC97810.1</v>
      </c>
      <c r="F1269" t="s">
        <v>2207</v>
      </c>
      <c r="G1269" t="s">
        <v>133</v>
      </c>
      <c r="H1269" t="s">
        <v>2674</v>
      </c>
      <c r="I1269" t="str">
        <f>INDEX(Genomes!$I:$I,(MATCH(AllProteins!H1269,Genomes!$B:$B,0)))</f>
        <v>AF063866-Melanoplus_sanguinipes_entomopoxvirus</v>
      </c>
      <c r="J1269">
        <f>INDEX(Genomes!$A:$A,(MATCH(AllProteins!H1269,Genomes!$B:$B,0)))</f>
        <v>30</v>
      </c>
      <c r="K1269" t="str">
        <f>INDEX(Genomes!$J:$J,(MATCH(AllProteins!H1269,Genomes!$B:$B,0)))</f>
        <v>Y</v>
      </c>
    </row>
    <row r="1270" spans="1:11" x14ac:dyDescent="0.2">
      <c r="A1270">
        <f>INDEX(CoreProteinGroups!A:A,MATCH(B1270,CoreProteinGroups!B:B,0))</f>
        <v>22</v>
      </c>
      <c r="B1270" s="1" t="s">
        <v>2121</v>
      </c>
      <c r="C1270" t="str">
        <f>VLOOKUP(B1270,CoreProteinGroups!$B:$C,2,FALSE)</f>
        <v>NPH-II</v>
      </c>
      <c r="D1270" t="s">
        <v>2208</v>
      </c>
      <c r="E1270" s="6" t="str">
        <f t="shared" si="19"/>
        <v>PROT:BAO49530.1</v>
      </c>
      <c r="F1270" t="s">
        <v>2128</v>
      </c>
      <c r="G1270" t="s">
        <v>136</v>
      </c>
      <c r="H1270" t="s">
        <v>2648</v>
      </c>
      <c r="I1270" t="str">
        <f>INDEX(Genomes!$I:$I,(MATCH(AllProteins!H1270,Genomes!$B:$B,0)))</f>
        <v>AP013055-Anomala_cuprea_entomopoxvirus</v>
      </c>
      <c r="J1270">
        <f>INDEX(Genomes!$A:$A,(MATCH(AllProteins!H1270,Genomes!$B:$B,0)))</f>
        <v>2</v>
      </c>
      <c r="K1270" t="str">
        <f>INDEX(Genomes!$J:$J,(MATCH(AllProteins!H1270,Genomes!$B:$B,0)))</f>
        <v>Y</v>
      </c>
    </row>
    <row r="1271" spans="1:11" x14ac:dyDescent="0.2">
      <c r="A1271">
        <f>INDEX(CoreProteinGroups!A:A,MATCH(B1271,CoreProteinGroups!B:B,0))</f>
        <v>22</v>
      </c>
      <c r="B1271" s="1" t="s">
        <v>2121</v>
      </c>
      <c r="C1271" t="str">
        <f>VLOOKUP(B1271,CoreProteinGroups!$B:$C,2,FALSE)</f>
        <v>NPH-II</v>
      </c>
      <c r="D1271" t="s">
        <v>2209</v>
      </c>
      <c r="E1271" s="6" t="str">
        <f t="shared" si="19"/>
        <v>PROT:CCU55400.1</v>
      </c>
      <c r="F1271" t="s">
        <v>2210</v>
      </c>
      <c r="G1271" t="s">
        <v>138</v>
      </c>
      <c r="H1271" t="s">
        <v>2649</v>
      </c>
      <c r="I1271" t="str">
        <f>INDEX(Genomes!$I:$I,(MATCH(AllProteins!H1271,Genomes!$B:$B,0)))</f>
        <v>HF679131-Adoxophyes_honmai_entomopoxvirus</v>
      </c>
      <c r="J1271">
        <f>INDEX(Genomes!$A:$A,(MATCH(AllProteins!H1271,Genomes!$B:$B,0)))</f>
        <v>3</v>
      </c>
      <c r="K1271" t="str">
        <f>INDEX(Genomes!$J:$J,(MATCH(AllProteins!H1271,Genomes!$B:$B,0)))</f>
        <v>Y</v>
      </c>
    </row>
    <row r="1272" spans="1:11" x14ac:dyDescent="0.2">
      <c r="A1272">
        <f>INDEX(CoreProteinGroups!A:A,MATCH(B1272,CoreProteinGroups!B:B,0))</f>
        <v>22</v>
      </c>
      <c r="B1272" s="1" t="s">
        <v>2121</v>
      </c>
      <c r="C1272" t="str">
        <f>VLOOKUP(B1272,CoreProteinGroups!$B:$C,2,FALSE)</f>
        <v>NPH-II</v>
      </c>
      <c r="D1272" t="s">
        <v>2211</v>
      </c>
      <c r="E1272" s="6" t="str">
        <f t="shared" si="19"/>
        <v>PROT:AAG02787.1</v>
      </c>
      <c r="F1272" t="s">
        <v>2212</v>
      </c>
      <c r="G1272" t="s">
        <v>141</v>
      </c>
      <c r="H1272" t="s">
        <v>2651</v>
      </c>
      <c r="I1272" t="str">
        <f>INDEX(Genomes!$I:$I,(MATCH(AllProteins!H1272,Genomes!$B:$B,0)))</f>
        <v>AF250284-Amsacta_moorei_entomopoxvirus</v>
      </c>
      <c r="J1272">
        <f>INDEX(Genomes!$A:$A,(MATCH(AllProteins!H1272,Genomes!$B:$B,0)))</f>
        <v>5</v>
      </c>
      <c r="K1272" t="str">
        <f>INDEX(Genomes!$J:$J,(MATCH(AllProteins!H1272,Genomes!$B:$B,0)))</f>
        <v>Y</v>
      </c>
    </row>
    <row r="1273" spans="1:11" x14ac:dyDescent="0.2">
      <c r="A1273">
        <f>INDEX(CoreProteinGroups!A:A,MATCH(B1273,CoreProteinGroups!B:B,0))</f>
        <v>22</v>
      </c>
      <c r="B1273" s="1" t="s">
        <v>2121</v>
      </c>
      <c r="C1273" t="str">
        <f>VLOOKUP(B1273,CoreProteinGroups!$B:$C,2,FALSE)</f>
        <v>NPH-II</v>
      </c>
      <c r="D1273" t="s">
        <v>2213</v>
      </c>
      <c r="E1273" s="6" t="str">
        <f t="shared" si="19"/>
        <v>PROT:CCU55706.1</v>
      </c>
      <c r="F1273" t="s">
        <v>2210</v>
      </c>
      <c r="G1273" t="s">
        <v>143</v>
      </c>
      <c r="H1273" t="s">
        <v>2656</v>
      </c>
      <c r="I1273" t="str">
        <f>INDEX(Genomes!$I:$I,(MATCH(AllProteins!H1273,Genomes!$B:$B,0)))</f>
        <v>HF679132-Choristoneura_biennis_entomopoxvirus</v>
      </c>
      <c r="J1273">
        <f>INDEX(Genomes!$A:$A,(MATCH(AllProteins!H1273,Genomes!$B:$B,0)))</f>
        <v>10</v>
      </c>
      <c r="K1273" t="str">
        <f>INDEX(Genomes!$J:$J,(MATCH(AllProteins!H1273,Genomes!$B:$B,0)))</f>
        <v>Y</v>
      </c>
    </row>
    <row r="1274" spans="1:11" x14ac:dyDescent="0.2">
      <c r="A1274">
        <f>INDEX(CoreProteinGroups!A:A,MATCH(B1274,CoreProteinGroups!B:B,0))</f>
        <v>22</v>
      </c>
      <c r="B1274" s="1" t="s">
        <v>2121</v>
      </c>
      <c r="C1274" t="str">
        <f>VLOOKUP(B1274,CoreProteinGroups!$B:$C,2,FALSE)</f>
        <v>NPH-II</v>
      </c>
      <c r="D1274" t="s">
        <v>2214</v>
      </c>
      <c r="E1274" s="6" t="str">
        <f t="shared" si="19"/>
        <v>PROT:CCU56008.1</v>
      </c>
      <c r="F1274" t="s">
        <v>2210</v>
      </c>
      <c r="G1274" t="s">
        <v>145</v>
      </c>
      <c r="H1274" t="s">
        <v>2660</v>
      </c>
      <c r="I1274" t="str">
        <f>INDEX(Genomes!$I:$I,(MATCH(AllProteins!H1274,Genomes!$B:$B,0)))</f>
        <v>HF679133-Choristoneura_rosaceana_entomopoxvirus</v>
      </c>
      <c r="J1274">
        <f>INDEX(Genomes!$A:$A,(MATCH(AllProteins!H1274,Genomes!$B:$B,0)))</f>
        <v>14</v>
      </c>
      <c r="K1274" t="str">
        <f>INDEX(Genomes!$J:$J,(MATCH(AllProteins!H1274,Genomes!$B:$B,0)))</f>
        <v>Y</v>
      </c>
    </row>
    <row r="1275" spans="1:11" x14ac:dyDescent="0.2">
      <c r="A1275">
        <f>INDEX(CoreProteinGroups!A:A,MATCH(B1275,CoreProteinGroups!B:B,0))</f>
        <v>22</v>
      </c>
      <c r="B1275" s="1" t="s">
        <v>2121</v>
      </c>
      <c r="C1275" t="str">
        <f>VLOOKUP(B1275,CoreProteinGroups!$B:$C,2,FALSE)</f>
        <v>NPH-II</v>
      </c>
      <c r="D1275" t="s">
        <v>2215</v>
      </c>
      <c r="E1275" s="6" t="str">
        <f t="shared" si="19"/>
        <v>PROT:CCU56302.1</v>
      </c>
      <c r="F1275" t="s">
        <v>2210</v>
      </c>
      <c r="G1275" t="s">
        <v>147</v>
      </c>
      <c r="H1275" t="s">
        <v>2675</v>
      </c>
      <c r="I1275" t="str">
        <f>INDEX(Genomes!$I:$I,(MATCH(AllProteins!H1275,Genomes!$B:$B,0)))</f>
        <v>HF679134-Mythimna_separata_entomopoxvirus</v>
      </c>
      <c r="J1275">
        <f>INDEX(Genomes!$A:$A,(MATCH(AllProteins!H1275,Genomes!$B:$B,0)))</f>
        <v>31</v>
      </c>
      <c r="K1275" t="str">
        <f>INDEX(Genomes!$J:$J,(MATCH(AllProteins!H1275,Genomes!$B:$B,0)))</f>
        <v>Y</v>
      </c>
    </row>
    <row r="1276" spans="1:11" x14ac:dyDescent="0.2">
      <c r="A1276">
        <f>INDEX(CoreProteinGroups!A:A,MATCH(B1276,CoreProteinGroups!B:B,0))</f>
        <v>22</v>
      </c>
      <c r="B1276" s="1" t="s">
        <v>2121</v>
      </c>
      <c r="C1276" t="str">
        <f>VLOOKUP(B1276,CoreProteinGroups!$B:$C,2,FALSE)</f>
        <v>NPH-II</v>
      </c>
      <c r="D1276" t="s">
        <v>2216</v>
      </c>
      <c r="E1276" s="6" t="str">
        <f t="shared" si="19"/>
        <v>PROT:NP_659621.1</v>
      </c>
      <c r="F1276" t="s">
        <v>2217</v>
      </c>
      <c r="G1276" t="s">
        <v>150</v>
      </c>
      <c r="H1276" t="s">
        <v>2620</v>
      </c>
      <c r="I1276" t="str">
        <f>INDEX(Genomes!$I:$I,(MATCH(AllProteins!H1276,Genomes!$B:$B,0)))</f>
        <v>NC_004002-sheeppox_virus</v>
      </c>
      <c r="J1276">
        <f>INDEX(Genomes!$A:$A,(MATCH(AllProteins!H1276,Genomes!$B:$B,0)))</f>
        <v>44</v>
      </c>
      <c r="K1276" t="str">
        <f>INDEX(Genomes!$J:$J,(MATCH(AllProteins!H1276,Genomes!$B:$B,0)))</f>
        <v>Y</v>
      </c>
    </row>
    <row r="1277" spans="1:11" x14ac:dyDescent="0.2">
      <c r="A1277">
        <f>INDEX(CoreProteinGroups!A:A,MATCH(B1277,CoreProteinGroups!B:B,0))</f>
        <v>22</v>
      </c>
      <c r="B1277" s="1" t="s">
        <v>2121</v>
      </c>
      <c r="C1277" t="str">
        <f>VLOOKUP(B1277,CoreProteinGroups!$B:$C,2,FALSE)</f>
        <v>NPH-II</v>
      </c>
      <c r="D1277" t="s">
        <v>2218</v>
      </c>
      <c r="E1277" s="6" t="str">
        <f t="shared" si="19"/>
        <v>PROT:YP_001293240.1</v>
      </c>
      <c r="F1277" t="s">
        <v>2219</v>
      </c>
      <c r="G1277" t="s">
        <v>153</v>
      </c>
      <c r="H1277" t="s">
        <v>2644</v>
      </c>
      <c r="I1277" t="str">
        <f>INDEX(Genomes!$I:$I,(MATCH(AllProteins!H1277,Genomes!$B:$B,0)))</f>
        <v>NC_004003-goatpox_virus</v>
      </c>
      <c r="J1277">
        <f>INDEX(Genomes!$A:$A,(MATCH(AllProteins!H1277,Genomes!$B:$B,0)))</f>
        <v>23</v>
      </c>
      <c r="K1277" t="str">
        <f>INDEX(Genomes!$J:$J,(MATCH(AllProteins!H1277,Genomes!$B:$B,0)))</f>
        <v>Y</v>
      </c>
    </row>
    <row r="1278" spans="1:11" x14ac:dyDescent="0.2">
      <c r="A1278">
        <f>INDEX(CoreProteinGroups!A:A,MATCH(B1278,CoreProteinGroups!B:B,0))</f>
        <v>23</v>
      </c>
      <c r="B1278" s="1" t="s">
        <v>2220</v>
      </c>
      <c r="C1278" t="str">
        <f>VLOOKUP(B1278,CoreProteinGroups!$B:$C,2,FALSE)</f>
        <v>polyA polymerase small</v>
      </c>
      <c r="D1278" t="s">
        <v>2222</v>
      </c>
      <c r="E1278" s="6" t="str">
        <f t="shared" si="19"/>
        <v>PROT:ATI21175.1</v>
      </c>
      <c r="F1278" t="s">
        <v>2223</v>
      </c>
      <c r="G1278" t="s">
        <v>11</v>
      </c>
      <c r="H1278" t="s">
        <v>2663</v>
      </c>
      <c r="I1278" t="str">
        <f>INDEX(Genomes!$I:$I,(MATCH(AllProteins!H1278,Genomes!$B:$B,0)))</f>
        <v>MF467281-Eastern_grey_kangaroopox_virus</v>
      </c>
      <c r="J1278">
        <f>INDEX(Genomes!$A:$A,(MATCH(AllProteins!H1278,Genomes!$B:$B,0)))</f>
        <v>18</v>
      </c>
      <c r="K1278" t="str">
        <f>INDEX(Genomes!$J:$J,(MATCH(AllProteins!H1278,Genomes!$B:$B,0)))</f>
        <v>Y</v>
      </c>
    </row>
    <row r="1279" spans="1:11" x14ac:dyDescent="0.2">
      <c r="A1279">
        <f>INDEX(CoreProteinGroups!A:A,MATCH(B1279,CoreProteinGroups!B:B,0))</f>
        <v>23</v>
      </c>
      <c r="B1279" s="1" t="s">
        <v>2220</v>
      </c>
      <c r="C1279" t="str">
        <f>VLOOKUP(B1279,CoreProteinGroups!$B:$C,2,FALSE)</f>
        <v>polyA polymerase small</v>
      </c>
      <c r="D1279" t="s">
        <v>2224</v>
      </c>
      <c r="E1279" s="6" t="str">
        <f t="shared" si="19"/>
        <v>PROT:AWU47111.1</v>
      </c>
      <c r="F1279" t="s">
        <v>2225</v>
      </c>
      <c r="G1279" t="s">
        <v>13</v>
      </c>
      <c r="H1279" t="s">
        <v>2688</v>
      </c>
      <c r="I1279" t="str">
        <f>INDEX(Genomes!$I:$I,(MATCH(AllProteins!H1279,Genomes!$B:$B,0)))</f>
        <v>MH427217-sea_otter_poxvirus</v>
      </c>
      <c r="J1279">
        <f>INDEX(Genomes!$A:$A,(MATCH(AllProteins!H1279,Genomes!$B:$B,0)))</f>
        <v>47</v>
      </c>
      <c r="K1279" t="str">
        <f>INDEX(Genomes!$J:$J,(MATCH(AllProteins!H1279,Genomes!$B:$B,0)))</f>
        <v>Y</v>
      </c>
    </row>
    <row r="1280" spans="1:11" x14ac:dyDescent="0.2">
      <c r="A1280">
        <f>INDEX(CoreProteinGroups!A:A,MATCH(B1280,CoreProteinGroups!B:B,0))</f>
        <v>23</v>
      </c>
      <c r="B1280" s="1" t="s">
        <v>2220</v>
      </c>
      <c r="C1280" t="str">
        <f>VLOOKUP(B1280,CoreProteinGroups!$B:$C,2,FALSE)</f>
        <v>polyA polymerase small</v>
      </c>
      <c r="D1280" t="s">
        <v>2226</v>
      </c>
      <c r="E1280" s="6" t="str">
        <f t="shared" si="19"/>
        <v>PROT:APG58285.1</v>
      </c>
      <c r="F1280" t="s">
        <v>2227</v>
      </c>
      <c r="G1280" t="s">
        <v>16</v>
      </c>
      <c r="H1280" t="s">
        <v>2653</v>
      </c>
      <c r="I1280" t="str">
        <f>INDEX(Genomes!$I:$I,(MATCH(AllProteins!H1280,Genomes!$B:$B,0)))</f>
        <v>KY094066-BeAn_58058_virus</v>
      </c>
      <c r="J1280">
        <f>INDEX(Genomes!$A:$A,(MATCH(AllProteins!H1280,Genomes!$B:$B,0)))</f>
        <v>7</v>
      </c>
      <c r="K1280" t="str">
        <f>INDEX(Genomes!$J:$J,(MATCH(AllProteins!H1280,Genomes!$B:$B,0)))</f>
        <v>N</v>
      </c>
    </row>
    <row r="1281" spans="1:11" x14ac:dyDescent="0.2">
      <c r="A1281">
        <f>INDEX(CoreProteinGroups!A:A,MATCH(B1281,CoreProteinGroups!B:B,0))</f>
        <v>23</v>
      </c>
      <c r="B1281" s="1" t="s">
        <v>2220</v>
      </c>
      <c r="C1281" t="str">
        <f>VLOOKUP(B1281,CoreProteinGroups!$B:$C,2,FALSE)</f>
        <v>polyA polymerase small</v>
      </c>
      <c r="D1281" t="s">
        <v>2228</v>
      </c>
      <c r="E1281" s="6" t="str">
        <f t="shared" si="19"/>
        <v>PROT:ADT91098.1</v>
      </c>
      <c r="F1281" t="s">
        <v>2229</v>
      </c>
      <c r="G1281" t="s">
        <v>19</v>
      </c>
      <c r="H1281" t="s">
        <v>2658</v>
      </c>
      <c r="I1281" t="str">
        <f>INDEX(Genomes!$I:$I,(MATCH(AllProteins!H1281,Genomes!$B:$B,0)))</f>
        <v>HQ647181-Cotia_virus</v>
      </c>
      <c r="J1281">
        <f>INDEX(Genomes!$A:$A,(MATCH(AllProteins!H1281,Genomes!$B:$B,0)))</f>
        <v>12</v>
      </c>
      <c r="K1281" t="str">
        <f>INDEX(Genomes!$J:$J,(MATCH(AllProteins!H1281,Genomes!$B:$B,0)))</f>
        <v>Y</v>
      </c>
    </row>
    <row r="1282" spans="1:11" x14ac:dyDescent="0.2">
      <c r="A1282">
        <f>INDEX(CoreProteinGroups!A:A,MATCH(B1282,CoreProteinGroups!B:B,0))</f>
        <v>23</v>
      </c>
      <c r="B1282" s="1" t="s">
        <v>2220</v>
      </c>
      <c r="C1282" t="str">
        <f>VLOOKUP(B1282,CoreProteinGroups!$B:$C,2,FALSE)</f>
        <v>polyA polymerase small</v>
      </c>
      <c r="D1282" t="s">
        <v>2230</v>
      </c>
      <c r="E1282" s="6" t="str">
        <f t="shared" ref="E1282:E1345" si="20">HYPERLINK(_xlfn.CONCAT("https://www.ncbi.nlm.nih.gov/protein/",D1282),_xlfn.CONCAT("PROT:",D1282))</f>
        <v>PROT:ANS71155.1</v>
      </c>
      <c r="F1282" t="s">
        <v>2231</v>
      </c>
      <c r="G1282" t="s">
        <v>21</v>
      </c>
      <c r="H1282" t="s">
        <v>2682</v>
      </c>
      <c r="I1282" t="str">
        <f>INDEX(Genomes!$I:$I,(MATCH(AllProteins!H1282,Genomes!$B:$B,0)))</f>
        <v>KU980965-pteropox_virus</v>
      </c>
      <c r="J1282">
        <f>INDEX(Genomes!$A:$A,(MATCH(AllProteins!H1282,Genomes!$B:$B,0)))</f>
        <v>40</v>
      </c>
      <c r="K1282" t="str">
        <f>INDEX(Genomes!$J:$J,(MATCH(AllProteins!H1282,Genomes!$B:$B,0)))</f>
        <v>Y</v>
      </c>
    </row>
    <row r="1283" spans="1:11" x14ac:dyDescent="0.2">
      <c r="A1283">
        <f>INDEX(CoreProteinGroups!A:A,MATCH(B1283,CoreProteinGroups!B:B,0))</f>
        <v>23</v>
      </c>
      <c r="B1283" s="1" t="s">
        <v>2220</v>
      </c>
      <c r="C1283" t="str">
        <f>VLOOKUP(B1283,CoreProteinGroups!$B:$C,2,FALSE)</f>
        <v>polyA polymerase small</v>
      </c>
      <c r="D1283" t="s">
        <v>2232</v>
      </c>
      <c r="E1283" s="6" t="str">
        <f t="shared" si="20"/>
        <v>PROT:AKR04186.1</v>
      </c>
      <c r="F1283" t="s">
        <v>2233</v>
      </c>
      <c r="G1283" t="s">
        <v>24</v>
      </c>
      <c r="H1283" t="s">
        <v>2687</v>
      </c>
      <c r="I1283" t="str">
        <f>INDEX(Genomes!$I:$I,(MATCH(AllProteins!H1283,Genomes!$B:$B,0)))</f>
        <v>KT159937-salmon_gill_poxvirus</v>
      </c>
      <c r="J1283">
        <f>INDEX(Genomes!$A:$A,(MATCH(AllProteins!H1283,Genomes!$B:$B,0)))</f>
        <v>46</v>
      </c>
      <c r="K1283" t="str">
        <f>INDEX(Genomes!$J:$J,(MATCH(AllProteins!H1283,Genomes!$B:$B,0)))</f>
        <v>Y</v>
      </c>
    </row>
    <row r="1284" spans="1:11" x14ac:dyDescent="0.2">
      <c r="A1284">
        <f>INDEX(CoreProteinGroups!A:A,MATCH(B1284,CoreProteinGroups!B:B,0))</f>
        <v>23</v>
      </c>
      <c r="B1284" s="1" t="s">
        <v>2220</v>
      </c>
      <c r="C1284" t="str">
        <f>VLOOKUP(B1284,CoreProteinGroups!$B:$C,2,FALSE)</f>
        <v>polyA polymerase small</v>
      </c>
      <c r="D1284" t="s">
        <v>2234</v>
      </c>
      <c r="E1284" s="6" t="str">
        <f t="shared" si="20"/>
        <v>PROT:CCD83243.1</v>
      </c>
      <c r="F1284" t="s">
        <v>2235</v>
      </c>
      <c r="G1284" t="s">
        <v>27</v>
      </c>
      <c r="H1284" t="s">
        <v>2689</v>
      </c>
      <c r="I1284" t="str">
        <f>INDEX(Genomes!$I:$I,(MATCH(AllProteins!H1284,Genomes!$B:$B,0)))</f>
        <v>HE601899-squirrelpox_virus</v>
      </c>
      <c r="J1284">
        <f>INDEX(Genomes!$A:$A,(MATCH(AllProteins!H1284,Genomes!$B:$B,0)))</f>
        <v>48</v>
      </c>
      <c r="K1284" t="str">
        <f>INDEX(Genomes!$J:$J,(MATCH(AllProteins!H1284,Genomes!$B:$B,0)))</f>
        <v>Y</v>
      </c>
    </row>
    <row r="1285" spans="1:11" x14ac:dyDescent="0.2">
      <c r="A1285">
        <f>INDEX(CoreProteinGroups!A:A,MATCH(B1285,CoreProteinGroups!B:B,0))</f>
        <v>23</v>
      </c>
      <c r="B1285" s="1" t="s">
        <v>2220</v>
      </c>
      <c r="C1285" t="str">
        <f>VLOOKUP(B1285,CoreProteinGroups!$B:$C,2,FALSE)</f>
        <v>polyA polymerase small</v>
      </c>
      <c r="D1285" t="s">
        <v>2236</v>
      </c>
      <c r="E1285" s="6" t="str">
        <f t="shared" si="20"/>
        <v>PROT:ASK51273.1</v>
      </c>
      <c r="F1285" t="s">
        <v>2237</v>
      </c>
      <c r="G1285" t="s">
        <v>30</v>
      </c>
      <c r="H1285" t="s">
        <v>2664</v>
      </c>
      <c r="I1285" t="str">
        <f>INDEX(Genomes!$I:$I,(MATCH(AllProteins!H1285,Genomes!$B:$B,0)))</f>
        <v>KY747497-eptesipox_virus</v>
      </c>
      <c r="J1285">
        <f>INDEX(Genomes!$A:$A,(MATCH(AllProteins!H1285,Genomes!$B:$B,0)))</f>
        <v>19</v>
      </c>
      <c r="K1285" t="str">
        <f>INDEX(Genomes!$J:$J,(MATCH(AllProteins!H1285,Genomes!$B:$B,0)))</f>
        <v>Y</v>
      </c>
    </row>
    <row r="1286" spans="1:11" x14ac:dyDescent="0.2">
      <c r="A1286">
        <f>INDEX(CoreProteinGroups!A:A,MATCH(B1286,CoreProteinGroups!B:B,0))</f>
        <v>23</v>
      </c>
      <c r="B1286" s="1" t="s">
        <v>2220</v>
      </c>
      <c r="C1286" t="str">
        <f>VLOOKUP(B1286,CoreProteinGroups!$B:$C,2,FALSE)</f>
        <v>polyA polymerase small</v>
      </c>
      <c r="D1286" t="s">
        <v>2238</v>
      </c>
      <c r="E1286" s="6" t="str">
        <f t="shared" si="20"/>
        <v>PROT:AUD40238.1</v>
      </c>
      <c r="F1286" t="s">
        <v>2229</v>
      </c>
      <c r="G1286" t="s">
        <v>32</v>
      </c>
      <c r="H1286" t="s">
        <v>2665</v>
      </c>
      <c r="I1286" t="str">
        <f>INDEX(Genomes!$I:$I,(MATCH(AllProteins!H1286,Genomes!$B:$B,0)))</f>
        <v>MF678796-flamingopox_virus</v>
      </c>
      <c r="J1286">
        <f>INDEX(Genomes!$A:$A,(MATCH(AllProteins!H1286,Genomes!$B:$B,0)))</f>
        <v>20</v>
      </c>
      <c r="K1286" t="str">
        <f>INDEX(Genomes!$J:$J,(MATCH(AllProteins!H1286,Genomes!$B:$B,0)))</f>
        <v>Y</v>
      </c>
    </row>
    <row r="1287" spans="1:11" x14ac:dyDescent="0.2">
      <c r="A1287">
        <f>INDEX(CoreProteinGroups!A:A,MATCH(B1287,CoreProteinGroups!B:B,0))</f>
        <v>23</v>
      </c>
      <c r="B1287" s="1" t="s">
        <v>2220</v>
      </c>
      <c r="C1287" t="str">
        <f>VLOOKUP(B1287,CoreProteinGroups!$B:$C,2,FALSE)</f>
        <v>polyA polymerase small</v>
      </c>
      <c r="D1287" t="s">
        <v>2239</v>
      </c>
      <c r="E1287" s="6" t="str">
        <f t="shared" si="20"/>
        <v>PROT:AID46870.1</v>
      </c>
      <c r="F1287" t="s">
        <v>2240</v>
      </c>
      <c r="G1287" t="s">
        <v>34</v>
      </c>
      <c r="H1287" t="s">
        <v>2681</v>
      </c>
      <c r="I1287" t="str">
        <f>INDEX(Genomes!$I:$I,(MATCH(AllProteins!H1287,Genomes!$B:$B,0)))</f>
        <v>KJ859677-penguinpox_virus</v>
      </c>
      <c r="J1287">
        <f>INDEX(Genomes!$A:$A,(MATCH(AllProteins!H1287,Genomes!$B:$B,0)))</f>
        <v>39</v>
      </c>
      <c r="K1287" t="str">
        <f>INDEX(Genomes!$J:$J,(MATCH(AllProteins!H1287,Genomes!$B:$B,0)))</f>
        <v>Y</v>
      </c>
    </row>
    <row r="1288" spans="1:11" x14ac:dyDescent="0.2">
      <c r="A1288">
        <f>INDEX(CoreProteinGroups!A:A,MATCH(B1288,CoreProteinGroups!B:B,0))</f>
        <v>23</v>
      </c>
      <c r="B1288" s="1" t="s">
        <v>2220</v>
      </c>
      <c r="C1288" t="str">
        <f>VLOOKUP(B1288,CoreProteinGroups!$B:$C,2,FALSE)</f>
        <v>polyA polymerase small</v>
      </c>
      <c r="D1288" t="s">
        <v>2241</v>
      </c>
      <c r="E1288" s="6" t="str">
        <f t="shared" si="20"/>
        <v>PROT:AID46641.1</v>
      </c>
      <c r="F1288" t="s">
        <v>2240</v>
      </c>
      <c r="G1288" t="s">
        <v>36</v>
      </c>
      <c r="H1288" t="s">
        <v>2680</v>
      </c>
      <c r="I1288" t="str">
        <f>INDEX(Genomes!$I:$I,(MATCH(AllProteins!H1288,Genomes!$B:$B,0)))</f>
        <v>KJ801920-pigeonpox_virus</v>
      </c>
      <c r="J1288">
        <f>INDEX(Genomes!$A:$A,(MATCH(AllProteins!H1288,Genomes!$B:$B,0)))</f>
        <v>38</v>
      </c>
      <c r="K1288" t="str">
        <f>INDEX(Genomes!$J:$J,(MATCH(AllProteins!H1288,Genomes!$B:$B,0)))</f>
        <v>Y</v>
      </c>
    </row>
    <row r="1289" spans="1:11" x14ac:dyDescent="0.2">
      <c r="A1289">
        <f>INDEX(CoreProteinGroups!A:A,MATCH(B1289,CoreProteinGroups!B:B,0))</f>
        <v>23</v>
      </c>
      <c r="B1289" s="1" t="s">
        <v>2220</v>
      </c>
      <c r="C1289" t="str">
        <f>VLOOKUP(B1289,CoreProteinGroups!$B:$C,2,FALSE)</f>
        <v>polyA polymerase small</v>
      </c>
      <c r="D1289" t="s">
        <v>2242</v>
      </c>
      <c r="E1289" s="6" t="str">
        <f t="shared" si="20"/>
        <v>PROT:ALA62471.1</v>
      </c>
      <c r="F1289" t="s">
        <v>2233</v>
      </c>
      <c r="G1289" t="s">
        <v>39</v>
      </c>
      <c r="H1289" t="s">
        <v>2692</v>
      </c>
      <c r="I1289" t="str">
        <f>INDEX(Genomes!$I:$I,(MATCH(AllProteins!H1289,Genomes!$B:$B,0)))</f>
        <v>KP728110-turkeypox_virus</v>
      </c>
      <c r="J1289">
        <f>INDEX(Genomes!$A:$A,(MATCH(AllProteins!H1289,Genomes!$B:$B,0)))</f>
        <v>51</v>
      </c>
      <c r="K1289" t="str">
        <f>INDEX(Genomes!$J:$J,(MATCH(AllProteins!H1289,Genomes!$B:$B,0)))</f>
        <v>Y</v>
      </c>
    </row>
    <row r="1290" spans="1:11" x14ac:dyDescent="0.2">
      <c r="A1290">
        <f>INDEX(CoreProteinGroups!A:A,MATCH(B1290,CoreProteinGroups!B:B,0))</f>
        <v>23</v>
      </c>
      <c r="B1290" s="1" t="s">
        <v>2220</v>
      </c>
      <c r="C1290" t="str">
        <f>VLOOKUP(B1290,CoreProteinGroups!$B:$C,2,FALSE)</f>
        <v>polyA polymerase small</v>
      </c>
      <c r="D1290" t="s">
        <v>2243</v>
      </c>
      <c r="E1290" s="6" t="str">
        <f t="shared" si="20"/>
        <v>PROT:AAR83525.1</v>
      </c>
      <c r="F1290" t="s">
        <v>2244</v>
      </c>
      <c r="G1290" t="s">
        <v>42</v>
      </c>
      <c r="H1290" t="s">
        <v>2657</v>
      </c>
      <c r="I1290" t="str">
        <f>INDEX(Genomes!$I:$I,(MATCH(AllProteins!H1290,Genomes!$B:$B,0)))</f>
        <v>AY318871-canarypox_virus</v>
      </c>
      <c r="J1290">
        <f>INDEX(Genomes!$A:$A,(MATCH(AllProteins!H1290,Genomes!$B:$B,0)))</f>
        <v>11</v>
      </c>
      <c r="K1290" t="str">
        <f>INDEX(Genomes!$J:$J,(MATCH(AllProteins!H1290,Genomes!$B:$B,0)))</f>
        <v>Y</v>
      </c>
    </row>
    <row r="1291" spans="1:11" x14ac:dyDescent="0.2">
      <c r="A1291">
        <f>INDEX(CoreProteinGroups!A:A,MATCH(B1291,CoreProteinGroups!B:B,0))</f>
        <v>23</v>
      </c>
      <c r="B1291" s="1" t="s">
        <v>2220</v>
      </c>
      <c r="C1291" t="str">
        <f>VLOOKUP(B1291,CoreProteinGroups!$B:$C,2,FALSE)</f>
        <v>polyA polymerase small</v>
      </c>
      <c r="D1291" t="s">
        <v>2245</v>
      </c>
      <c r="E1291" s="6" t="str">
        <f t="shared" si="20"/>
        <v>PROT:AAF44478.1</v>
      </c>
      <c r="F1291" t="s">
        <v>2246</v>
      </c>
      <c r="G1291" t="s">
        <v>45</v>
      </c>
      <c r="H1291" t="s">
        <v>2666</v>
      </c>
      <c r="I1291" t="str">
        <f>INDEX(Genomes!$I:$I,(MATCH(AllProteins!H1291,Genomes!$B:$B,0)))</f>
        <v>AF198100-fowlpox_virus</v>
      </c>
      <c r="J1291">
        <f>INDEX(Genomes!$A:$A,(MATCH(AllProteins!H1291,Genomes!$B:$B,0)))</f>
        <v>21</v>
      </c>
      <c r="K1291" t="str">
        <f>INDEX(Genomes!$J:$J,(MATCH(AllProteins!H1291,Genomes!$B:$B,0)))</f>
        <v>Y</v>
      </c>
    </row>
    <row r="1292" spans="1:11" x14ac:dyDescent="0.2">
      <c r="A1292">
        <f>INDEX(CoreProteinGroups!A:A,MATCH(B1292,CoreProteinGroups!B:B,0))</f>
        <v>23</v>
      </c>
      <c r="B1292" s="1" t="s">
        <v>2220</v>
      </c>
      <c r="C1292" t="str">
        <f>VLOOKUP(B1292,CoreProteinGroups!$B:$C,2,FALSE)</f>
        <v>polyA polymerase small</v>
      </c>
      <c r="D1292" t="s">
        <v>2247</v>
      </c>
      <c r="E1292" s="6" t="str">
        <f t="shared" si="20"/>
        <v>PROT:AAK85029.1</v>
      </c>
      <c r="F1292" t="s">
        <v>2248</v>
      </c>
      <c r="G1292" t="s">
        <v>48</v>
      </c>
      <c r="H1292" t="s">
        <v>2669</v>
      </c>
      <c r="I1292" t="str">
        <f>INDEX(Genomes!$I:$I,(MATCH(AllProteins!H1292,Genomes!$B:$B,0)))</f>
        <v>AF325528-lumpy_skin_disease_virus</v>
      </c>
      <c r="J1292">
        <f>INDEX(Genomes!$A:$A,(MATCH(AllProteins!H1292,Genomes!$B:$B,0)))</f>
        <v>25</v>
      </c>
      <c r="K1292" t="str">
        <f>INDEX(Genomes!$J:$J,(MATCH(AllProteins!H1292,Genomes!$B:$B,0)))</f>
        <v>Y</v>
      </c>
    </row>
    <row r="1293" spans="1:11" x14ac:dyDescent="0.2">
      <c r="A1293">
        <f>INDEX(CoreProteinGroups!A:A,MATCH(B1293,CoreProteinGroups!B:B,0))</f>
        <v>23</v>
      </c>
      <c r="B1293" s="1" t="s">
        <v>2220</v>
      </c>
      <c r="C1293" t="str">
        <f>VLOOKUP(B1293,CoreProteinGroups!$B:$C,2,FALSE)</f>
        <v>polyA polymerase small</v>
      </c>
      <c r="D1293" t="s">
        <v>2249</v>
      </c>
      <c r="E1293" s="6" t="str">
        <f t="shared" si="20"/>
        <v>PROT:AST09286.1</v>
      </c>
      <c r="F1293" t="s">
        <v>2250</v>
      </c>
      <c r="G1293" t="s">
        <v>50</v>
      </c>
      <c r="H1293" t="s">
        <v>2671</v>
      </c>
      <c r="I1293" t="str">
        <f>INDEX(Genomes!$I:$I,(MATCH(AllProteins!H1293,Genomes!$B:$B,0)))</f>
        <v>MF001304-Murmansk_poxvirus</v>
      </c>
      <c r="J1293">
        <f>INDEX(Genomes!$A:$A,(MATCH(AllProteins!H1293,Genomes!$B:$B,0)))</f>
        <v>27</v>
      </c>
      <c r="K1293" t="str">
        <f>INDEX(Genomes!$J:$J,(MATCH(AllProteins!H1293,Genomes!$B:$B,0)))</f>
        <v>Y</v>
      </c>
    </row>
    <row r="1294" spans="1:11" x14ac:dyDescent="0.2">
      <c r="A1294">
        <f>INDEX(CoreProteinGroups!A:A,MATCH(B1294,CoreProteinGroups!B:B,0))</f>
        <v>23</v>
      </c>
      <c r="B1294" s="1" t="s">
        <v>2220</v>
      </c>
      <c r="C1294" t="str">
        <f>VLOOKUP(B1294,CoreProteinGroups!$B:$C,2,FALSE)</f>
        <v>polyA polymerase small</v>
      </c>
      <c r="D1294" t="s">
        <v>2251</v>
      </c>
      <c r="E1294" s="6" t="str">
        <f t="shared" si="20"/>
        <v>PROT:AEN03664.1</v>
      </c>
      <c r="F1294" t="s">
        <v>2250</v>
      </c>
      <c r="G1294" t="s">
        <v>52</v>
      </c>
      <c r="H1294" t="s">
        <v>2698</v>
      </c>
      <c r="I1294" t="str">
        <f>INDEX(Genomes!$I:$I,(MATCH(AllProteins!H1294,Genomes!$B:$B,0)))</f>
        <v>HQ849551-yokapox_virus</v>
      </c>
      <c r="J1294">
        <f>INDEX(Genomes!$A:$A,(MATCH(AllProteins!H1294,Genomes!$B:$B,0)))</f>
        <v>57</v>
      </c>
      <c r="K1294" t="str">
        <f>INDEX(Genomes!$J:$J,(MATCH(AllProteins!H1294,Genomes!$B:$B,0)))</f>
        <v>Y</v>
      </c>
    </row>
    <row r="1295" spans="1:11" x14ac:dyDescent="0.2">
      <c r="A1295">
        <f>INDEX(CoreProteinGroups!A:A,MATCH(B1295,CoreProteinGroups!B:B,0))</f>
        <v>23</v>
      </c>
      <c r="B1295" s="1" t="s">
        <v>2220</v>
      </c>
      <c r="C1295" t="str">
        <f>VLOOKUP(B1295,CoreProteinGroups!$B:$C,2,FALSE)</f>
        <v>polyA polymerase small</v>
      </c>
      <c r="D1295" t="s">
        <v>2252</v>
      </c>
      <c r="E1295" s="6" t="str">
        <f t="shared" si="20"/>
        <v>PROT:ABI99232.1</v>
      </c>
      <c r="F1295" t="s">
        <v>2253</v>
      </c>
      <c r="G1295" t="s">
        <v>54</v>
      </c>
      <c r="H1295" t="s">
        <v>2661</v>
      </c>
      <c r="I1295" t="str">
        <f>INDEX(Genomes!$I:$I,(MATCH(AllProteins!H1295,Genomes!$B:$B,0)))</f>
        <v>AY689436-mule_deerpox_virus</v>
      </c>
      <c r="J1295">
        <f>INDEX(Genomes!$A:$A,(MATCH(AllProteins!H1295,Genomes!$B:$B,0)))</f>
        <v>15</v>
      </c>
      <c r="K1295" t="str">
        <f>INDEX(Genomes!$J:$J,(MATCH(AllProteins!H1295,Genomes!$B:$B,0)))</f>
        <v>Y</v>
      </c>
    </row>
    <row r="1296" spans="1:11" x14ac:dyDescent="0.2">
      <c r="A1296">
        <f>INDEX(CoreProteinGroups!A:A,MATCH(B1296,CoreProteinGroups!B:B,0))</f>
        <v>23</v>
      </c>
      <c r="B1296" s="1" t="s">
        <v>2220</v>
      </c>
      <c r="C1296" t="str">
        <f>VLOOKUP(B1296,CoreProteinGroups!$B:$C,2,FALSE)</f>
        <v>polyA polymerase small</v>
      </c>
      <c r="D1296" t="s">
        <v>2254</v>
      </c>
      <c r="E1296" s="6" t="str">
        <f t="shared" si="20"/>
        <v>PROT:ABJ08987.1</v>
      </c>
      <c r="F1296" t="s">
        <v>2253</v>
      </c>
      <c r="G1296" t="s">
        <v>56</v>
      </c>
      <c r="H1296" t="s">
        <v>2677</v>
      </c>
      <c r="I1296" t="str">
        <f>INDEX(Genomes!$I:$I,(MATCH(AllProteins!H1296,Genomes!$B:$B,0)))</f>
        <v>DQ356948-Nile_crocodilepox_virus</v>
      </c>
      <c r="J1296">
        <f>INDEX(Genomes!$A:$A,(MATCH(AllProteins!H1296,Genomes!$B:$B,0)))</f>
        <v>34</v>
      </c>
      <c r="K1296" t="str">
        <f>INDEX(Genomes!$J:$J,(MATCH(AllProteins!H1296,Genomes!$B:$B,0)))</f>
        <v>Y</v>
      </c>
    </row>
    <row r="1297" spans="1:11" x14ac:dyDescent="0.2">
      <c r="A1297">
        <f>INDEX(CoreProteinGroups!A:A,MATCH(B1297,CoreProteinGroups!B:B,0))</f>
        <v>23</v>
      </c>
      <c r="B1297" s="1" t="s">
        <v>2220</v>
      </c>
      <c r="C1297" t="str">
        <f>VLOOKUP(B1297,CoreProteinGroups!$B:$C,2,FALSE)</f>
        <v>polyA polymerase small</v>
      </c>
      <c r="D1297" t="s">
        <v>2255</v>
      </c>
      <c r="E1297" s="6" t="str">
        <f t="shared" si="20"/>
        <v>PROT:AAF14953.1</v>
      </c>
      <c r="F1297" t="s">
        <v>2256</v>
      </c>
      <c r="G1297" t="s">
        <v>2584</v>
      </c>
      <c r="H1297" t="s">
        <v>2676</v>
      </c>
      <c r="I1297" t="str">
        <f>INDEX(Genomes!$I:$I,(MATCH(AllProteins!H1297,Genomes!$B:$B,0)))</f>
        <v>AF170726-myxoma_virus</v>
      </c>
      <c r="J1297">
        <f>INDEX(Genomes!$A:$A,(MATCH(AllProteins!H1297,Genomes!$B:$B,0)))</f>
        <v>32</v>
      </c>
      <c r="K1297" t="str">
        <f>INDEX(Genomes!$J:$J,(MATCH(AllProteins!H1297,Genomes!$B:$B,0)))</f>
        <v>Y</v>
      </c>
    </row>
    <row r="1298" spans="1:11" x14ac:dyDescent="0.2">
      <c r="A1298">
        <f>INDEX(CoreProteinGroups!A:A,MATCH(B1298,CoreProteinGroups!B:B,0))</f>
        <v>23</v>
      </c>
      <c r="B1298" s="1" t="s">
        <v>2220</v>
      </c>
      <c r="C1298" t="str">
        <f>VLOOKUP(B1298,CoreProteinGroups!$B:$C,2,FALSE)</f>
        <v>polyA polymerase small</v>
      </c>
      <c r="D1298" t="s">
        <v>2257</v>
      </c>
      <c r="E1298" s="6" t="str">
        <f t="shared" si="20"/>
        <v>PROT:AFU77329.1</v>
      </c>
      <c r="F1298" t="s">
        <v>2256</v>
      </c>
      <c r="G1298" t="s">
        <v>2553</v>
      </c>
      <c r="H1298" t="s">
        <v>2646</v>
      </c>
      <c r="I1298" t="str">
        <f>INDEX(Genomes!$I:$I,(MATCH(AllProteins!H1298,Genomes!$B:$B,0)))</f>
        <v>JX565564-myxoma_virus_isolate_BRK_897</v>
      </c>
      <c r="J1298">
        <f>INDEX(Genomes!$A:$A,(MATCH(AllProteins!H1298,Genomes!$B:$B,0)))</f>
        <v>33</v>
      </c>
      <c r="K1298" t="str">
        <f>INDEX(Genomes!$J:$J,(MATCH(AllProteins!H1298,Genomes!$B:$B,0)))</f>
        <v>N</v>
      </c>
    </row>
    <row r="1299" spans="1:11" x14ac:dyDescent="0.2">
      <c r="A1299">
        <f>INDEX(CoreProteinGroups!A:A,MATCH(B1299,CoreProteinGroups!B:B,0))</f>
        <v>23</v>
      </c>
      <c r="B1299" s="1" t="s">
        <v>2220</v>
      </c>
      <c r="C1299" t="str">
        <f>VLOOKUP(B1299,CoreProteinGroups!$B:$C,2,FALSE)</f>
        <v>polyA polymerase small</v>
      </c>
      <c r="D1299" t="s">
        <v>2258</v>
      </c>
      <c r="E1299" s="6" t="str">
        <f t="shared" si="20"/>
        <v>PROT:AAF17947.1</v>
      </c>
      <c r="F1299" t="s">
        <v>2259</v>
      </c>
      <c r="G1299" t="s">
        <v>62</v>
      </c>
      <c r="H1299" t="s">
        <v>2685</v>
      </c>
      <c r="I1299" t="str">
        <f>INDEX(Genomes!$I:$I,(MATCH(AllProteins!H1299,Genomes!$B:$B,0)))</f>
        <v>AF170722-rabbit_fibroma_virus</v>
      </c>
      <c r="J1299">
        <f>INDEX(Genomes!$A:$A,(MATCH(AllProteins!H1299,Genomes!$B:$B,0)))</f>
        <v>43</v>
      </c>
      <c r="K1299" t="str">
        <f>INDEX(Genomes!$J:$J,(MATCH(AllProteins!H1299,Genomes!$B:$B,0)))</f>
        <v>Y</v>
      </c>
    </row>
    <row r="1300" spans="1:11" x14ac:dyDescent="0.2">
      <c r="A1300">
        <f>INDEX(CoreProteinGroups!A:A,MATCH(B1300,CoreProteinGroups!B:B,0))</f>
        <v>23</v>
      </c>
      <c r="B1300" s="1" t="s">
        <v>2220</v>
      </c>
      <c r="C1300" t="str">
        <f>VLOOKUP(B1300,CoreProteinGroups!$B:$C,2,FALSE)</f>
        <v>polyA polymerase small</v>
      </c>
      <c r="D1300" t="s">
        <v>2260</v>
      </c>
      <c r="E1300" s="6" t="str">
        <f t="shared" si="20"/>
        <v>PROT:AAC55204.1</v>
      </c>
      <c r="F1300" t="s">
        <v>2261</v>
      </c>
      <c r="G1300" t="s">
        <v>65</v>
      </c>
      <c r="H1300" t="s">
        <v>2670</v>
      </c>
      <c r="I1300" t="str">
        <f>INDEX(Genomes!$I:$I,(MATCH(AllProteins!H1300,Genomes!$B:$B,0)))</f>
        <v>U60315-molluscum_contagiosum_virus</v>
      </c>
      <c r="J1300">
        <f>INDEX(Genomes!$A:$A,(MATCH(AllProteins!H1300,Genomes!$B:$B,0)))</f>
        <v>26</v>
      </c>
      <c r="K1300" t="str">
        <f>INDEX(Genomes!$J:$J,(MATCH(AllProteins!H1300,Genomes!$B:$B,0)))</f>
        <v>Y</v>
      </c>
    </row>
    <row r="1301" spans="1:11" x14ac:dyDescent="0.2">
      <c r="A1301">
        <f>INDEX(CoreProteinGroups!A:A,MATCH(B1301,CoreProteinGroups!B:B,0))</f>
        <v>23</v>
      </c>
      <c r="B1301" s="1" t="s">
        <v>2220</v>
      </c>
      <c r="C1301" t="str">
        <f>VLOOKUP(B1301,CoreProteinGroups!$B:$C,2,FALSE)</f>
        <v>polyA polymerase small</v>
      </c>
      <c r="D1301" t="s">
        <v>2262</v>
      </c>
      <c r="E1301" s="6" t="str">
        <f t="shared" si="20"/>
        <v>PROT:AYN64661.1</v>
      </c>
      <c r="F1301" t="s">
        <v>2263</v>
      </c>
      <c r="G1301" t="s">
        <v>68</v>
      </c>
      <c r="H1301" t="s">
        <v>2647</v>
      </c>
      <c r="I1301" t="str">
        <f>INDEX(Genomes!$I:$I,(MATCH(AllProteins!H1301,Genomes!$B:$B,0)))</f>
        <v>MH816996-orthopoxvirus_abatino</v>
      </c>
      <c r="J1301">
        <f>INDEX(Genomes!$A:$A,(MATCH(AllProteins!H1301,Genomes!$B:$B,0)))</f>
        <v>1</v>
      </c>
      <c r="K1301" t="str">
        <f>INDEX(Genomes!$J:$J,(MATCH(AllProteins!H1301,Genomes!$B:$B,0)))</f>
        <v>Y</v>
      </c>
    </row>
    <row r="1302" spans="1:11" x14ac:dyDescent="0.2">
      <c r="A1302">
        <f>INDEX(CoreProteinGroups!A:A,MATCH(B1302,CoreProteinGroups!B:B,0))</f>
        <v>23</v>
      </c>
      <c r="B1302" s="1" t="s">
        <v>2220</v>
      </c>
      <c r="C1302" t="str">
        <f>VLOOKUP(B1302,CoreProteinGroups!$B:$C,2,FALSE)</f>
        <v>polyA polymerase small</v>
      </c>
      <c r="D1302" t="s">
        <v>2264</v>
      </c>
      <c r="E1302" s="6" t="str">
        <f t="shared" si="20"/>
        <v>PROT:AXN74888.1</v>
      </c>
      <c r="F1302" t="s">
        <v>2265</v>
      </c>
      <c r="G1302" t="s">
        <v>70</v>
      </c>
      <c r="H1302" t="s">
        <v>2650</v>
      </c>
      <c r="I1302" t="str">
        <f>INDEX(Genomes!$I:$I,(MATCH(AllProteins!H1302,Genomes!$B:$B,0)))</f>
        <v>MH607141-Akhmeta_virus</v>
      </c>
      <c r="J1302">
        <f>INDEX(Genomes!$A:$A,(MATCH(AllProteins!H1302,Genomes!$B:$B,0)))</f>
        <v>4</v>
      </c>
      <c r="K1302" t="str">
        <f>INDEX(Genomes!$J:$J,(MATCH(AllProteins!H1302,Genomes!$B:$B,0)))</f>
        <v>Y</v>
      </c>
    </row>
    <row r="1303" spans="1:11" x14ac:dyDescent="0.2">
      <c r="A1303">
        <f>INDEX(CoreProteinGroups!A:A,MATCH(B1303,CoreProteinGroups!B:B,0))</f>
        <v>23</v>
      </c>
      <c r="B1303" s="1" t="s">
        <v>2220</v>
      </c>
      <c r="C1303" t="str">
        <f>VLOOKUP(B1303,CoreProteinGroups!$B:$C,2,FALSE)</f>
        <v>polyA polymerase small</v>
      </c>
      <c r="D1303" t="s">
        <v>2266</v>
      </c>
      <c r="E1303" s="6" t="str">
        <f t="shared" si="20"/>
        <v>PROT:ABH08202.1</v>
      </c>
      <c r="F1303" t="s">
        <v>2267</v>
      </c>
      <c r="G1303" t="s">
        <v>73</v>
      </c>
      <c r="H1303" t="s">
        <v>2668</v>
      </c>
      <c r="I1303" t="str">
        <f>INDEX(Genomes!$I:$I,(MATCH(AllProteins!H1303,Genomes!$B:$B,0)))</f>
        <v>DQ792504-horsepox_virus</v>
      </c>
      <c r="J1303">
        <f>INDEX(Genomes!$A:$A,(MATCH(AllProteins!H1303,Genomes!$B:$B,0)))</f>
        <v>24</v>
      </c>
      <c r="K1303" t="str">
        <f>INDEX(Genomes!$J:$J,(MATCH(AllProteins!H1303,Genomes!$B:$B,0)))</f>
        <v>Y</v>
      </c>
    </row>
    <row r="1304" spans="1:11" x14ac:dyDescent="0.2">
      <c r="A1304">
        <f>INDEX(CoreProteinGroups!A:A,MATCH(B1304,CoreProteinGroups!B:B,0))</f>
        <v>23</v>
      </c>
      <c r="B1304" s="1" t="s">
        <v>2220</v>
      </c>
      <c r="C1304" t="str">
        <f>VLOOKUP(B1304,CoreProteinGroups!$B:$C,2,FALSE)</f>
        <v>polyA polymerase small</v>
      </c>
      <c r="D1304" t="s">
        <v>2268</v>
      </c>
      <c r="E1304" s="6" t="str">
        <f t="shared" si="20"/>
        <v>PROT:AAG37564.1</v>
      </c>
      <c r="F1304" t="s">
        <v>2269</v>
      </c>
      <c r="G1304" t="s">
        <v>76</v>
      </c>
      <c r="H1304" t="s">
        <v>2655</v>
      </c>
      <c r="I1304" t="str">
        <f>INDEX(Genomes!$I:$I,(MATCH(AllProteins!H1304,Genomes!$B:$B,0)))</f>
        <v>AY009089-camelpox_virus_CMS</v>
      </c>
      <c r="J1304">
        <f>INDEX(Genomes!$A:$A,(MATCH(AllProteins!H1304,Genomes!$B:$B,0)))</f>
        <v>9</v>
      </c>
      <c r="K1304" t="str">
        <f>INDEX(Genomes!$J:$J,(MATCH(AllProteins!H1304,Genomes!$B:$B,0)))</f>
        <v>N</v>
      </c>
    </row>
    <row r="1305" spans="1:11" x14ac:dyDescent="0.2">
      <c r="A1305">
        <f>INDEX(CoreProteinGroups!A:A,MATCH(B1305,CoreProteinGroups!B:B,0))</f>
        <v>23</v>
      </c>
      <c r="B1305" s="1" t="s">
        <v>2220</v>
      </c>
      <c r="C1305" t="str">
        <f>VLOOKUP(B1305,CoreProteinGroups!$B:$C,2,FALSE)</f>
        <v>polyA polymerase small</v>
      </c>
      <c r="D1305" t="s">
        <v>2270</v>
      </c>
      <c r="E1305" s="6" t="str">
        <f t="shared" si="20"/>
        <v>PROT:AAL73800.1</v>
      </c>
      <c r="F1305" t="s">
        <v>2233</v>
      </c>
      <c r="G1305" t="s">
        <v>79</v>
      </c>
      <c r="H1305" t="s">
        <v>2654</v>
      </c>
      <c r="I1305" t="str">
        <f>INDEX(Genomes!$I:$I,(MATCH(AllProteins!H1305,Genomes!$B:$B,0)))</f>
        <v>AF438165-camelpox_virus</v>
      </c>
      <c r="J1305">
        <f>INDEX(Genomes!$A:$A,(MATCH(AllProteins!H1305,Genomes!$B:$B,0)))</f>
        <v>8</v>
      </c>
      <c r="K1305" t="str">
        <f>INDEX(Genomes!$J:$J,(MATCH(AllProteins!H1305,Genomes!$B:$B,0)))</f>
        <v>Y</v>
      </c>
    </row>
    <row r="1306" spans="1:11" x14ac:dyDescent="0.2">
      <c r="A1306">
        <f>INDEX(CoreProteinGroups!A:A,MATCH(B1306,CoreProteinGroups!B:B,0))</f>
        <v>23</v>
      </c>
      <c r="B1306" s="1" t="s">
        <v>2220</v>
      </c>
      <c r="C1306" t="str">
        <f>VLOOKUP(B1306,CoreProteinGroups!$B:$C,2,FALSE)</f>
        <v>polyA polymerase small</v>
      </c>
      <c r="D1306" t="s">
        <v>2271</v>
      </c>
      <c r="E1306" s="6" t="str">
        <f t="shared" si="20"/>
        <v>PROT:AAM13549.1</v>
      </c>
      <c r="F1306" t="s">
        <v>2272</v>
      </c>
      <c r="G1306" t="s">
        <v>82</v>
      </c>
      <c r="H1306" t="s">
        <v>2659</v>
      </c>
      <c r="I1306" t="str">
        <f>INDEX(Genomes!$I:$I,(MATCH(AllProteins!H1306,Genomes!$B:$B,0)))</f>
        <v>AF482758-cowpox_virus</v>
      </c>
      <c r="J1306">
        <f>INDEX(Genomes!$A:$A,(MATCH(AllProteins!H1306,Genomes!$B:$B,0)))</f>
        <v>13</v>
      </c>
      <c r="K1306" t="str">
        <f>INDEX(Genomes!$J:$J,(MATCH(AllProteins!H1306,Genomes!$B:$B,0)))</f>
        <v>Y</v>
      </c>
    </row>
    <row r="1307" spans="1:11" x14ac:dyDescent="0.2">
      <c r="A1307">
        <f>INDEX(CoreProteinGroups!A:A,MATCH(B1307,CoreProteinGroups!B:B,0))</f>
        <v>23</v>
      </c>
      <c r="B1307" s="1" t="s">
        <v>2220</v>
      </c>
      <c r="C1307" t="str">
        <f>VLOOKUP(B1307,CoreProteinGroups!$B:$C,2,FALSE)</f>
        <v>polyA polymerase small</v>
      </c>
      <c r="D1307" t="s">
        <v>2273</v>
      </c>
      <c r="E1307" s="6" t="str">
        <f t="shared" si="20"/>
        <v>PROT:AAM92383.1</v>
      </c>
      <c r="F1307" t="s">
        <v>2274</v>
      </c>
      <c r="G1307" t="s">
        <v>85</v>
      </c>
      <c r="H1307" t="s">
        <v>2662</v>
      </c>
      <c r="I1307" t="str">
        <f>INDEX(Genomes!$I:$I,(MATCH(AllProteins!H1307,Genomes!$B:$B,0)))</f>
        <v>AF012825-ectromelia_virus</v>
      </c>
      <c r="J1307">
        <f>INDEX(Genomes!$A:$A,(MATCH(AllProteins!H1307,Genomes!$B:$B,0)))</f>
        <v>16</v>
      </c>
      <c r="K1307" t="str">
        <f>INDEX(Genomes!$J:$J,(MATCH(AllProteins!H1307,Genomes!$B:$B,0)))</f>
        <v>Y</v>
      </c>
    </row>
    <row r="1308" spans="1:11" x14ac:dyDescent="0.2">
      <c r="A1308">
        <f>INDEX(CoreProteinGroups!A:A,MATCH(B1308,CoreProteinGroups!B:B,0))</f>
        <v>23</v>
      </c>
      <c r="B1308" s="1" t="s">
        <v>2220</v>
      </c>
      <c r="C1308" t="str">
        <f>VLOOKUP(B1308,CoreProteinGroups!$B:$C,2,FALSE)</f>
        <v>polyA polymerase small</v>
      </c>
      <c r="D1308" t="s">
        <v>2275</v>
      </c>
      <c r="E1308" s="6" t="str">
        <f t="shared" si="20"/>
        <v>PROT:AFH54642.1</v>
      </c>
      <c r="F1308" t="s">
        <v>2231</v>
      </c>
      <c r="G1308" t="s">
        <v>87</v>
      </c>
      <c r="H1308" t="s">
        <v>2619</v>
      </c>
      <c r="I1308" t="str">
        <f>INDEX(Genomes!$I:$I,(MATCH(AllProteins!H1308,Genomes!$B:$B,0)))</f>
        <v>JQ410350-ectromelia_virus_strain_ERPV</v>
      </c>
      <c r="J1308">
        <f>INDEX(Genomes!$A:$A,(MATCH(AllProteins!H1308,Genomes!$B:$B,0)))</f>
        <v>17</v>
      </c>
      <c r="K1308" t="str">
        <f>INDEX(Genomes!$J:$J,(MATCH(AllProteins!H1308,Genomes!$B:$B,0)))</f>
        <v>N</v>
      </c>
    </row>
    <row r="1309" spans="1:11" x14ac:dyDescent="0.2">
      <c r="A1309">
        <f>INDEX(CoreProteinGroups!A:A,MATCH(B1309,CoreProteinGroups!B:B,0))</f>
        <v>23</v>
      </c>
      <c r="B1309" s="1" t="s">
        <v>2220</v>
      </c>
      <c r="C1309" t="str">
        <f>VLOOKUP(B1309,CoreProteinGroups!$B:$C,2,FALSE)</f>
        <v>polyA polymerase small</v>
      </c>
      <c r="D1309" t="s">
        <v>2276</v>
      </c>
      <c r="E1309" s="6" t="str">
        <f t="shared" si="20"/>
        <v>PROT:AAL40545.1</v>
      </c>
      <c r="F1309" t="s">
        <v>2277</v>
      </c>
      <c r="G1309" t="s">
        <v>90</v>
      </c>
      <c r="H1309" t="s">
        <v>2673</v>
      </c>
      <c r="I1309" t="str">
        <f>INDEX(Genomes!$I:$I,(MATCH(AllProteins!H1309,Genomes!$B:$B,0)))</f>
        <v>AF380138-monkeypox_virus_(clade_I)</v>
      </c>
      <c r="J1309">
        <f>INDEX(Genomes!$A:$A,(MATCH(AllProteins!H1309,Genomes!$B:$B,0)))</f>
        <v>29</v>
      </c>
      <c r="K1309" t="str">
        <f>INDEX(Genomes!$J:$J,(MATCH(AllProteins!H1309,Genomes!$B:$B,0)))</f>
        <v>Y</v>
      </c>
    </row>
    <row r="1310" spans="1:11" x14ac:dyDescent="0.2">
      <c r="A1310">
        <f>INDEX(CoreProteinGroups!A:A,MATCH(B1310,CoreProteinGroups!B:B,0))</f>
        <v>23</v>
      </c>
      <c r="B1310" s="1" t="s">
        <v>2220</v>
      </c>
      <c r="C1310" t="str">
        <f>VLOOKUP(B1310,CoreProteinGroups!$B:$C,2,FALSE)</f>
        <v>polyA polymerase small</v>
      </c>
      <c r="D1310" t="s">
        <v>2278</v>
      </c>
      <c r="E1310" s="6" t="str">
        <f t="shared" si="20"/>
        <v>PROT:AAX09182.1</v>
      </c>
      <c r="F1310" t="s">
        <v>2279</v>
      </c>
      <c r="G1310" t="s">
        <v>93</v>
      </c>
      <c r="H1310" t="s">
        <v>2672</v>
      </c>
      <c r="I1310" t="str">
        <f>INDEX(Genomes!$I:$I,(MATCH(AllProteins!H1310,Genomes!$B:$B,0)))</f>
        <v>AY753185-monkeypox_virus_(clade_IIa)</v>
      </c>
      <c r="J1310">
        <f>INDEX(Genomes!$A:$A,(MATCH(AllProteins!H1310,Genomes!$B:$B,0)))</f>
        <v>28</v>
      </c>
      <c r="K1310" t="str">
        <f>INDEX(Genomes!$J:$J,(MATCH(AllProteins!H1310,Genomes!$B:$B,0)))</f>
        <v>Y</v>
      </c>
    </row>
    <row r="1311" spans="1:11" x14ac:dyDescent="0.2">
      <c r="A1311">
        <f>INDEX(CoreProteinGroups!A:A,MATCH(B1311,CoreProteinGroups!B:B,0))</f>
        <v>23</v>
      </c>
      <c r="B1311" s="1" t="s">
        <v>2220</v>
      </c>
      <c r="C1311" t="str">
        <f>VLOOKUP(B1311,CoreProteinGroups!$B:$C,2,FALSE)</f>
        <v>polyA polymerase small</v>
      </c>
      <c r="D1311" t="s">
        <v>2280</v>
      </c>
      <c r="E1311" s="6" t="str">
        <f t="shared" si="20"/>
        <v>PROT:AKJ93724.1</v>
      </c>
      <c r="F1311" t="s">
        <v>2281</v>
      </c>
      <c r="G1311" t="s">
        <v>95</v>
      </c>
      <c r="H1311" t="s">
        <v>2683</v>
      </c>
      <c r="I1311" t="str">
        <f>INDEX(Genomes!$I:$I,(MATCH(AllProteins!H1311,Genomes!$B:$B,0)))</f>
        <v>KP143769-raccoonpox_virus</v>
      </c>
      <c r="J1311">
        <f>INDEX(Genomes!$A:$A,(MATCH(AllProteins!H1311,Genomes!$B:$B,0)))</f>
        <v>41</v>
      </c>
      <c r="K1311" t="str">
        <f>INDEX(Genomes!$J:$J,(MATCH(AllProteins!H1311,Genomes!$B:$B,0)))</f>
        <v>Y</v>
      </c>
    </row>
    <row r="1312" spans="1:11" x14ac:dyDescent="0.2">
      <c r="A1312">
        <f>INDEX(CoreProteinGroups!A:A,MATCH(B1312,CoreProteinGroups!B:B,0))</f>
        <v>23</v>
      </c>
      <c r="B1312" s="1" t="s">
        <v>2220</v>
      </c>
      <c r="C1312" t="str">
        <f>VLOOKUP(B1312,CoreProteinGroups!$B:$C,2,FALSE)</f>
        <v>polyA polymerase small</v>
      </c>
      <c r="D1312" t="s">
        <v>2282</v>
      </c>
      <c r="E1312" s="6" t="str">
        <f t="shared" si="20"/>
        <v>PROT:AOP31573.1</v>
      </c>
      <c r="F1312" t="s">
        <v>2225</v>
      </c>
      <c r="G1312" t="s">
        <v>97</v>
      </c>
      <c r="H1312" t="s">
        <v>2686</v>
      </c>
      <c r="I1312" t="str">
        <f>INDEX(Genomes!$I:$I,(MATCH(AllProteins!H1312,Genomes!$B:$B,0)))</f>
        <v>KU749310-skunkpox_virus</v>
      </c>
      <c r="J1312">
        <f>INDEX(Genomes!$A:$A,(MATCH(AllProteins!H1312,Genomes!$B:$B,0)))</f>
        <v>45</v>
      </c>
      <c r="K1312" t="str">
        <f>INDEX(Genomes!$J:$J,(MATCH(AllProteins!H1312,Genomes!$B:$B,0)))</f>
        <v>Y</v>
      </c>
    </row>
    <row r="1313" spans="1:11" x14ac:dyDescent="0.2">
      <c r="A1313">
        <f>INDEX(CoreProteinGroups!A:A,MATCH(B1313,CoreProteinGroups!B:B,0))</f>
        <v>23</v>
      </c>
      <c r="B1313" s="1" t="s">
        <v>2220</v>
      </c>
      <c r="C1313" t="str">
        <f>VLOOKUP(B1313,CoreProteinGroups!$B:$C,2,FALSE)</f>
        <v>polyA polymerase small</v>
      </c>
      <c r="D1313" t="s">
        <v>2283</v>
      </c>
      <c r="E1313" s="6" t="str">
        <f t="shared" si="20"/>
        <v>PROT:ABD97664.1</v>
      </c>
      <c r="F1313" t="s">
        <v>2284</v>
      </c>
      <c r="G1313" t="s">
        <v>99</v>
      </c>
      <c r="H1313" t="s">
        <v>2691</v>
      </c>
      <c r="I1313" t="str">
        <f>INDEX(Genomes!$I:$I,(MATCH(AllProteins!H1313,Genomes!$B:$B,0)))</f>
        <v>DQ437594-taterapox_virus</v>
      </c>
      <c r="J1313">
        <f>INDEX(Genomes!$A:$A,(MATCH(AllProteins!H1313,Genomes!$B:$B,0)))</f>
        <v>50</v>
      </c>
      <c r="K1313" t="str">
        <f>INDEX(Genomes!$J:$J,(MATCH(AllProteins!H1313,Genomes!$B:$B,0)))</f>
        <v>Y</v>
      </c>
    </row>
    <row r="1314" spans="1:11" x14ac:dyDescent="0.2">
      <c r="A1314">
        <f>INDEX(CoreProteinGroups!A:A,MATCH(B1314,CoreProteinGroups!B:B,0))</f>
        <v>23</v>
      </c>
      <c r="B1314" s="1" t="s">
        <v>2220</v>
      </c>
      <c r="C1314" t="str">
        <f>VLOOKUP(B1314,CoreProteinGroups!$B:$C,2,FALSE)</f>
        <v>polyA polymerase small</v>
      </c>
      <c r="D1314" t="s">
        <v>2285</v>
      </c>
      <c r="E1314" s="6" t="str">
        <f t="shared" si="20"/>
        <v>PROT:AAO89374.1</v>
      </c>
      <c r="F1314" t="s">
        <v>2286</v>
      </c>
      <c r="G1314" t="s">
        <v>101</v>
      </c>
      <c r="H1314" t="s">
        <v>2693</v>
      </c>
      <c r="I1314" t="str">
        <f>INDEX(Genomes!$I:$I,(MATCH(AllProteins!H1314,Genomes!$B:$B,0)))</f>
        <v>AY243312-vaccinia_virus</v>
      </c>
      <c r="J1314">
        <f>INDEX(Genomes!$A:$A,(MATCH(AllProteins!H1314,Genomes!$B:$B,0)))</f>
        <v>52</v>
      </c>
      <c r="K1314" t="str">
        <f>INDEX(Genomes!$J:$J,(MATCH(AllProteins!H1314,Genomes!$B:$B,0)))</f>
        <v>Y</v>
      </c>
    </row>
    <row r="1315" spans="1:11" x14ac:dyDescent="0.2">
      <c r="A1315">
        <f>INDEX(CoreProteinGroups!A:A,MATCH(B1315,CoreProteinGroups!B:B,0))</f>
        <v>23</v>
      </c>
      <c r="B1315" s="1" t="s">
        <v>2220</v>
      </c>
      <c r="C1315" t="str">
        <f>VLOOKUP(B1315,CoreProteinGroups!$B:$C,2,FALSE)</f>
        <v>polyA polymerase small</v>
      </c>
      <c r="D1315" t="s">
        <v>2287</v>
      </c>
      <c r="E1315" s="6" t="str">
        <f t="shared" si="20"/>
        <v>PROT:CAA49021.1</v>
      </c>
      <c r="F1315" t="s">
        <v>2277</v>
      </c>
      <c r="G1315" t="s">
        <v>2585</v>
      </c>
      <c r="H1315" t="s">
        <v>2694</v>
      </c>
      <c r="I1315" t="str">
        <f>INDEX(Genomes!$I:$I,(MATCH(AllProteins!H1315,Genomes!$B:$B,0)))</f>
        <v>X69198-variola_major_virus</v>
      </c>
      <c r="J1315">
        <f>INDEX(Genomes!$A:$A,(MATCH(AllProteins!H1315,Genomes!$B:$B,0)))</f>
        <v>53</v>
      </c>
      <c r="K1315" t="str">
        <f>INDEX(Genomes!$J:$J,(MATCH(AllProteins!H1315,Genomes!$B:$B,0)))</f>
        <v>Y</v>
      </c>
    </row>
    <row r="1316" spans="1:11" x14ac:dyDescent="0.2">
      <c r="A1316">
        <f>INDEX(CoreProteinGroups!A:A,MATCH(B1316,CoreProteinGroups!B:B,0))</f>
        <v>23</v>
      </c>
      <c r="B1316" s="1" t="s">
        <v>2220</v>
      </c>
      <c r="C1316" t="str">
        <f>VLOOKUP(B1316,CoreProteinGroups!$B:$C,2,FALSE)</f>
        <v>polyA polymerase small</v>
      </c>
      <c r="D1316" t="s">
        <v>2288</v>
      </c>
      <c r="E1316" s="6" t="str">
        <f t="shared" si="20"/>
        <v>PROT:CAB54680.1</v>
      </c>
      <c r="F1316" t="s">
        <v>2289</v>
      </c>
      <c r="G1316" t="s">
        <v>106</v>
      </c>
      <c r="H1316" t="s">
        <v>2695</v>
      </c>
      <c r="I1316" t="str">
        <f>INDEX(Genomes!$I:$I,(MATCH(AllProteins!H1316,Genomes!$B:$B,0)))</f>
        <v>Y16780-variola_minor_virus</v>
      </c>
      <c r="J1316">
        <f>INDEX(Genomes!$A:$A,(MATCH(AllProteins!H1316,Genomes!$B:$B,0)))</f>
        <v>54</v>
      </c>
      <c r="K1316" t="str">
        <f>INDEX(Genomes!$J:$J,(MATCH(AllProteins!H1316,Genomes!$B:$B,0)))</f>
        <v>Y</v>
      </c>
    </row>
    <row r="1317" spans="1:11" x14ac:dyDescent="0.2">
      <c r="A1317">
        <f>INDEX(CoreProteinGroups!A:A,MATCH(B1317,CoreProteinGroups!B:B,0))</f>
        <v>23</v>
      </c>
      <c r="B1317" s="1" t="s">
        <v>2220</v>
      </c>
      <c r="C1317" t="str">
        <f>VLOOKUP(B1317,CoreProteinGroups!$B:$C,2,FALSE)</f>
        <v>polyA polymerase small</v>
      </c>
      <c r="D1317" t="s">
        <v>2290</v>
      </c>
      <c r="E1317" s="6" t="str">
        <f t="shared" si="20"/>
        <v>PROT:AOP31784.1</v>
      </c>
      <c r="F1317" t="s">
        <v>2225</v>
      </c>
      <c r="G1317" t="s">
        <v>108</v>
      </c>
      <c r="H1317" t="s">
        <v>2696</v>
      </c>
      <c r="I1317" t="str">
        <f>INDEX(Genomes!$I:$I,(MATCH(AllProteins!H1317,Genomes!$B:$B,0)))</f>
        <v>KU749311-volepox_virus</v>
      </c>
      <c r="J1317">
        <f>INDEX(Genomes!$A:$A,(MATCH(AllProteins!H1317,Genomes!$B:$B,0)))</f>
        <v>55</v>
      </c>
      <c r="K1317" t="str">
        <f>INDEX(Genomes!$J:$J,(MATCH(AllProteins!H1317,Genomes!$B:$B,0)))</f>
        <v>Y</v>
      </c>
    </row>
    <row r="1318" spans="1:11" x14ac:dyDescent="0.2">
      <c r="A1318">
        <f>INDEX(CoreProteinGroups!A:A,MATCH(B1318,CoreProteinGroups!B:B,0))</f>
        <v>23</v>
      </c>
      <c r="B1318" s="1" t="s">
        <v>2220</v>
      </c>
      <c r="C1318" t="str">
        <f>VLOOKUP(B1318,CoreProteinGroups!$B:$C,2,FALSE)</f>
        <v>polyA polymerase small</v>
      </c>
      <c r="D1318" t="s">
        <v>2291</v>
      </c>
      <c r="E1318" s="6" t="str">
        <f t="shared" si="20"/>
        <v>PROT:ASC55587.1</v>
      </c>
      <c r="F1318" t="s">
        <v>2292</v>
      </c>
      <c r="G1318" t="s">
        <v>111</v>
      </c>
      <c r="H1318" t="s">
        <v>2667</v>
      </c>
      <c r="I1318" t="str">
        <f>INDEX(Genomes!$I:$I,(MATCH(AllProteins!H1318,Genomes!$B:$B,0)))</f>
        <v>KY382358-seal_parapoxvirus</v>
      </c>
      <c r="J1318">
        <f>INDEX(Genomes!$A:$A,(MATCH(AllProteins!H1318,Genomes!$B:$B,0)))</f>
        <v>22</v>
      </c>
      <c r="K1318" t="str">
        <f>INDEX(Genomes!$J:$J,(MATCH(AllProteins!H1318,Genomes!$B:$B,0)))</f>
        <v>Y</v>
      </c>
    </row>
    <row r="1319" spans="1:11" x14ac:dyDescent="0.2">
      <c r="A1319">
        <f>INDEX(CoreProteinGroups!A:A,MATCH(B1319,CoreProteinGroups!B:B,0))</f>
        <v>23</v>
      </c>
      <c r="B1319" s="1" t="s">
        <v>2220</v>
      </c>
      <c r="C1319" t="str">
        <f>VLOOKUP(B1319,CoreProteinGroups!$B:$C,2,FALSE)</f>
        <v>polyA polymerase small</v>
      </c>
      <c r="D1319" t="s">
        <v>2293</v>
      </c>
      <c r="E1319" s="6" t="str">
        <f t="shared" si="20"/>
        <v>PROT:AAR98410.1</v>
      </c>
      <c r="F1319" t="s">
        <v>2294</v>
      </c>
      <c r="G1319" t="s">
        <v>114</v>
      </c>
      <c r="H1319" t="s">
        <v>2652</v>
      </c>
      <c r="I1319" t="str">
        <f>INDEX(Genomes!$I:$I,(MATCH(AllProteins!H1319,Genomes!$B:$B,0)))</f>
        <v>AY386265-bovine_papular_stomatitis_virus</v>
      </c>
      <c r="J1319">
        <f>INDEX(Genomes!$A:$A,(MATCH(AllProteins!H1319,Genomes!$B:$B,0)))</f>
        <v>6</v>
      </c>
      <c r="K1319" t="str">
        <f>INDEX(Genomes!$J:$J,(MATCH(AllProteins!H1319,Genomes!$B:$B,0)))</f>
        <v>Y</v>
      </c>
    </row>
    <row r="1320" spans="1:11" x14ac:dyDescent="0.2">
      <c r="A1320">
        <f>INDEX(CoreProteinGroups!A:A,MATCH(B1320,CoreProteinGroups!B:B,0))</f>
        <v>23</v>
      </c>
      <c r="B1320" s="1" t="s">
        <v>2220</v>
      </c>
      <c r="C1320" t="str">
        <f>VLOOKUP(B1320,CoreProteinGroups!$B:$C,2,FALSE)</f>
        <v>polyA polymerase small</v>
      </c>
      <c r="D1320" t="s">
        <v>2295</v>
      </c>
      <c r="E1320" s="6" t="str">
        <f t="shared" si="20"/>
        <v>PROT:AAR98278.1</v>
      </c>
      <c r="F1320" t="s">
        <v>2294</v>
      </c>
      <c r="G1320" t="s">
        <v>2702</v>
      </c>
      <c r="H1320" t="s">
        <v>2678</v>
      </c>
      <c r="I1320" t="str">
        <f>INDEX(Genomes!$I:$I,(MATCH(AllProteins!H1320,Genomes!$B:$B,0)))</f>
        <v>AY386264-orf_virus</v>
      </c>
      <c r="J1320">
        <f>INDEX(Genomes!$A:$A,(MATCH(AllProteins!H1320,Genomes!$B:$B,0)))</f>
        <v>35</v>
      </c>
      <c r="K1320" t="str">
        <f>INDEX(Genomes!$J:$J,(MATCH(AllProteins!H1320,Genomes!$B:$B,0)))</f>
        <v>Y</v>
      </c>
    </row>
    <row r="1321" spans="1:11" x14ac:dyDescent="0.2">
      <c r="A1321">
        <f>INDEX(CoreProteinGroups!A:A,MATCH(B1321,CoreProteinGroups!B:B,0))</f>
        <v>23</v>
      </c>
      <c r="B1321" s="1" t="s">
        <v>2220</v>
      </c>
      <c r="C1321" t="str">
        <f>VLOOKUP(B1321,CoreProteinGroups!$B:$C,2,FALSE)</f>
        <v>polyA polymerase small</v>
      </c>
      <c r="D1321" t="s">
        <v>2296</v>
      </c>
      <c r="E1321" s="6" t="str">
        <f t="shared" si="20"/>
        <v>PROT:ABA00570.1</v>
      </c>
      <c r="F1321" t="s">
        <v>2297</v>
      </c>
      <c r="G1321" t="s">
        <v>2555</v>
      </c>
      <c r="H1321" t="s">
        <v>2645</v>
      </c>
      <c r="I1321" t="str">
        <f>INDEX(Genomes!$I:$I,(MATCH(AllProteins!H1321,Genomes!$B:$B,0)))</f>
        <v>DQ184476-orf_virus_strain_NZ2</v>
      </c>
      <c r="J1321">
        <f>INDEX(Genomes!$A:$A,(MATCH(AllProteins!H1321,Genomes!$B:$B,0)))</f>
        <v>36</v>
      </c>
      <c r="K1321" t="str">
        <f>INDEX(Genomes!$J:$J,(MATCH(AllProteins!H1321,Genomes!$B:$B,0)))</f>
        <v>N</v>
      </c>
    </row>
    <row r="1322" spans="1:11" x14ac:dyDescent="0.2">
      <c r="A1322">
        <f>INDEX(CoreProteinGroups!A:A,MATCH(B1322,CoreProteinGroups!B:B,0))</f>
        <v>23</v>
      </c>
      <c r="B1322" s="1" t="s">
        <v>2220</v>
      </c>
      <c r="C1322" t="str">
        <f>VLOOKUP(B1322,CoreProteinGroups!$B:$C,2,FALSE)</f>
        <v>polyA polymerase small</v>
      </c>
      <c r="D1322" t="s">
        <v>2298</v>
      </c>
      <c r="E1322" s="6" t="str">
        <f t="shared" si="20"/>
        <v>PROT:AIZ77304.1</v>
      </c>
      <c r="F1322" t="s">
        <v>2299</v>
      </c>
      <c r="G1322" t="s">
        <v>119</v>
      </c>
      <c r="H1322" t="s">
        <v>2684</v>
      </c>
      <c r="I1322" t="str">
        <f>INDEX(Genomes!$I:$I,(MATCH(AllProteins!H1322,Genomes!$B:$B,0)))</f>
        <v>KM502564-parapoxvirus_red_deer</v>
      </c>
      <c r="J1322">
        <f>INDEX(Genomes!$A:$A,(MATCH(AllProteins!H1322,Genomes!$B:$B,0)))</f>
        <v>42</v>
      </c>
      <c r="K1322" t="str">
        <f>INDEX(Genomes!$J:$J,(MATCH(AllProteins!H1322,Genomes!$B:$B,0)))</f>
        <v>Y</v>
      </c>
    </row>
    <row r="1323" spans="1:11" x14ac:dyDescent="0.2">
      <c r="A1323">
        <f>INDEX(CoreProteinGroups!A:A,MATCH(B1323,CoreProteinGroups!B:B,0))</f>
        <v>23</v>
      </c>
      <c r="B1323" s="1" t="s">
        <v>2220</v>
      </c>
      <c r="C1323" t="str">
        <f>VLOOKUP(B1323,CoreProteinGroups!$B:$C,2,FALSE)</f>
        <v>polyA polymerase small</v>
      </c>
      <c r="D1323" t="s">
        <v>2300</v>
      </c>
      <c r="E1323" s="6" t="str">
        <f t="shared" si="20"/>
        <v>PROT:ADC53954.1</v>
      </c>
      <c r="F1323" t="s">
        <v>1517</v>
      </c>
      <c r="G1323" t="s">
        <v>121</v>
      </c>
      <c r="H1323" t="s">
        <v>2679</v>
      </c>
      <c r="I1323" t="str">
        <f>INDEX(Genomes!$I:$I,(MATCH(AllProteins!H1323,Genomes!$B:$B,0)))</f>
        <v>GQ329670-pseudocowpox_virus</v>
      </c>
      <c r="J1323">
        <f>INDEX(Genomes!$A:$A,(MATCH(AllProteins!H1323,Genomes!$B:$B,0)))</f>
        <v>37</v>
      </c>
      <c r="K1323" t="str">
        <f>INDEX(Genomes!$J:$J,(MATCH(AllProteins!H1323,Genomes!$B:$B,0)))</f>
        <v>Y</v>
      </c>
    </row>
    <row r="1324" spans="1:11" x14ac:dyDescent="0.2">
      <c r="A1324">
        <f>INDEX(CoreProteinGroups!A:A,MATCH(B1324,CoreProteinGroups!B:B,0))</f>
        <v>23</v>
      </c>
      <c r="B1324" s="1" t="s">
        <v>2220</v>
      </c>
      <c r="C1324" t="str">
        <f>VLOOKUP(B1324,CoreProteinGroups!$B:$C,2,FALSE)</f>
        <v>polyA polymerase small</v>
      </c>
      <c r="D1324" t="s">
        <v>2301</v>
      </c>
      <c r="E1324" s="6" t="str">
        <f t="shared" si="20"/>
        <v>PROT:AAL69804.1</v>
      </c>
      <c r="F1324" t="s">
        <v>2302</v>
      </c>
      <c r="G1324" t="s">
        <v>124</v>
      </c>
      <c r="H1324" t="s">
        <v>2690</v>
      </c>
      <c r="I1324" t="str">
        <f>INDEX(Genomes!$I:$I,(MATCH(AllProteins!H1324,Genomes!$B:$B,0)))</f>
        <v>AF410153-swinepox_virus</v>
      </c>
      <c r="J1324">
        <f>INDEX(Genomes!$A:$A,(MATCH(AllProteins!H1324,Genomes!$B:$B,0)))</f>
        <v>49</v>
      </c>
      <c r="K1324" t="str">
        <f>INDEX(Genomes!$J:$J,(MATCH(AllProteins!H1324,Genomes!$B:$B,0)))</f>
        <v>Y</v>
      </c>
    </row>
    <row r="1325" spans="1:11" x14ac:dyDescent="0.2">
      <c r="A1325">
        <f>INDEX(CoreProteinGroups!A:A,MATCH(B1325,CoreProteinGroups!B:B,0))</f>
        <v>23</v>
      </c>
      <c r="B1325" s="1" t="s">
        <v>2220</v>
      </c>
      <c r="C1325" t="str">
        <f>VLOOKUP(B1325,CoreProteinGroups!$B:$C,2,FALSE)</f>
        <v>polyA polymerase small</v>
      </c>
      <c r="D1325" t="s">
        <v>2303</v>
      </c>
      <c r="E1325" s="6" t="str">
        <f t="shared" si="20"/>
        <v>PROT:CAC21306.1</v>
      </c>
      <c r="F1325" t="s">
        <v>2304</v>
      </c>
      <c r="G1325" t="s">
        <v>127</v>
      </c>
      <c r="H1325" t="s">
        <v>2699</v>
      </c>
      <c r="I1325" t="str">
        <f>INDEX(Genomes!$I:$I,(MATCH(AllProteins!H1325,Genomes!$B:$B,0)))</f>
        <v>AJ293568-tanapox_virus</v>
      </c>
      <c r="J1325">
        <f>INDEX(Genomes!$A:$A,(MATCH(AllProteins!H1325,Genomes!$B:$B,0)))</f>
        <v>58</v>
      </c>
      <c r="K1325" t="str">
        <f>INDEX(Genomes!$J:$J,(MATCH(AllProteins!H1325,Genomes!$B:$B,0)))</f>
        <v>Y</v>
      </c>
    </row>
    <row r="1326" spans="1:11" x14ac:dyDescent="0.2">
      <c r="A1326">
        <f>INDEX(CoreProteinGroups!A:A,MATCH(B1326,CoreProteinGroups!B:B,0))</f>
        <v>23</v>
      </c>
      <c r="B1326" s="1" t="s">
        <v>2220</v>
      </c>
      <c r="C1326" t="str">
        <f>VLOOKUP(B1326,CoreProteinGroups!$B:$C,2,FALSE)</f>
        <v>polyA polymerase small</v>
      </c>
      <c r="D1326" t="s">
        <v>2305</v>
      </c>
      <c r="E1326" s="6" t="str">
        <f t="shared" si="20"/>
        <v>PROT:AAR07424.1</v>
      </c>
      <c r="F1326" t="s">
        <v>2306</v>
      </c>
      <c r="G1326" t="s">
        <v>130</v>
      </c>
      <c r="H1326" t="s">
        <v>2700</v>
      </c>
      <c r="I1326" t="str">
        <f>INDEX(Genomes!$I:$I,(MATCH(AllProteins!H1326,Genomes!$B:$B,0)))</f>
        <v>AY386371-Yaba_monkey_tumor_virus</v>
      </c>
      <c r="J1326">
        <f>INDEX(Genomes!$A:$A,(MATCH(AllProteins!H1326,Genomes!$B:$B,0)))</f>
        <v>59</v>
      </c>
      <c r="K1326" t="str">
        <f>INDEX(Genomes!$J:$J,(MATCH(AllProteins!H1326,Genomes!$B:$B,0)))</f>
        <v>Y</v>
      </c>
    </row>
    <row r="1327" spans="1:11" x14ac:dyDescent="0.2">
      <c r="A1327">
        <f>INDEX(CoreProteinGroups!A:A,MATCH(B1327,CoreProteinGroups!B:B,0))</f>
        <v>23</v>
      </c>
      <c r="B1327" s="1" t="s">
        <v>2220</v>
      </c>
      <c r="C1327" t="str">
        <f>VLOOKUP(B1327,CoreProteinGroups!$B:$C,2,FALSE)</f>
        <v>polyA polymerase small</v>
      </c>
      <c r="D1327" t="s">
        <v>2307</v>
      </c>
      <c r="E1327" s="6" t="str">
        <f t="shared" si="20"/>
        <v>PROT:AAC97833.1</v>
      </c>
      <c r="F1327" t="s">
        <v>2308</v>
      </c>
      <c r="G1327" t="s">
        <v>133</v>
      </c>
      <c r="H1327" t="s">
        <v>2674</v>
      </c>
      <c r="I1327" t="str">
        <f>INDEX(Genomes!$I:$I,(MATCH(AllProteins!H1327,Genomes!$B:$B,0)))</f>
        <v>AF063866-Melanoplus_sanguinipes_entomopoxvirus</v>
      </c>
      <c r="J1327">
        <f>INDEX(Genomes!$A:$A,(MATCH(AllProteins!H1327,Genomes!$B:$B,0)))</f>
        <v>30</v>
      </c>
      <c r="K1327" t="str">
        <f>INDEX(Genomes!$J:$J,(MATCH(AllProteins!H1327,Genomes!$B:$B,0)))</f>
        <v>Y</v>
      </c>
    </row>
    <row r="1328" spans="1:11" x14ac:dyDescent="0.2">
      <c r="A1328">
        <f>INDEX(CoreProteinGroups!A:A,MATCH(B1328,CoreProteinGroups!B:B,0))</f>
        <v>23</v>
      </c>
      <c r="B1328" s="1" t="s">
        <v>2220</v>
      </c>
      <c r="C1328" t="str">
        <f>VLOOKUP(B1328,CoreProteinGroups!$B:$C,2,FALSE)</f>
        <v>polyA polymerase small</v>
      </c>
      <c r="D1328" t="s">
        <v>2309</v>
      </c>
      <c r="E1328" s="6" t="str">
        <f t="shared" si="20"/>
        <v>PROT:BAO49540.1</v>
      </c>
      <c r="F1328" t="s">
        <v>2310</v>
      </c>
      <c r="G1328" t="s">
        <v>136</v>
      </c>
      <c r="H1328" t="s">
        <v>2648</v>
      </c>
      <c r="I1328" t="str">
        <f>INDEX(Genomes!$I:$I,(MATCH(AllProteins!H1328,Genomes!$B:$B,0)))</f>
        <v>AP013055-Anomala_cuprea_entomopoxvirus</v>
      </c>
      <c r="J1328">
        <f>INDEX(Genomes!$A:$A,(MATCH(AllProteins!H1328,Genomes!$B:$B,0)))</f>
        <v>2</v>
      </c>
      <c r="K1328" t="str">
        <f>INDEX(Genomes!$J:$J,(MATCH(AllProteins!H1328,Genomes!$B:$B,0)))</f>
        <v>Y</v>
      </c>
    </row>
    <row r="1329" spans="1:11" x14ac:dyDescent="0.2">
      <c r="A1329">
        <f>INDEX(CoreProteinGroups!A:A,MATCH(B1329,CoreProteinGroups!B:B,0))</f>
        <v>23</v>
      </c>
      <c r="B1329" s="1" t="s">
        <v>2220</v>
      </c>
      <c r="C1329" t="str">
        <f>VLOOKUP(B1329,CoreProteinGroups!$B:$C,2,FALSE)</f>
        <v>polyA polymerase small</v>
      </c>
      <c r="D1329" t="s">
        <v>2311</v>
      </c>
      <c r="E1329" s="6" t="str">
        <f t="shared" si="20"/>
        <v>PROT:CCU55378.1</v>
      </c>
      <c r="F1329" t="s">
        <v>2312</v>
      </c>
      <c r="G1329" t="s">
        <v>138</v>
      </c>
      <c r="H1329" t="s">
        <v>2649</v>
      </c>
      <c r="I1329" t="str">
        <f>INDEX(Genomes!$I:$I,(MATCH(AllProteins!H1329,Genomes!$B:$B,0)))</f>
        <v>HF679131-Adoxophyes_honmai_entomopoxvirus</v>
      </c>
      <c r="J1329">
        <f>INDEX(Genomes!$A:$A,(MATCH(AllProteins!H1329,Genomes!$B:$B,0)))</f>
        <v>3</v>
      </c>
      <c r="K1329" t="str">
        <f>INDEX(Genomes!$J:$J,(MATCH(AllProteins!H1329,Genomes!$B:$B,0)))</f>
        <v>Y</v>
      </c>
    </row>
    <row r="1330" spans="1:11" x14ac:dyDescent="0.2">
      <c r="A1330">
        <f>INDEX(CoreProteinGroups!A:A,MATCH(B1330,CoreProteinGroups!B:B,0))</f>
        <v>23</v>
      </c>
      <c r="B1330" s="1" t="s">
        <v>2220</v>
      </c>
      <c r="C1330" t="str">
        <f>VLOOKUP(B1330,CoreProteinGroups!$B:$C,2,FALSE)</f>
        <v>polyA polymerase small</v>
      </c>
      <c r="D1330" t="s">
        <v>2313</v>
      </c>
      <c r="E1330" s="6" t="str">
        <f t="shared" si="20"/>
        <v>PROT:AAG02766.1</v>
      </c>
      <c r="F1330" t="s">
        <v>2314</v>
      </c>
      <c r="G1330" t="s">
        <v>141</v>
      </c>
      <c r="H1330" t="s">
        <v>2651</v>
      </c>
      <c r="I1330" t="str">
        <f>INDEX(Genomes!$I:$I,(MATCH(AllProteins!H1330,Genomes!$B:$B,0)))</f>
        <v>AF250284-Amsacta_moorei_entomopoxvirus</v>
      </c>
      <c r="J1330">
        <f>INDEX(Genomes!$A:$A,(MATCH(AllProteins!H1330,Genomes!$B:$B,0)))</f>
        <v>5</v>
      </c>
      <c r="K1330" t="str">
        <f>INDEX(Genomes!$J:$J,(MATCH(AllProteins!H1330,Genomes!$B:$B,0)))</f>
        <v>Y</v>
      </c>
    </row>
    <row r="1331" spans="1:11" x14ac:dyDescent="0.2">
      <c r="A1331">
        <f>INDEX(CoreProteinGroups!A:A,MATCH(B1331,CoreProteinGroups!B:B,0))</f>
        <v>23</v>
      </c>
      <c r="B1331" s="1" t="s">
        <v>2220</v>
      </c>
      <c r="C1331" t="str">
        <f>VLOOKUP(B1331,CoreProteinGroups!$B:$C,2,FALSE)</f>
        <v>polyA polymerase small</v>
      </c>
      <c r="D1331" t="s">
        <v>2315</v>
      </c>
      <c r="E1331" s="6" t="str">
        <f t="shared" si="20"/>
        <v>PROT:CCU55673.1</v>
      </c>
      <c r="F1331" t="s">
        <v>2312</v>
      </c>
      <c r="G1331" t="s">
        <v>143</v>
      </c>
      <c r="H1331" t="s">
        <v>2656</v>
      </c>
      <c r="I1331" t="str">
        <f>INDEX(Genomes!$I:$I,(MATCH(AllProteins!H1331,Genomes!$B:$B,0)))</f>
        <v>HF679132-Choristoneura_biennis_entomopoxvirus</v>
      </c>
      <c r="J1331">
        <f>INDEX(Genomes!$A:$A,(MATCH(AllProteins!H1331,Genomes!$B:$B,0)))</f>
        <v>10</v>
      </c>
      <c r="K1331" t="str">
        <f>INDEX(Genomes!$J:$J,(MATCH(AllProteins!H1331,Genomes!$B:$B,0)))</f>
        <v>Y</v>
      </c>
    </row>
    <row r="1332" spans="1:11" x14ac:dyDescent="0.2">
      <c r="A1332">
        <f>INDEX(CoreProteinGroups!A:A,MATCH(B1332,CoreProteinGroups!B:B,0))</f>
        <v>23</v>
      </c>
      <c r="B1332" s="1" t="s">
        <v>2220</v>
      </c>
      <c r="C1332" t="str">
        <f>VLOOKUP(B1332,CoreProteinGroups!$B:$C,2,FALSE)</f>
        <v>polyA polymerase small</v>
      </c>
      <c r="D1332" t="s">
        <v>2316</v>
      </c>
      <c r="E1332" s="6" t="str">
        <f t="shared" si="20"/>
        <v>PROT:CCU55984.1</v>
      </c>
      <c r="F1332" t="s">
        <v>2312</v>
      </c>
      <c r="G1332" t="s">
        <v>145</v>
      </c>
      <c r="H1332" t="s">
        <v>2660</v>
      </c>
      <c r="I1332" t="str">
        <f>INDEX(Genomes!$I:$I,(MATCH(AllProteins!H1332,Genomes!$B:$B,0)))</f>
        <v>HF679133-Choristoneura_rosaceana_entomopoxvirus</v>
      </c>
      <c r="J1332">
        <f>INDEX(Genomes!$A:$A,(MATCH(AllProteins!H1332,Genomes!$B:$B,0)))</f>
        <v>14</v>
      </c>
      <c r="K1332" t="str">
        <f>INDEX(Genomes!$J:$J,(MATCH(AllProteins!H1332,Genomes!$B:$B,0)))</f>
        <v>Y</v>
      </c>
    </row>
    <row r="1333" spans="1:11" x14ac:dyDescent="0.2">
      <c r="A1333">
        <f>INDEX(CoreProteinGroups!A:A,MATCH(B1333,CoreProteinGroups!B:B,0))</f>
        <v>23</v>
      </c>
      <c r="B1333" s="1" t="s">
        <v>2220</v>
      </c>
      <c r="C1333" t="str">
        <f>VLOOKUP(B1333,CoreProteinGroups!$B:$C,2,FALSE)</f>
        <v>polyA polymerase small</v>
      </c>
      <c r="D1333" t="s">
        <v>2317</v>
      </c>
      <c r="E1333" s="6" t="str">
        <f t="shared" si="20"/>
        <v>PROT:CCU56281.1</v>
      </c>
      <c r="F1333" t="s">
        <v>2312</v>
      </c>
      <c r="G1333" t="s">
        <v>147</v>
      </c>
      <c r="H1333" t="s">
        <v>2675</v>
      </c>
      <c r="I1333" t="str">
        <f>INDEX(Genomes!$I:$I,(MATCH(AllProteins!H1333,Genomes!$B:$B,0)))</f>
        <v>HF679134-Mythimna_separata_entomopoxvirus</v>
      </c>
      <c r="J1333">
        <f>INDEX(Genomes!$A:$A,(MATCH(AllProteins!H1333,Genomes!$B:$B,0)))</f>
        <v>31</v>
      </c>
      <c r="K1333" t="str">
        <f>INDEX(Genomes!$J:$J,(MATCH(AllProteins!H1333,Genomes!$B:$B,0)))</f>
        <v>Y</v>
      </c>
    </row>
    <row r="1334" spans="1:11" x14ac:dyDescent="0.2">
      <c r="A1334">
        <f>INDEX(CoreProteinGroups!A:A,MATCH(B1334,CoreProteinGroups!B:B,0))</f>
        <v>23</v>
      </c>
      <c r="B1334" s="1" t="s">
        <v>2220</v>
      </c>
      <c r="C1334" t="str">
        <f>VLOOKUP(B1334,CoreProteinGroups!$B:$C,2,FALSE)</f>
        <v>polyA polymerase small</v>
      </c>
      <c r="D1334" t="s">
        <v>2318</v>
      </c>
      <c r="E1334" s="6" t="str">
        <f t="shared" si="20"/>
        <v>PROT:NP_659640.1</v>
      </c>
      <c r="F1334" t="s">
        <v>2319</v>
      </c>
      <c r="G1334" t="s">
        <v>150</v>
      </c>
      <c r="H1334" t="s">
        <v>2620</v>
      </c>
      <c r="I1334" t="str">
        <f>INDEX(Genomes!$I:$I,(MATCH(AllProteins!H1334,Genomes!$B:$B,0)))</f>
        <v>NC_004002-sheeppox_virus</v>
      </c>
      <c r="J1334">
        <f>INDEX(Genomes!$A:$A,(MATCH(AllProteins!H1334,Genomes!$B:$B,0)))</f>
        <v>44</v>
      </c>
      <c r="K1334" t="str">
        <f>INDEX(Genomes!$J:$J,(MATCH(AllProteins!H1334,Genomes!$B:$B,0)))</f>
        <v>Y</v>
      </c>
    </row>
    <row r="1335" spans="1:11" x14ac:dyDescent="0.2">
      <c r="A1335">
        <f>INDEX(CoreProteinGroups!A:A,MATCH(B1335,CoreProteinGroups!B:B,0))</f>
        <v>23</v>
      </c>
      <c r="B1335" s="1" t="s">
        <v>2220</v>
      </c>
      <c r="C1335" t="str">
        <f>VLOOKUP(B1335,CoreProteinGroups!$B:$C,2,FALSE)</f>
        <v>polyA polymerase small</v>
      </c>
      <c r="D1335" t="s">
        <v>2320</v>
      </c>
      <c r="E1335" s="6" t="str">
        <f t="shared" si="20"/>
        <v>PROT:YP_001293259.1</v>
      </c>
      <c r="F1335" t="s">
        <v>2321</v>
      </c>
      <c r="G1335" t="s">
        <v>153</v>
      </c>
      <c r="H1335" t="s">
        <v>2644</v>
      </c>
      <c r="I1335" t="str">
        <f>INDEX(Genomes!$I:$I,(MATCH(AllProteins!H1335,Genomes!$B:$B,0)))</f>
        <v>NC_004003-goatpox_virus</v>
      </c>
      <c r="J1335">
        <f>INDEX(Genomes!$A:$A,(MATCH(AllProteins!H1335,Genomes!$B:$B,0)))</f>
        <v>23</v>
      </c>
      <c r="K1335" t="str">
        <f>INDEX(Genomes!$J:$J,(MATCH(AllProteins!H1335,Genomes!$B:$B,0)))</f>
        <v>Y</v>
      </c>
    </row>
    <row r="1336" spans="1:11" x14ac:dyDescent="0.2">
      <c r="A1336">
        <f>INDEX(CoreProteinGroups!A:A,MATCH(B1336,CoreProteinGroups!B:B,0))</f>
        <v>24</v>
      </c>
      <c r="B1336" s="1" t="s">
        <v>2322</v>
      </c>
      <c r="C1336" t="str">
        <f>VLOOKUP(B1336,CoreProteinGroups!$B:$C,2,FALSE)</f>
        <v>RPO147</v>
      </c>
      <c r="D1336" t="s">
        <v>2324</v>
      </c>
      <c r="E1336" s="6" t="str">
        <f t="shared" si="20"/>
        <v>PROT:ATI21178.1</v>
      </c>
      <c r="F1336" t="s">
        <v>454</v>
      </c>
      <c r="G1336" t="s">
        <v>11</v>
      </c>
      <c r="H1336" t="s">
        <v>2663</v>
      </c>
      <c r="I1336" t="str">
        <f>INDEX(Genomes!$I:$I,(MATCH(AllProteins!H1336,Genomes!$B:$B,0)))</f>
        <v>MF467281-Eastern_grey_kangaroopox_virus</v>
      </c>
      <c r="J1336">
        <f>INDEX(Genomes!$A:$A,(MATCH(AllProteins!H1336,Genomes!$B:$B,0)))</f>
        <v>18</v>
      </c>
      <c r="K1336" t="str">
        <f>INDEX(Genomes!$J:$J,(MATCH(AllProteins!H1336,Genomes!$B:$B,0)))</f>
        <v>Y</v>
      </c>
    </row>
    <row r="1337" spans="1:11" x14ac:dyDescent="0.2">
      <c r="A1337">
        <f>INDEX(CoreProteinGroups!A:A,MATCH(B1337,CoreProteinGroups!B:B,0))</f>
        <v>24</v>
      </c>
      <c r="B1337" s="1" t="s">
        <v>2322</v>
      </c>
      <c r="C1337" t="str">
        <f>VLOOKUP(B1337,CoreProteinGroups!$B:$C,2,FALSE)</f>
        <v>RPO147</v>
      </c>
      <c r="D1337" t="s">
        <v>2325</v>
      </c>
      <c r="E1337" s="6" t="str">
        <f t="shared" si="20"/>
        <v>PROT:AWU47114.1</v>
      </c>
      <c r="F1337" t="s">
        <v>454</v>
      </c>
      <c r="G1337" t="s">
        <v>13</v>
      </c>
      <c r="H1337" t="s">
        <v>2688</v>
      </c>
      <c r="I1337" t="str">
        <f>INDEX(Genomes!$I:$I,(MATCH(AllProteins!H1337,Genomes!$B:$B,0)))</f>
        <v>MH427217-sea_otter_poxvirus</v>
      </c>
      <c r="J1337">
        <f>INDEX(Genomes!$A:$A,(MATCH(AllProteins!H1337,Genomes!$B:$B,0)))</f>
        <v>47</v>
      </c>
      <c r="K1337" t="str">
        <f>INDEX(Genomes!$J:$J,(MATCH(AllProteins!H1337,Genomes!$B:$B,0)))</f>
        <v>Y</v>
      </c>
    </row>
    <row r="1338" spans="1:11" x14ac:dyDescent="0.2">
      <c r="A1338">
        <f>INDEX(CoreProteinGroups!A:A,MATCH(B1338,CoreProteinGroups!B:B,0))</f>
        <v>24</v>
      </c>
      <c r="B1338" s="1" t="s">
        <v>2322</v>
      </c>
      <c r="C1338" t="str">
        <f>VLOOKUP(B1338,CoreProteinGroups!$B:$C,2,FALSE)</f>
        <v>RPO147</v>
      </c>
      <c r="D1338" t="s">
        <v>2326</v>
      </c>
      <c r="E1338" s="6" t="str">
        <f t="shared" si="20"/>
        <v>PROT:APG58288.1</v>
      </c>
      <c r="F1338" t="s">
        <v>2327</v>
      </c>
      <c r="G1338" t="s">
        <v>16</v>
      </c>
      <c r="H1338" t="s">
        <v>2653</v>
      </c>
      <c r="I1338" t="str">
        <f>INDEX(Genomes!$I:$I,(MATCH(AllProteins!H1338,Genomes!$B:$B,0)))</f>
        <v>KY094066-BeAn_58058_virus</v>
      </c>
      <c r="J1338">
        <f>INDEX(Genomes!$A:$A,(MATCH(AllProteins!H1338,Genomes!$B:$B,0)))</f>
        <v>7</v>
      </c>
      <c r="K1338" t="str">
        <f>INDEX(Genomes!$J:$J,(MATCH(AllProteins!H1338,Genomes!$B:$B,0)))</f>
        <v>N</v>
      </c>
    </row>
    <row r="1339" spans="1:11" x14ac:dyDescent="0.2">
      <c r="A1339">
        <f>INDEX(CoreProteinGroups!A:A,MATCH(B1339,CoreProteinGroups!B:B,0))</f>
        <v>24</v>
      </c>
      <c r="B1339" s="1" t="s">
        <v>2322</v>
      </c>
      <c r="C1339" t="str">
        <f>VLOOKUP(B1339,CoreProteinGroups!$B:$C,2,FALSE)</f>
        <v>RPO147</v>
      </c>
      <c r="D1339" t="s">
        <v>2328</v>
      </c>
      <c r="E1339" s="6" t="str">
        <f t="shared" si="20"/>
        <v>PROT:ADT91101.1</v>
      </c>
      <c r="F1339" t="s">
        <v>2329</v>
      </c>
      <c r="G1339" t="s">
        <v>19</v>
      </c>
      <c r="H1339" t="s">
        <v>2658</v>
      </c>
      <c r="I1339" t="str">
        <f>INDEX(Genomes!$I:$I,(MATCH(AllProteins!H1339,Genomes!$B:$B,0)))</f>
        <v>HQ647181-Cotia_virus</v>
      </c>
      <c r="J1339">
        <f>INDEX(Genomes!$A:$A,(MATCH(AllProteins!H1339,Genomes!$B:$B,0)))</f>
        <v>12</v>
      </c>
      <c r="K1339" t="str">
        <f>INDEX(Genomes!$J:$J,(MATCH(AllProteins!H1339,Genomes!$B:$B,0)))</f>
        <v>Y</v>
      </c>
    </row>
    <row r="1340" spans="1:11" x14ac:dyDescent="0.2">
      <c r="A1340">
        <f>INDEX(CoreProteinGroups!A:A,MATCH(B1340,CoreProteinGroups!B:B,0))</f>
        <v>24</v>
      </c>
      <c r="B1340" s="1" t="s">
        <v>2322</v>
      </c>
      <c r="C1340" t="str">
        <f>VLOOKUP(B1340,CoreProteinGroups!$B:$C,2,FALSE)</f>
        <v>RPO147</v>
      </c>
      <c r="D1340" t="s">
        <v>2330</v>
      </c>
      <c r="E1340" s="6" t="str">
        <f t="shared" si="20"/>
        <v>PROT:ANS71158.1</v>
      </c>
      <c r="F1340" t="s">
        <v>454</v>
      </c>
      <c r="G1340" t="s">
        <v>21</v>
      </c>
      <c r="H1340" t="s">
        <v>2682</v>
      </c>
      <c r="I1340" t="str">
        <f>INDEX(Genomes!$I:$I,(MATCH(AllProteins!H1340,Genomes!$B:$B,0)))</f>
        <v>KU980965-pteropox_virus</v>
      </c>
      <c r="J1340">
        <f>INDEX(Genomes!$A:$A,(MATCH(AllProteins!H1340,Genomes!$B:$B,0)))</f>
        <v>40</v>
      </c>
      <c r="K1340" t="str">
        <f>INDEX(Genomes!$J:$J,(MATCH(AllProteins!H1340,Genomes!$B:$B,0)))</f>
        <v>Y</v>
      </c>
    </row>
    <row r="1341" spans="1:11" x14ac:dyDescent="0.2">
      <c r="A1341">
        <f>INDEX(CoreProteinGroups!A:A,MATCH(B1341,CoreProteinGroups!B:B,0))</f>
        <v>24</v>
      </c>
      <c r="B1341" s="1" t="s">
        <v>2322</v>
      </c>
      <c r="C1341" t="str">
        <f>VLOOKUP(B1341,CoreProteinGroups!$B:$C,2,FALSE)</f>
        <v>RPO147</v>
      </c>
      <c r="D1341" t="s">
        <v>2331</v>
      </c>
      <c r="E1341" s="6" t="str">
        <f t="shared" si="20"/>
        <v>PROT:AKR04289.1</v>
      </c>
      <c r="F1341" t="s">
        <v>2332</v>
      </c>
      <c r="G1341" t="s">
        <v>24</v>
      </c>
      <c r="H1341" t="s">
        <v>2687</v>
      </c>
      <c r="I1341" t="str">
        <f>INDEX(Genomes!$I:$I,(MATCH(AllProteins!H1341,Genomes!$B:$B,0)))</f>
        <v>KT159937-salmon_gill_poxvirus</v>
      </c>
      <c r="J1341">
        <f>INDEX(Genomes!$A:$A,(MATCH(AllProteins!H1341,Genomes!$B:$B,0)))</f>
        <v>46</v>
      </c>
      <c r="K1341" t="str">
        <f>INDEX(Genomes!$J:$J,(MATCH(AllProteins!H1341,Genomes!$B:$B,0)))</f>
        <v>Y</v>
      </c>
    </row>
    <row r="1342" spans="1:11" x14ac:dyDescent="0.2">
      <c r="A1342">
        <f>INDEX(CoreProteinGroups!A:A,MATCH(B1342,CoreProteinGroups!B:B,0))</f>
        <v>24</v>
      </c>
      <c r="B1342" s="1" t="s">
        <v>2322</v>
      </c>
      <c r="C1342" t="str">
        <f>VLOOKUP(B1342,CoreProteinGroups!$B:$C,2,FALSE)</f>
        <v>RPO147</v>
      </c>
      <c r="D1342" t="s">
        <v>2333</v>
      </c>
      <c r="E1342" s="6" t="str">
        <f t="shared" si="20"/>
        <v>PROT:CCD83246.1</v>
      </c>
      <c r="F1342" t="s">
        <v>2334</v>
      </c>
      <c r="G1342" t="s">
        <v>27</v>
      </c>
      <c r="H1342" t="s">
        <v>2689</v>
      </c>
      <c r="I1342" t="str">
        <f>INDEX(Genomes!$I:$I,(MATCH(AllProteins!H1342,Genomes!$B:$B,0)))</f>
        <v>HE601899-squirrelpox_virus</v>
      </c>
      <c r="J1342">
        <f>INDEX(Genomes!$A:$A,(MATCH(AllProteins!H1342,Genomes!$B:$B,0)))</f>
        <v>48</v>
      </c>
      <c r="K1342" t="str">
        <f>INDEX(Genomes!$J:$J,(MATCH(AllProteins!H1342,Genomes!$B:$B,0)))</f>
        <v>Y</v>
      </c>
    </row>
    <row r="1343" spans="1:11" x14ac:dyDescent="0.2">
      <c r="A1343">
        <f>INDEX(CoreProteinGroups!A:A,MATCH(B1343,CoreProteinGroups!B:B,0))</f>
        <v>24</v>
      </c>
      <c r="B1343" s="1" t="s">
        <v>2322</v>
      </c>
      <c r="C1343" t="str">
        <f>VLOOKUP(B1343,CoreProteinGroups!$B:$C,2,FALSE)</f>
        <v>RPO147</v>
      </c>
      <c r="D1343" t="s">
        <v>2335</v>
      </c>
      <c r="E1343" s="6" t="str">
        <f t="shared" si="20"/>
        <v>PROT:ASK51276.1</v>
      </c>
      <c r="F1343" t="s">
        <v>2336</v>
      </c>
      <c r="G1343" t="s">
        <v>30</v>
      </c>
      <c r="H1343" t="s">
        <v>2664</v>
      </c>
      <c r="I1343" t="str">
        <f>INDEX(Genomes!$I:$I,(MATCH(AllProteins!H1343,Genomes!$B:$B,0)))</f>
        <v>KY747497-eptesipox_virus</v>
      </c>
      <c r="J1343">
        <f>INDEX(Genomes!$A:$A,(MATCH(AllProteins!H1343,Genomes!$B:$B,0)))</f>
        <v>19</v>
      </c>
      <c r="K1343" t="str">
        <f>INDEX(Genomes!$J:$J,(MATCH(AllProteins!H1343,Genomes!$B:$B,0)))</f>
        <v>Y</v>
      </c>
    </row>
    <row r="1344" spans="1:11" x14ac:dyDescent="0.2">
      <c r="A1344">
        <f>INDEX(CoreProteinGroups!A:A,MATCH(B1344,CoreProteinGroups!B:B,0))</f>
        <v>24</v>
      </c>
      <c r="B1344" s="1" t="s">
        <v>2322</v>
      </c>
      <c r="C1344" t="str">
        <f>VLOOKUP(B1344,CoreProteinGroups!$B:$C,2,FALSE)</f>
        <v>RPO147</v>
      </c>
      <c r="D1344" t="s">
        <v>2337</v>
      </c>
      <c r="E1344" s="6" t="str">
        <f t="shared" si="20"/>
        <v>PROT:AUD40241.1</v>
      </c>
      <c r="F1344" t="s">
        <v>2338</v>
      </c>
      <c r="G1344" t="s">
        <v>32</v>
      </c>
      <c r="H1344" t="s">
        <v>2665</v>
      </c>
      <c r="I1344" t="str">
        <f>INDEX(Genomes!$I:$I,(MATCH(AllProteins!H1344,Genomes!$B:$B,0)))</f>
        <v>MF678796-flamingopox_virus</v>
      </c>
      <c r="J1344">
        <f>INDEX(Genomes!$A:$A,(MATCH(AllProteins!H1344,Genomes!$B:$B,0)))</f>
        <v>20</v>
      </c>
      <c r="K1344" t="str">
        <f>INDEX(Genomes!$J:$J,(MATCH(AllProteins!H1344,Genomes!$B:$B,0)))</f>
        <v>Y</v>
      </c>
    </row>
    <row r="1345" spans="1:11" x14ac:dyDescent="0.2">
      <c r="A1345">
        <f>INDEX(CoreProteinGroups!A:A,MATCH(B1345,CoreProteinGroups!B:B,0))</f>
        <v>24</v>
      </c>
      <c r="B1345" s="1" t="s">
        <v>2322</v>
      </c>
      <c r="C1345" t="str">
        <f>VLOOKUP(B1345,CoreProteinGroups!$B:$C,2,FALSE)</f>
        <v>RPO147</v>
      </c>
      <c r="D1345" t="s">
        <v>2339</v>
      </c>
      <c r="E1345" s="6" t="str">
        <f t="shared" si="20"/>
        <v>PROT:AID46873.1</v>
      </c>
      <c r="F1345" t="s">
        <v>2340</v>
      </c>
      <c r="G1345" t="s">
        <v>34</v>
      </c>
      <c r="H1345" t="s">
        <v>2681</v>
      </c>
      <c r="I1345" t="str">
        <f>INDEX(Genomes!$I:$I,(MATCH(AllProteins!H1345,Genomes!$B:$B,0)))</f>
        <v>KJ859677-penguinpox_virus</v>
      </c>
      <c r="J1345">
        <f>INDEX(Genomes!$A:$A,(MATCH(AllProteins!H1345,Genomes!$B:$B,0)))</f>
        <v>39</v>
      </c>
      <c r="K1345" t="str">
        <f>INDEX(Genomes!$J:$J,(MATCH(AllProteins!H1345,Genomes!$B:$B,0)))</f>
        <v>Y</v>
      </c>
    </row>
    <row r="1346" spans="1:11" x14ac:dyDescent="0.2">
      <c r="A1346">
        <f>INDEX(CoreProteinGroups!A:A,MATCH(B1346,CoreProteinGroups!B:B,0))</f>
        <v>24</v>
      </c>
      <c r="B1346" s="1" t="s">
        <v>2322</v>
      </c>
      <c r="C1346" t="str">
        <f>VLOOKUP(B1346,CoreProteinGroups!$B:$C,2,FALSE)</f>
        <v>RPO147</v>
      </c>
      <c r="D1346" t="s">
        <v>2341</v>
      </c>
      <c r="E1346" s="6" t="str">
        <f t="shared" ref="E1346:E1409" si="21">HYPERLINK(_xlfn.CONCAT("https://www.ncbi.nlm.nih.gov/protein/",D1346),_xlfn.CONCAT("PROT:",D1346))</f>
        <v>PROT:AID46644.1</v>
      </c>
      <c r="F1346" t="s">
        <v>2340</v>
      </c>
      <c r="G1346" t="s">
        <v>36</v>
      </c>
      <c r="H1346" t="s">
        <v>2680</v>
      </c>
      <c r="I1346" t="str">
        <f>INDEX(Genomes!$I:$I,(MATCH(AllProteins!H1346,Genomes!$B:$B,0)))</f>
        <v>KJ801920-pigeonpox_virus</v>
      </c>
      <c r="J1346">
        <f>INDEX(Genomes!$A:$A,(MATCH(AllProteins!H1346,Genomes!$B:$B,0)))</f>
        <v>38</v>
      </c>
      <c r="K1346" t="str">
        <f>INDEX(Genomes!$J:$J,(MATCH(AllProteins!H1346,Genomes!$B:$B,0)))</f>
        <v>Y</v>
      </c>
    </row>
    <row r="1347" spans="1:11" x14ac:dyDescent="0.2">
      <c r="A1347">
        <f>INDEX(CoreProteinGroups!A:A,MATCH(B1347,CoreProteinGroups!B:B,0))</f>
        <v>24</v>
      </c>
      <c r="B1347" s="1" t="s">
        <v>2322</v>
      </c>
      <c r="C1347" t="str">
        <f>VLOOKUP(B1347,CoreProteinGroups!$B:$C,2,FALSE)</f>
        <v>RPO147</v>
      </c>
      <c r="D1347" t="s">
        <v>2342</v>
      </c>
      <c r="E1347" s="6" t="str">
        <f t="shared" si="21"/>
        <v>PROT:ALA62474.1</v>
      </c>
      <c r="F1347" t="s">
        <v>2336</v>
      </c>
      <c r="G1347" t="s">
        <v>39</v>
      </c>
      <c r="H1347" t="s">
        <v>2692</v>
      </c>
      <c r="I1347" t="str">
        <f>INDEX(Genomes!$I:$I,(MATCH(AllProteins!H1347,Genomes!$B:$B,0)))</f>
        <v>KP728110-turkeypox_virus</v>
      </c>
      <c r="J1347">
        <f>INDEX(Genomes!$A:$A,(MATCH(AllProteins!H1347,Genomes!$B:$B,0)))</f>
        <v>51</v>
      </c>
      <c r="K1347" t="str">
        <f>INDEX(Genomes!$J:$J,(MATCH(AllProteins!H1347,Genomes!$B:$B,0)))</f>
        <v>Y</v>
      </c>
    </row>
    <row r="1348" spans="1:11" x14ac:dyDescent="0.2">
      <c r="A1348">
        <f>INDEX(CoreProteinGroups!A:A,MATCH(B1348,CoreProteinGroups!B:B,0))</f>
        <v>24</v>
      </c>
      <c r="B1348" s="1" t="s">
        <v>2322</v>
      </c>
      <c r="C1348" t="str">
        <f>VLOOKUP(B1348,CoreProteinGroups!$B:$C,2,FALSE)</f>
        <v>RPO147</v>
      </c>
      <c r="D1348" t="s">
        <v>2343</v>
      </c>
      <c r="E1348" s="6" t="str">
        <f t="shared" si="21"/>
        <v>PROT:AAR83528.1</v>
      </c>
      <c r="F1348" t="s">
        <v>2344</v>
      </c>
      <c r="G1348" t="s">
        <v>42</v>
      </c>
      <c r="H1348" t="s">
        <v>2657</v>
      </c>
      <c r="I1348" t="str">
        <f>INDEX(Genomes!$I:$I,(MATCH(AllProteins!H1348,Genomes!$B:$B,0)))</f>
        <v>AY318871-canarypox_virus</v>
      </c>
      <c r="J1348">
        <f>INDEX(Genomes!$A:$A,(MATCH(AllProteins!H1348,Genomes!$B:$B,0)))</f>
        <v>11</v>
      </c>
      <c r="K1348" t="str">
        <f>INDEX(Genomes!$J:$J,(MATCH(AllProteins!H1348,Genomes!$B:$B,0)))</f>
        <v>Y</v>
      </c>
    </row>
    <row r="1349" spans="1:11" x14ac:dyDescent="0.2">
      <c r="A1349">
        <f>INDEX(CoreProteinGroups!A:A,MATCH(B1349,CoreProteinGroups!B:B,0))</f>
        <v>24</v>
      </c>
      <c r="B1349" s="1" t="s">
        <v>2322</v>
      </c>
      <c r="C1349" t="str">
        <f>VLOOKUP(B1349,CoreProteinGroups!$B:$C,2,FALSE)</f>
        <v>RPO147</v>
      </c>
      <c r="D1349" t="s">
        <v>2345</v>
      </c>
      <c r="E1349" s="6" t="str">
        <f t="shared" si="21"/>
        <v>PROT:AAF44481.1</v>
      </c>
      <c r="F1349" t="s">
        <v>2346</v>
      </c>
      <c r="G1349" t="s">
        <v>45</v>
      </c>
      <c r="H1349" t="s">
        <v>2666</v>
      </c>
      <c r="I1349" t="str">
        <f>INDEX(Genomes!$I:$I,(MATCH(AllProteins!H1349,Genomes!$B:$B,0)))</f>
        <v>AF198100-fowlpox_virus</v>
      </c>
      <c r="J1349">
        <f>INDEX(Genomes!$A:$A,(MATCH(AllProteins!H1349,Genomes!$B:$B,0)))</f>
        <v>21</v>
      </c>
      <c r="K1349" t="str">
        <f>INDEX(Genomes!$J:$J,(MATCH(AllProteins!H1349,Genomes!$B:$B,0)))</f>
        <v>Y</v>
      </c>
    </row>
    <row r="1350" spans="1:11" x14ac:dyDescent="0.2">
      <c r="A1350">
        <f>INDEX(CoreProteinGroups!A:A,MATCH(B1350,CoreProteinGroups!B:B,0))</f>
        <v>24</v>
      </c>
      <c r="B1350" s="1" t="s">
        <v>2322</v>
      </c>
      <c r="C1350" t="str">
        <f>VLOOKUP(B1350,CoreProteinGroups!$B:$C,2,FALSE)</f>
        <v>RPO147</v>
      </c>
      <c r="D1350" t="s">
        <v>2347</v>
      </c>
      <c r="E1350" s="6" t="str">
        <f t="shared" si="21"/>
        <v>PROT:AAK85032.1</v>
      </c>
      <c r="F1350" t="s">
        <v>2348</v>
      </c>
      <c r="G1350" t="s">
        <v>48</v>
      </c>
      <c r="H1350" t="s">
        <v>2669</v>
      </c>
      <c r="I1350" t="str">
        <f>INDEX(Genomes!$I:$I,(MATCH(AllProteins!H1350,Genomes!$B:$B,0)))</f>
        <v>AF325528-lumpy_skin_disease_virus</v>
      </c>
      <c r="J1350">
        <f>INDEX(Genomes!$A:$A,(MATCH(AllProteins!H1350,Genomes!$B:$B,0)))</f>
        <v>25</v>
      </c>
      <c r="K1350" t="str">
        <f>INDEX(Genomes!$J:$J,(MATCH(AllProteins!H1350,Genomes!$B:$B,0)))</f>
        <v>Y</v>
      </c>
    </row>
    <row r="1351" spans="1:11" x14ac:dyDescent="0.2">
      <c r="A1351">
        <f>INDEX(CoreProteinGroups!A:A,MATCH(B1351,CoreProteinGroups!B:B,0))</f>
        <v>24</v>
      </c>
      <c r="B1351" s="1" t="s">
        <v>2322</v>
      </c>
      <c r="C1351" t="str">
        <f>VLOOKUP(B1351,CoreProteinGroups!$B:$C,2,FALSE)</f>
        <v>RPO147</v>
      </c>
      <c r="D1351" t="s">
        <v>2349</v>
      </c>
      <c r="E1351" s="6" t="str">
        <f t="shared" si="21"/>
        <v>PROT:AST09289.1</v>
      </c>
      <c r="F1351" t="s">
        <v>2334</v>
      </c>
      <c r="G1351" t="s">
        <v>50</v>
      </c>
      <c r="H1351" t="s">
        <v>2671</v>
      </c>
      <c r="I1351" t="str">
        <f>INDEX(Genomes!$I:$I,(MATCH(AllProteins!H1351,Genomes!$B:$B,0)))</f>
        <v>MF001304-Murmansk_poxvirus</v>
      </c>
      <c r="J1351">
        <f>INDEX(Genomes!$A:$A,(MATCH(AllProteins!H1351,Genomes!$B:$B,0)))</f>
        <v>27</v>
      </c>
      <c r="K1351" t="str">
        <f>INDEX(Genomes!$J:$J,(MATCH(AllProteins!H1351,Genomes!$B:$B,0)))</f>
        <v>Y</v>
      </c>
    </row>
    <row r="1352" spans="1:11" x14ac:dyDescent="0.2">
      <c r="A1352">
        <f>INDEX(CoreProteinGroups!A:A,MATCH(B1352,CoreProteinGroups!B:B,0))</f>
        <v>24</v>
      </c>
      <c r="B1352" s="1" t="s">
        <v>2322</v>
      </c>
      <c r="C1352" t="str">
        <f>VLOOKUP(B1352,CoreProteinGroups!$B:$C,2,FALSE)</f>
        <v>RPO147</v>
      </c>
      <c r="D1352" t="s">
        <v>2350</v>
      </c>
      <c r="E1352" s="6" t="str">
        <f t="shared" si="21"/>
        <v>PROT:AEN03667.1</v>
      </c>
      <c r="F1352" t="s">
        <v>2334</v>
      </c>
      <c r="G1352" t="s">
        <v>52</v>
      </c>
      <c r="H1352" t="s">
        <v>2698</v>
      </c>
      <c r="I1352" t="str">
        <f>INDEX(Genomes!$I:$I,(MATCH(AllProteins!H1352,Genomes!$B:$B,0)))</f>
        <v>HQ849551-yokapox_virus</v>
      </c>
      <c r="J1352">
        <f>INDEX(Genomes!$A:$A,(MATCH(AllProteins!H1352,Genomes!$B:$B,0)))</f>
        <v>57</v>
      </c>
      <c r="K1352" t="str">
        <f>INDEX(Genomes!$J:$J,(MATCH(AllProteins!H1352,Genomes!$B:$B,0)))</f>
        <v>Y</v>
      </c>
    </row>
    <row r="1353" spans="1:11" x14ac:dyDescent="0.2">
      <c r="A1353">
        <f>INDEX(CoreProteinGroups!A:A,MATCH(B1353,CoreProteinGroups!B:B,0))</f>
        <v>24</v>
      </c>
      <c r="B1353" s="1" t="s">
        <v>2322</v>
      </c>
      <c r="C1353" t="str">
        <f>VLOOKUP(B1353,CoreProteinGroups!$B:$C,2,FALSE)</f>
        <v>RPO147</v>
      </c>
      <c r="D1353" t="s">
        <v>2351</v>
      </c>
      <c r="E1353" s="6" t="str">
        <f t="shared" si="21"/>
        <v>PROT:ABI99235.1</v>
      </c>
      <c r="F1353" t="s">
        <v>2340</v>
      </c>
      <c r="G1353" t="s">
        <v>54</v>
      </c>
      <c r="H1353" t="s">
        <v>2661</v>
      </c>
      <c r="I1353" t="str">
        <f>INDEX(Genomes!$I:$I,(MATCH(AllProteins!H1353,Genomes!$B:$B,0)))</f>
        <v>AY689436-mule_deerpox_virus</v>
      </c>
      <c r="J1353">
        <f>INDEX(Genomes!$A:$A,(MATCH(AllProteins!H1353,Genomes!$B:$B,0)))</f>
        <v>15</v>
      </c>
      <c r="K1353" t="str">
        <f>INDEX(Genomes!$J:$J,(MATCH(AllProteins!H1353,Genomes!$B:$B,0)))</f>
        <v>Y</v>
      </c>
    </row>
    <row r="1354" spans="1:11" x14ac:dyDescent="0.2">
      <c r="A1354">
        <f>INDEX(CoreProteinGroups!A:A,MATCH(B1354,CoreProteinGroups!B:B,0))</f>
        <v>24</v>
      </c>
      <c r="B1354" s="1" t="s">
        <v>2322</v>
      </c>
      <c r="C1354" t="str">
        <f>VLOOKUP(B1354,CoreProteinGroups!$B:$C,2,FALSE)</f>
        <v>RPO147</v>
      </c>
      <c r="D1354" t="s">
        <v>2352</v>
      </c>
      <c r="E1354" s="6" t="str">
        <f t="shared" si="21"/>
        <v>PROT:ABJ08990.1</v>
      </c>
      <c r="F1354" t="s">
        <v>2340</v>
      </c>
      <c r="G1354" t="s">
        <v>56</v>
      </c>
      <c r="H1354" t="s">
        <v>2677</v>
      </c>
      <c r="I1354" t="str">
        <f>INDEX(Genomes!$I:$I,(MATCH(AllProteins!H1354,Genomes!$B:$B,0)))</f>
        <v>DQ356948-Nile_crocodilepox_virus</v>
      </c>
      <c r="J1354">
        <f>INDEX(Genomes!$A:$A,(MATCH(AllProteins!H1354,Genomes!$B:$B,0)))</f>
        <v>34</v>
      </c>
      <c r="K1354" t="str">
        <f>INDEX(Genomes!$J:$J,(MATCH(AllProteins!H1354,Genomes!$B:$B,0)))</f>
        <v>Y</v>
      </c>
    </row>
    <row r="1355" spans="1:11" x14ac:dyDescent="0.2">
      <c r="A1355">
        <f>INDEX(CoreProteinGroups!A:A,MATCH(B1355,CoreProteinGroups!B:B,0))</f>
        <v>24</v>
      </c>
      <c r="B1355" s="1" t="s">
        <v>2322</v>
      </c>
      <c r="C1355" t="str">
        <f>VLOOKUP(B1355,CoreProteinGroups!$B:$C,2,FALSE)</f>
        <v>RPO147</v>
      </c>
      <c r="D1355" t="s">
        <v>2353</v>
      </c>
      <c r="E1355" s="6" t="str">
        <f t="shared" si="21"/>
        <v>PROT:AAF14956.1</v>
      </c>
      <c r="F1355" t="s">
        <v>2354</v>
      </c>
      <c r="G1355" t="s">
        <v>2584</v>
      </c>
      <c r="H1355" t="s">
        <v>2676</v>
      </c>
      <c r="I1355" t="str">
        <f>INDEX(Genomes!$I:$I,(MATCH(AllProteins!H1355,Genomes!$B:$B,0)))</f>
        <v>AF170726-myxoma_virus</v>
      </c>
      <c r="J1355">
        <f>INDEX(Genomes!$A:$A,(MATCH(AllProteins!H1355,Genomes!$B:$B,0)))</f>
        <v>32</v>
      </c>
      <c r="K1355" t="str">
        <f>INDEX(Genomes!$J:$J,(MATCH(AllProteins!H1355,Genomes!$B:$B,0)))</f>
        <v>Y</v>
      </c>
    </row>
    <row r="1356" spans="1:11" x14ac:dyDescent="0.2">
      <c r="A1356">
        <f>INDEX(CoreProteinGroups!A:A,MATCH(B1356,CoreProteinGroups!B:B,0))</f>
        <v>24</v>
      </c>
      <c r="B1356" s="1" t="s">
        <v>2322</v>
      </c>
      <c r="C1356" t="str">
        <f>VLOOKUP(B1356,CoreProteinGroups!$B:$C,2,FALSE)</f>
        <v>RPO147</v>
      </c>
      <c r="D1356" t="s">
        <v>2355</v>
      </c>
      <c r="E1356" s="6" t="str">
        <f t="shared" si="21"/>
        <v>PROT:AFU77332.1</v>
      </c>
      <c r="F1356" t="s">
        <v>2354</v>
      </c>
      <c r="G1356" t="s">
        <v>2553</v>
      </c>
      <c r="H1356" t="s">
        <v>2646</v>
      </c>
      <c r="I1356" t="str">
        <f>INDEX(Genomes!$I:$I,(MATCH(AllProteins!H1356,Genomes!$B:$B,0)))</f>
        <v>JX565564-myxoma_virus_isolate_BRK_897</v>
      </c>
      <c r="J1356">
        <f>INDEX(Genomes!$A:$A,(MATCH(AllProteins!H1356,Genomes!$B:$B,0)))</f>
        <v>33</v>
      </c>
      <c r="K1356" t="str">
        <f>INDEX(Genomes!$J:$J,(MATCH(AllProteins!H1356,Genomes!$B:$B,0)))</f>
        <v>N</v>
      </c>
    </row>
    <row r="1357" spans="1:11" x14ac:dyDescent="0.2">
      <c r="A1357">
        <f>INDEX(CoreProteinGroups!A:A,MATCH(B1357,CoreProteinGroups!B:B,0))</f>
        <v>24</v>
      </c>
      <c r="B1357" s="1" t="s">
        <v>2322</v>
      </c>
      <c r="C1357" t="str">
        <f>VLOOKUP(B1357,CoreProteinGroups!$B:$C,2,FALSE)</f>
        <v>RPO147</v>
      </c>
      <c r="D1357" t="s">
        <v>2356</v>
      </c>
      <c r="E1357" s="6" t="str">
        <f t="shared" si="21"/>
        <v>PROT:AAF17950.1</v>
      </c>
      <c r="F1357" t="s">
        <v>2357</v>
      </c>
      <c r="G1357" t="s">
        <v>62</v>
      </c>
      <c r="H1357" t="s">
        <v>2685</v>
      </c>
      <c r="I1357" t="str">
        <f>INDEX(Genomes!$I:$I,(MATCH(AllProteins!H1357,Genomes!$B:$B,0)))</f>
        <v>AF170722-rabbit_fibroma_virus</v>
      </c>
      <c r="J1357">
        <f>INDEX(Genomes!$A:$A,(MATCH(AllProteins!H1357,Genomes!$B:$B,0)))</f>
        <v>43</v>
      </c>
      <c r="K1357" t="str">
        <f>INDEX(Genomes!$J:$J,(MATCH(AllProteins!H1357,Genomes!$B:$B,0)))</f>
        <v>Y</v>
      </c>
    </row>
    <row r="1358" spans="1:11" x14ac:dyDescent="0.2">
      <c r="A1358">
        <f>INDEX(CoreProteinGroups!A:A,MATCH(B1358,CoreProteinGroups!B:B,0))</f>
        <v>24</v>
      </c>
      <c r="B1358" s="1" t="s">
        <v>2322</v>
      </c>
      <c r="C1358" t="str">
        <f>VLOOKUP(B1358,CoreProteinGroups!$B:$C,2,FALSE)</f>
        <v>RPO147</v>
      </c>
      <c r="D1358" t="s">
        <v>2358</v>
      </c>
      <c r="E1358" s="6" t="str">
        <f t="shared" si="21"/>
        <v>PROT:AAC55207.1</v>
      </c>
      <c r="F1358" t="s">
        <v>2359</v>
      </c>
      <c r="G1358" t="s">
        <v>65</v>
      </c>
      <c r="H1358" t="s">
        <v>2670</v>
      </c>
      <c r="I1358" t="str">
        <f>INDEX(Genomes!$I:$I,(MATCH(AllProteins!H1358,Genomes!$B:$B,0)))</f>
        <v>U60315-molluscum_contagiosum_virus</v>
      </c>
      <c r="J1358">
        <f>INDEX(Genomes!$A:$A,(MATCH(AllProteins!H1358,Genomes!$B:$B,0)))</f>
        <v>26</v>
      </c>
      <c r="K1358" t="str">
        <f>INDEX(Genomes!$J:$J,(MATCH(AllProteins!H1358,Genomes!$B:$B,0)))</f>
        <v>Y</v>
      </c>
    </row>
    <row r="1359" spans="1:11" x14ac:dyDescent="0.2">
      <c r="A1359">
        <f>INDEX(CoreProteinGroups!A:A,MATCH(B1359,CoreProteinGroups!B:B,0))</f>
        <v>24</v>
      </c>
      <c r="B1359" s="1" t="s">
        <v>2322</v>
      </c>
      <c r="C1359" t="str">
        <f>VLOOKUP(B1359,CoreProteinGroups!$B:$C,2,FALSE)</f>
        <v>RPO147</v>
      </c>
      <c r="D1359" t="s">
        <v>2360</v>
      </c>
      <c r="E1359" s="6" t="str">
        <f t="shared" si="21"/>
        <v>PROT:AYN64664.1</v>
      </c>
      <c r="F1359" t="s">
        <v>2361</v>
      </c>
      <c r="G1359" t="s">
        <v>68</v>
      </c>
      <c r="H1359" t="s">
        <v>2647</v>
      </c>
      <c r="I1359" t="str">
        <f>INDEX(Genomes!$I:$I,(MATCH(AllProteins!H1359,Genomes!$B:$B,0)))</f>
        <v>MH816996-orthopoxvirus_abatino</v>
      </c>
      <c r="J1359">
        <f>INDEX(Genomes!$A:$A,(MATCH(AllProteins!H1359,Genomes!$B:$B,0)))</f>
        <v>1</v>
      </c>
      <c r="K1359" t="str">
        <f>INDEX(Genomes!$J:$J,(MATCH(AllProteins!H1359,Genomes!$B:$B,0)))</f>
        <v>Y</v>
      </c>
    </row>
    <row r="1360" spans="1:11" x14ac:dyDescent="0.2">
      <c r="A1360">
        <f>INDEX(CoreProteinGroups!A:A,MATCH(B1360,CoreProteinGroups!B:B,0))</f>
        <v>24</v>
      </c>
      <c r="B1360" s="1" t="s">
        <v>2322</v>
      </c>
      <c r="C1360" t="str">
        <f>VLOOKUP(B1360,CoreProteinGroups!$B:$C,2,FALSE)</f>
        <v>RPO147</v>
      </c>
      <c r="D1360" t="s">
        <v>2362</v>
      </c>
      <c r="E1360" s="6" t="str">
        <f t="shared" si="21"/>
        <v>PROT:AXN74891.1</v>
      </c>
      <c r="F1360" t="s">
        <v>2336</v>
      </c>
      <c r="G1360" t="s">
        <v>70</v>
      </c>
      <c r="H1360" t="s">
        <v>2650</v>
      </c>
      <c r="I1360" t="str">
        <f>INDEX(Genomes!$I:$I,(MATCH(AllProteins!H1360,Genomes!$B:$B,0)))</f>
        <v>MH607141-Akhmeta_virus</v>
      </c>
      <c r="J1360">
        <f>INDEX(Genomes!$A:$A,(MATCH(AllProteins!H1360,Genomes!$B:$B,0)))</f>
        <v>4</v>
      </c>
      <c r="K1360" t="str">
        <f>INDEX(Genomes!$J:$J,(MATCH(AllProteins!H1360,Genomes!$B:$B,0)))</f>
        <v>Y</v>
      </c>
    </row>
    <row r="1361" spans="1:11" x14ac:dyDescent="0.2">
      <c r="A1361">
        <f>INDEX(CoreProteinGroups!A:A,MATCH(B1361,CoreProteinGroups!B:B,0))</f>
        <v>24</v>
      </c>
      <c r="B1361" s="1" t="s">
        <v>2322</v>
      </c>
      <c r="C1361" t="str">
        <f>VLOOKUP(B1361,CoreProteinGroups!$B:$C,2,FALSE)</f>
        <v>RPO147</v>
      </c>
      <c r="D1361" t="s">
        <v>2363</v>
      </c>
      <c r="E1361" s="6" t="str">
        <f t="shared" si="21"/>
        <v>PROT:ABH08205.1</v>
      </c>
      <c r="F1361" t="s">
        <v>2364</v>
      </c>
      <c r="G1361" t="s">
        <v>73</v>
      </c>
      <c r="H1361" t="s">
        <v>2668</v>
      </c>
      <c r="I1361" t="str">
        <f>INDEX(Genomes!$I:$I,(MATCH(AllProteins!H1361,Genomes!$B:$B,0)))</f>
        <v>DQ792504-horsepox_virus</v>
      </c>
      <c r="J1361">
        <f>INDEX(Genomes!$A:$A,(MATCH(AllProteins!H1361,Genomes!$B:$B,0)))</f>
        <v>24</v>
      </c>
      <c r="K1361" t="str">
        <f>INDEX(Genomes!$J:$J,(MATCH(AllProteins!H1361,Genomes!$B:$B,0)))</f>
        <v>Y</v>
      </c>
    </row>
    <row r="1362" spans="1:11" x14ac:dyDescent="0.2">
      <c r="A1362">
        <f>INDEX(CoreProteinGroups!A:A,MATCH(B1362,CoreProteinGroups!B:B,0))</f>
        <v>24</v>
      </c>
      <c r="B1362" s="1" t="s">
        <v>2322</v>
      </c>
      <c r="C1362" t="str">
        <f>VLOOKUP(B1362,CoreProteinGroups!$B:$C,2,FALSE)</f>
        <v>RPO147</v>
      </c>
      <c r="D1362" t="s">
        <v>2365</v>
      </c>
      <c r="E1362" s="6" t="str">
        <f t="shared" si="21"/>
        <v>PROT:AAG37567.1</v>
      </c>
      <c r="F1362" t="s">
        <v>2366</v>
      </c>
      <c r="G1362" t="s">
        <v>76</v>
      </c>
      <c r="H1362" t="s">
        <v>2655</v>
      </c>
      <c r="I1362" t="str">
        <f>INDEX(Genomes!$I:$I,(MATCH(AllProteins!H1362,Genomes!$B:$B,0)))</f>
        <v>AY009089-camelpox_virus_CMS</v>
      </c>
      <c r="J1362">
        <f>INDEX(Genomes!$A:$A,(MATCH(AllProteins!H1362,Genomes!$B:$B,0)))</f>
        <v>9</v>
      </c>
      <c r="K1362" t="str">
        <f>INDEX(Genomes!$J:$J,(MATCH(AllProteins!H1362,Genomes!$B:$B,0)))</f>
        <v>N</v>
      </c>
    </row>
    <row r="1363" spans="1:11" x14ac:dyDescent="0.2">
      <c r="A1363">
        <f>INDEX(CoreProteinGroups!A:A,MATCH(B1363,CoreProteinGroups!B:B,0))</f>
        <v>24</v>
      </c>
      <c r="B1363" s="1" t="s">
        <v>2322</v>
      </c>
      <c r="C1363" t="str">
        <f>VLOOKUP(B1363,CoreProteinGroups!$B:$C,2,FALSE)</f>
        <v>RPO147</v>
      </c>
      <c r="D1363" t="s">
        <v>2367</v>
      </c>
      <c r="E1363" s="6" t="str">
        <f t="shared" si="21"/>
        <v>PROT:AAL73803.1</v>
      </c>
      <c r="F1363" t="s">
        <v>2340</v>
      </c>
      <c r="G1363" t="s">
        <v>79</v>
      </c>
      <c r="H1363" t="s">
        <v>2654</v>
      </c>
      <c r="I1363" t="str">
        <f>INDEX(Genomes!$I:$I,(MATCH(AllProteins!H1363,Genomes!$B:$B,0)))</f>
        <v>AF438165-camelpox_virus</v>
      </c>
      <c r="J1363">
        <f>INDEX(Genomes!$A:$A,(MATCH(AllProteins!H1363,Genomes!$B:$B,0)))</f>
        <v>8</v>
      </c>
      <c r="K1363" t="str">
        <f>INDEX(Genomes!$J:$J,(MATCH(AllProteins!H1363,Genomes!$B:$B,0)))</f>
        <v>Y</v>
      </c>
    </row>
    <row r="1364" spans="1:11" x14ac:dyDescent="0.2">
      <c r="A1364">
        <f>INDEX(CoreProteinGroups!A:A,MATCH(B1364,CoreProteinGroups!B:B,0))</f>
        <v>24</v>
      </c>
      <c r="B1364" s="1" t="s">
        <v>2322</v>
      </c>
      <c r="C1364" t="str">
        <f>VLOOKUP(B1364,CoreProteinGroups!$B:$C,2,FALSE)</f>
        <v>RPO147</v>
      </c>
      <c r="D1364" t="s">
        <v>2368</v>
      </c>
      <c r="E1364" s="6" t="str">
        <f t="shared" si="21"/>
        <v>PROT:AAM13552.1</v>
      </c>
      <c r="F1364" t="s">
        <v>2369</v>
      </c>
      <c r="G1364" t="s">
        <v>82</v>
      </c>
      <c r="H1364" t="s">
        <v>2659</v>
      </c>
      <c r="I1364" t="str">
        <f>INDEX(Genomes!$I:$I,(MATCH(AllProteins!H1364,Genomes!$B:$B,0)))</f>
        <v>AF482758-cowpox_virus</v>
      </c>
      <c r="J1364">
        <f>INDEX(Genomes!$A:$A,(MATCH(AllProteins!H1364,Genomes!$B:$B,0)))</f>
        <v>13</v>
      </c>
      <c r="K1364" t="str">
        <f>INDEX(Genomes!$J:$J,(MATCH(AllProteins!H1364,Genomes!$B:$B,0)))</f>
        <v>Y</v>
      </c>
    </row>
    <row r="1365" spans="1:11" x14ac:dyDescent="0.2">
      <c r="A1365">
        <f>INDEX(CoreProteinGroups!A:A,MATCH(B1365,CoreProteinGroups!B:B,0))</f>
        <v>24</v>
      </c>
      <c r="B1365" s="1" t="s">
        <v>2322</v>
      </c>
      <c r="C1365" t="str">
        <f>VLOOKUP(B1365,CoreProteinGroups!$B:$C,2,FALSE)</f>
        <v>RPO147</v>
      </c>
      <c r="D1365" t="s">
        <v>2370</v>
      </c>
      <c r="E1365" s="6" t="str">
        <f t="shared" si="21"/>
        <v>PROT:AAM92386.1</v>
      </c>
      <c r="F1365" t="s">
        <v>2371</v>
      </c>
      <c r="G1365" t="s">
        <v>85</v>
      </c>
      <c r="H1365" t="s">
        <v>2662</v>
      </c>
      <c r="I1365" t="str">
        <f>INDEX(Genomes!$I:$I,(MATCH(AllProteins!H1365,Genomes!$B:$B,0)))</f>
        <v>AF012825-ectromelia_virus</v>
      </c>
      <c r="J1365">
        <f>INDEX(Genomes!$A:$A,(MATCH(AllProteins!H1365,Genomes!$B:$B,0)))</f>
        <v>16</v>
      </c>
      <c r="K1365" t="str">
        <f>INDEX(Genomes!$J:$J,(MATCH(AllProteins!H1365,Genomes!$B:$B,0)))</f>
        <v>Y</v>
      </c>
    </row>
    <row r="1366" spans="1:11" x14ac:dyDescent="0.2">
      <c r="A1366">
        <f>INDEX(CoreProteinGroups!A:A,MATCH(B1366,CoreProteinGroups!B:B,0))</f>
        <v>24</v>
      </c>
      <c r="B1366" s="1" t="s">
        <v>2322</v>
      </c>
      <c r="C1366" t="str">
        <f>VLOOKUP(B1366,CoreProteinGroups!$B:$C,2,FALSE)</f>
        <v>RPO147</v>
      </c>
      <c r="D1366" t="s">
        <v>2372</v>
      </c>
      <c r="E1366" s="6" t="str">
        <f t="shared" si="21"/>
        <v>PROT:AFH54645.1</v>
      </c>
      <c r="F1366" t="s">
        <v>2373</v>
      </c>
      <c r="G1366" t="s">
        <v>87</v>
      </c>
      <c r="H1366" t="s">
        <v>2619</v>
      </c>
      <c r="I1366" t="str">
        <f>INDEX(Genomes!$I:$I,(MATCH(AllProteins!H1366,Genomes!$B:$B,0)))</f>
        <v>JQ410350-ectromelia_virus_strain_ERPV</v>
      </c>
      <c r="J1366">
        <f>INDEX(Genomes!$A:$A,(MATCH(AllProteins!H1366,Genomes!$B:$B,0)))</f>
        <v>17</v>
      </c>
      <c r="K1366" t="str">
        <f>INDEX(Genomes!$J:$J,(MATCH(AllProteins!H1366,Genomes!$B:$B,0)))</f>
        <v>N</v>
      </c>
    </row>
    <row r="1367" spans="1:11" x14ac:dyDescent="0.2">
      <c r="A1367">
        <f>INDEX(CoreProteinGroups!A:A,MATCH(B1367,CoreProteinGroups!B:B,0))</f>
        <v>24</v>
      </c>
      <c r="B1367" s="1" t="s">
        <v>2322</v>
      </c>
      <c r="C1367" t="str">
        <f>VLOOKUP(B1367,CoreProteinGroups!$B:$C,2,FALSE)</f>
        <v>RPO147</v>
      </c>
      <c r="D1367" t="s">
        <v>2374</v>
      </c>
      <c r="E1367" s="6" t="str">
        <f t="shared" si="21"/>
        <v>PROT:AAL40548.1</v>
      </c>
      <c r="F1367" t="s">
        <v>2375</v>
      </c>
      <c r="G1367" t="s">
        <v>90</v>
      </c>
      <c r="H1367" t="s">
        <v>2673</v>
      </c>
      <c r="I1367" t="str">
        <f>INDEX(Genomes!$I:$I,(MATCH(AllProteins!H1367,Genomes!$B:$B,0)))</f>
        <v>AF380138-monkeypox_virus_(clade_I)</v>
      </c>
      <c r="J1367">
        <f>INDEX(Genomes!$A:$A,(MATCH(AllProteins!H1367,Genomes!$B:$B,0)))</f>
        <v>29</v>
      </c>
      <c r="K1367" t="str">
        <f>INDEX(Genomes!$J:$J,(MATCH(AllProteins!H1367,Genomes!$B:$B,0)))</f>
        <v>Y</v>
      </c>
    </row>
    <row r="1368" spans="1:11" x14ac:dyDescent="0.2">
      <c r="A1368">
        <f>INDEX(CoreProteinGroups!A:A,MATCH(B1368,CoreProteinGroups!B:B,0))</f>
        <v>24</v>
      </c>
      <c r="B1368" s="1" t="s">
        <v>2322</v>
      </c>
      <c r="C1368" t="str">
        <f>VLOOKUP(B1368,CoreProteinGroups!$B:$C,2,FALSE)</f>
        <v>RPO147</v>
      </c>
      <c r="D1368" t="s">
        <v>2376</v>
      </c>
      <c r="E1368" s="6" t="str">
        <f t="shared" si="21"/>
        <v>PROT:AAX09185.1</v>
      </c>
      <c r="F1368" t="s">
        <v>2377</v>
      </c>
      <c r="G1368" t="s">
        <v>93</v>
      </c>
      <c r="H1368" t="s">
        <v>2672</v>
      </c>
      <c r="I1368" t="str">
        <f>INDEX(Genomes!$I:$I,(MATCH(AllProteins!H1368,Genomes!$B:$B,0)))</f>
        <v>AY753185-monkeypox_virus_(clade_IIa)</v>
      </c>
      <c r="J1368">
        <f>INDEX(Genomes!$A:$A,(MATCH(AllProteins!H1368,Genomes!$B:$B,0)))</f>
        <v>28</v>
      </c>
      <c r="K1368" t="str">
        <f>INDEX(Genomes!$J:$J,(MATCH(AllProteins!H1368,Genomes!$B:$B,0)))</f>
        <v>Y</v>
      </c>
    </row>
    <row r="1369" spans="1:11" x14ac:dyDescent="0.2">
      <c r="A1369">
        <f>INDEX(CoreProteinGroups!A:A,MATCH(B1369,CoreProteinGroups!B:B,0))</f>
        <v>24</v>
      </c>
      <c r="B1369" s="1" t="s">
        <v>2322</v>
      </c>
      <c r="C1369" t="str">
        <f>VLOOKUP(B1369,CoreProteinGroups!$B:$C,2,FALSE)</f>
        <v>RPO147</v>
      </c>
      <c r="D1369" t="s">
        <v>2378</v>
      </c>
      <c r="E1369" s="6" t="str">
        <f t="shared" si="21"/>
        <v>PROT:AKJ93727.1</v>
      </c>
      <c r="F1369" t="s">
        <v>2379</v>
      </c>
      <c r="G1369" t="s">
        <v>95</v>
      </c>
      <c r="H1369" t="s">
        <v>2683</v>
      </c>
      <c r="I1369" t="str">
        <f>INDEX(Genomes!$I:$I,(MATCH(AllProteins!H1369,Genomes!$B:$B,0)))</f>
        <v>KP143769-raccoonpox_virus</v>
      </c>
      <c r="J1369">
        <f>INDEX(Genomes!$A:$A,(MATCH(AllProteins!H1369,Genomes!$B:$B,0)))</f>
        <v>41</v>
      </c>
      <c r="K1369" t="str">
        <f>INDEX(Genomes!$J:$J,(MATCH(AllProteins!H1369,Genomes!$B:$B,0)))</f>
        <v>Y</v>
      </c>
    </row>
    <row r="1370" spans="1:11" x14ac:dyDescent="0.2">
      <c r="A1370">
        <f>INDEX(CoreProteinGroups!A:A,MATCH(B1370,CoreProteinGroups!B:B,0))</f>
        <v>24</v>
      </c>
      <c r="B1370" s="1" t="s">
        <v>2322</v>
      </c>
      <c r="C1370" t="str">
        <f>VLOOKUP(B1370,CoreProteinGroups!$B:$C,2,FALSE)</f>
        <v>RPO147</v>
      </c>
      <c r="D1370" t="s">
        <v>2380</v>
      </c>
      <c r="E1370" s="6" t="str">
        <f t="shared" si="21"/>
        <v>PROT:AOP31576.1</v>
      </c>
      <c r="F1370" t="s">
        <v>454</v>
      </c>
      <c r="G1370" t="s">
        <v>97</v>
      </c>
      <c r="H1370" t="s">
        <v>2686</v>
      </c>
      <c r="I1370" t="str">
        <f>INDEX(Genomes!$I:$I,(MATCH(AllProteins!H1370,Genomes!$B:$B,0)))</f>
        <v>KU749310-skunkpox_virus</v>
      </c>
      <c r="J1370">
        <f>INDEX(Genomes!$A:$A,(MATCH(AllProteins!H1370,Genomes!$B:$B,0)))</f>
        <v>45</v>
      </c>
      <c r="K1370" t="str">
        <f>INDEX(Genomes!$J:$J,(MATCH(AllProteins!H1370,Genomes!$B:$B,0)))</f>
        <v>Y</v>
      </c>
    </row>
    <row r="1371" spans="1:11" x14ac:dyDescent="0.2">
      <c r="A1371">
        <f>INDEX(CoreProteinGroups!A:A,MATCH(B1371,CoreProteinGroups!B:B,0))</f>
        <v>24</v>
      </c>
      <c r="B1371" s="1" t="s">
        <v>2322</v>
      </c>
      <c r="C1371" t="str">
        <f>VLOOKUP(B1371,CoreProteinGroups!$B:$C,2,FALSE)</f>
        <v>RPO147</v>
      </c>
      <c r="D1371" t="s">
        <v>2381</v>
      </c>
      <c r="E1371" s="6" t="str">
        <f t="shared" si="21"/>
        <v>PROT:ABD97666.1</v>
      </c>
      <c r="F1371" t="s">
        <v>2334</v>
      </c>
      <c r="G1371" t="s">
        <v>99</v>
      </c>
      <c r="H1371" t="s">
        <v>2691</v>
      </c>
      <c r="I1371" t="str">
        <f>INDEX(Genomes!$I:$I,(MATCH(AllProteins!H1371,Genomes!$B:$B,0)))</f>
        <v>DQ437594-taterapox_virus</v>
      </c>
      <c r="J1371">
        <f>INDEX(Genomes!$A:$A,(MATCH(AllProteins!H1371,Genomes!$B:$B,0)))</f>
        <v>50</v>
      </c>
      <c r="K1371" t="str">
        <f>INDEX(Genomes!$J:$J,(MATCH(AllProteins!H1371,Genomes!$B:$B,0)))</f>
        <v>Y</v>
      </c>
    </row>
    <row r="1372" spans="1:11" x14ac:dyDescent="0.2">
      <c r="A1372">
        <f>INDEX(CoreProteinGroups!A:A,MATCH(B1372,CoreProteinGroups!B:B,0))</f>
        <v>24</v>
      </c>
      <c r="B1372" s="1" t="s">
        <v>2322</v>
      </c>
      <c r="C1372" t="str">
        <f>VLOOKUP(B1372,CoreProteinGroups!$B:$C,2,FALSE)</f>
        <v>RPO147</v>
      </c>
      <c r="D1372" t="s">
        <v>2382</v>
      </c>
      <c r="E1372" s="6" t="str">
        <f t="shared" si="21"/>
        <v>PROT:AAO89377.1</v>
      </c>
      <c r="F1372" t="s">
        <v>2334</v>
      </c>
      <c r="G1372" t="s">
        <v>101</v>
      </c>
      <c r="H1372" t="s">
        <v>2693</v>
      </c>
      <c r="I1372" t="str">
        <f>INDEX(Genomes!$I:$I,(MATCH(AllProteins!H1372,Genomes!$B:$B,0)))</f>
        <v>AY243312-vaccinia_virus</v>
      </c>
      <c r="J1372">
        <f>INDEX(Genomes!$A:$A,(MATCH(AllProteins!H1372,Genomes!$B:$B,0)))</f>
        <v>52</v>
      </c>
      <c r="K1372" t="str">
        <f>INDEX(Genomes!$J:$J,(MATCH(AllProteins!H1372,Genomes!$B:$B,0)))</f>
        <v>Y</v>
      </c>
    </row>
    <row r="1373" spans="1:11" x14ac:dyDescent="0.2">
      <c r="A1373">
        <f>INDEX(CoreProteinGroups!A:A,MATCH(B1373,CoreProteinGroups!B:B,0))</f>
        <v>24</v>
      </c>
      <c r="B1373" s="1" t="s">
        <v>2322</v>
      </c>
      <c r="C1373" t="str">
        <f>VLOOKUP(B1373,CoreProteinGroups!$B:$C,2,FALSE)</f>
        <v>RPO147</v>
      </c>
      <c r="D1373" t="s">
        <v>2383</v>
      </c>
      <c r="E1373" s="6" t="str">
        <f t="shared" si="21"/>
        <v>PROT:CAA49024.1</v>
      </c>
      <c r="F1373" t="s">
        <v>2375</v>
      </c>
      <c r="G1373" t="s">
        <v>2585</v>
      </c>
      <c r="H1373" t="s">
        <v>2694</v>
      </c>
      <c r="I1373" t="str">
        <f>INDEX(Genomes!$I:$I,(MATCH(AllProteins!H1373,Genomes!$B:$B,0)))</f>
        <v>X69198-variola_major_virus</v>
      </c>
      <c r="J1373">
        <f>INDEX(Genomes!$A:$A,(MATCH(AllProteins!H1373,Genomes!$B:$B,0)))</f>
        <v>53</v>
      </c>
      <c r="K1373" t="str">
        <f>INDEX(Genomes!$J:$J,(MATCH(AllProteins!H1373,Genomes!$B:$B,0)))</f>
        <v>Y</v>
      </c>
    </row>
    <row r="1374" spans="1:11" x14ac:dyDescent="0.2">
      <c r="A1374">
        <f>INDEX(CoreProteinGroups!A:A,MATCH(B1374,CoreProteinGroups!B:B,0))</f>
        <v>24</v>
      </c>
      <c r="B1374" s="1" t="s">
        <v>2322</v>
      </c>
      <c r="C1374" t="str">
        <f>VLOOKUP(B1374,CoreProteinGroups!$B:$C,2,FALSE)</f>
        <v>RPO147</v>
      </c>
      <c r="D1374" t="s">
        <v>2384</v>
      </c>
      <c r="E1374" s="6" t="str">
        <f t="shared" si="21"/>
        <v>PROT:CAB54683.1</v>
      </c>
      <c r="F1374" t="s">
        <v>2385</v>
      </c>
      <c r="G1374" t="s">
        <v>106</v>
      </c>
      <c r="H1374" t="s">
        <v>2695</v>
      </c>
      <c r="I1374" t="str">
        <f>INDEX(Genomes!$I:$I,(MATCH(AllProteins!H1374,Genomes!$B:$B,0)))</f>
        <v>Y16780-variola_minor_virus</v>
      </c>
      <c r="J1374">
        <f>INDEX(Genomes!$A:$A,(MATCH(AllProteins!H1374,Genomes!$B:$B,0)))</f>
        <v>54</v>
      </c>
      <c r="K1374" t="str">
        <f>INDEX(Genomes!$J:$J,(MATCH(AllProteins!H1374,Genomes!$B:$B,0)))</f>
        <v>Y</v>
      </c>
    </row>
    <row r="1375" spans="1:11" x14ac:dyDescent="0.2">
      <c r="A1375">
        <f>INDEX(CoreProteinGroups!A:A,MATCH(B1375,CoreProteinGroups!B:B,0))</f>
        <v>24</v>
      </c>
      <c r="B1375" s="1" t="s">
        <v>2322</v>
      </c>
      <c r="C1375" t="str">
        <f>VLOOKUP(B1375,CoreProteinGroups!$B:$C,2,FALSE)</f>
        <v>RPO147</v>
      </c>
      <c r="D1375" t="s">
        <v>2386</v>
      </c>
      <c r="E1375" s="6" t="str">
        <f t="shared" si="21"/>
        <v>PROT:AOP31787.1</v>
      </c>
      <c r="F1375" t="s">
        <v>454</v>
      </c>
      <c r="G1375" t="s">
        <v>108</v>
      </c>
      <c r="H1375" t="s">
        <v>2696</v>
      </c>
      <c r="I1375" t="str">
        <f>INDEX(Genomes!$I:$I,(MATCH(AllProteins!H1375,Genomes!$B:$B,0)))</f>
        <v>KU749311-volepox_virus</v>
      </c>
      <c r="J1375">
        <f>INDEX(Genomes!$A:$A,(MATCH(AllProteins!H1375,Genomes!$B:$B,0)))</f>
        <v>55</v>
      </c>
      <c r="K1375" t="str">
        <f>INDEX(Genomes!$J:$J,(MATCH(AllProteins!H1375,Genomes!$B:$B,0)))</f>
        <v>Y</v>
      </c>
    </row>
    <row r="1376" spans="1:11" x14ac:dyDescent="0.2">
      <c r="A1376">
        <f>INDEX(CoreProteinGroups!A:A,MATCH(B1376,CoreProteinGroups!B:B,0))</f>
        <v>24</v>
      </c>
      <c r="B1376" s="1" t="s">
        <v>2322</v>
      </c>
      <c r="C1376" t="str">
        <f>VLOOKUP(B1376,CoreProteinGroups!$B:$C,2,FALSE)</f>
        <v>RPO147</v>
      </c>
      <c r="D1376" t="s">
        <v>2387</v>
      </c>
      <c r="E1376" s="6" t="str">
        <f t="shared" si="21"/>
        <v>PROT:ASC55584.1</v>
      </c>
      <c r="F1376" t="s">
        <v>2388</v>
      </c>
      <c r="G1376" t="s">
        <v>111</v>
      </c>
      <c r="H1376" t="s">
        <v>2667</v>
      </c>
      <c r="I1376" t="str">
        <f>INDEX(Genomes!$I:$I,(MATCH(AllProteins!H1376,Genomes!$B:$B,0)))</f>
        <v>KY382358-seal_parapoxvirus</v>
      </c>
      <c r="J1376">
        <f>INDEX(Genomes!$A:$A,(MATCH(AllProteins!H1376,Genomes!$B:$B,0)))</f>
        <v>22</v>
      </c>
      <c r="K1376" t="str">
        <f>INDEX(Genomes!$J:$J,(MATCH(AllProteins!H1376,Genomes!$B:$B,0)))</f>
        <v>Y</v>
      </c>
    </row>
    <row r="1377" spans="1:11" x14ac:dyDescent="0.2">
      <c r="A1377">
        <f>INDEX(CoreProteinGroups!A:A,MATCH(B1377,CoreProteinGroups!B:B,0))</f>
        <v>24</v>
      </c>
      <c r="B1377" s="1" t="s">
        <v>2322</v>
      </c>
      <c r="C1377" t="str">
        <f>VLOOKUP(B1377,CoreProteinGroups!$B:$C,2,FALSE)</f>
        <v>RPO147</v>
      </c>
      <c r="D1377" t="s">
        <v>2389</v>
      </c>
      <c r="E1377" s="6" t="str">
        <f t="shared" si="21"/>
        <v>PROT:AAR98413.1</v>
      </c>
      <c r="F1377" t="s">
        <v>2390</v>
      </c>
      <c r="G1377" t="s">
        <v>114</v>
      </c>
      <c r="H1377" t="s">
        <v>2652</v>
      </c>
      <c r="I1377" t="str">
        <f>INDEX(Genomes!$I:$I,(MATCH(AllProteins!H1377,Genomes!$B:$B,0)))</f>
        <v>AY386265-bovine_papular_stomatitis_virus</v>
      </c>
      <c r="J1377">
        <f>INDEX(Genomes!$A:$A,(MATCH(AllProteins!H1377,Genomes!$B:$B,0)))</f>
        <v>6</v>
      </c>
      <c r="K1377" t="str">
        <f>INDEX(Genomes!$J:$J,(MATCH(AllProteins!H1377,Genomes!$B:$B,0)))</f>
        <v>Y</v>
      </c>
    </row>
    <row r="1378" spans="1:11" x14ac:dyDescent="0.2">
      <c r="A1378">
        <f>INDEX(CoreProteinGroups!A:A,MATCH(B1378,CoreProteinGroups!B:B,0))</f>
        <v>24</v>
      </c>
      <c r="B1378" s="1" t="s">
        <v>2322</v>
      </c>
      <c r="C1378" t="str">
        <f>VLOOKUP(B1378,CoreProteinGroups!$B:$C,2,FALSE)</f>
        <v>RPO147</v>
      </c>
      <c r="D1378" t="s">
        <v>2391</v>
      </c>
      <c r="E1378" s="6" t="str">
        <f t="shared" si="21"/>
        <v>PROT:AAR98281.1</v>
      </c>
      <c r="F1378" t="s">
        <v>2390</v>
      </c>
      <c r="G1378" t="s">
        <v>2702</v>
      </c>
      <c r="H1378" t="s">
        <v>2678</v>
      </c>
      <c r="I1378" t="str">
        <f>INDEX(Genomes!$I:$I,(MATCH(AllProteins!H1378,Genomes!$B:$B,0)))</f>
        <v>AY386264-orf_virus</v>
      </c>
      <c r="J1378">
        <f>INDEX(Genomes!$A:$A,(MATCH(AllProteins!H1378,Genomes!$B:$B,0)))</f>
        <v>35</v>
      </c>
      <c r="K1378" t="str">
        <f>INDEX(Genomes!$J:$J,(MATCH(AllProteins!H1378,Genomes!$B:$B,0)))</f>
        <v>Y</v>
      </c>
    </row>
    <row r="1379" spans="1:11" x14ac:dyDescent="0.2">
      <c r="A1379">
        <f>INDEX(CoreProteinGroups!A:A,MATCH(B1379,CoreProteinGroups!B:B,0))</f>
        <v>24</v>
      </c>
      <c r="B1379" s="1" t="s">
        <v>2322</v>
      </c>
      <c r="C1379" t="str">
        <f>VLOOKUP(B1379,CoreProteinGroups!$B:$C,2,FALSE)</f>
        <v>RPO147</v>
      </c>
      <c r="D1379" t="s">
        <v>2392</v>
      </c>
      <c r="E1379" s="6" t="str">
        <f t="shared" si="21"/>
        <v>PROT:ABA00573.1</v>
      </c>
      <c r="F1379" t="s">
        <v>2340</v>
      </c>
      <c r="G1379" t="s">
        <v>2555</v>
      </c>
      <c r="H1379" t="s">
        <v>2645</v>
      </c>
      <c r="I1379" t="str">
        <f>INDEX(Genomes!$I:$I,(MATCH(AllProteins!H1379,Genomes!$B:$B,0)))</f>
        <v>DQ184476-orf_virus_strain_NZ2</v>
      </c>
      <c r="J1379">
        <f>INDEX(Genomes!$A:$A,(MATCH(AllProteins!H1379,Genomes!$B:$B,0)))</f>
        <v>36</v>
      </c>
      <c r="K1379" t="str">
        <f>INDEX(Genomes!$J:$J,(MATCH(AllProteins!H1379,Genomes!$B:$B,0)))</f>
        <v>N</v>
      </c>
    </row>
    <row r="1380" spans="1:11" x14ac:dyDescent="0.2">
      <c r="A1380">
        <f>INDEX(CoreProteinGroups!A:A,MATCH(B1380,CoreProteinGroups!B:B,0))</f>
        <v>24</v>
      </c>
      <c r="B1380" s="1" t="s">
        <v>2322</v>
      </c>
      <c r="C1380" t="str">
        <f>VLOOKUP(B1380,CoreProteinGroups!$B:$C,2,FALSE)</f>
        <v>RPO147</v>
      </c>
      <c r="D1380" t="s">
        <v>2393</v>
      </c>
      <c r="E1380" s="6" t="str">
        <f t="shared" si="21"/>
        <v>PROT:AIZ77307.1</v>
      </c>
      <c r="F1380" t="s">
        <v>2394</v>
      </c>
      <c r="G1380" t="s">
        <v>119</v>
      </c>
      <c r="H1380" t="s">
        <v>2684</v>
      </c>
      <c r="I1380" t="str">
        <f>INDEX(Genomes!$I:$I,(MATCH(AllProteins!H1380,Genomes!$B:$B,0)))</f>
        <v>KM502564-parapoxvirus_red_deer</v>
      </c>
      <c r="J1380">
        <f>INDEX(Genomes!$A:$A,(MATCH(AllProteins!H1380,Genomes!$B:$B,0)))</f>
        <v>42</v>
      </c>
      <c r="K1380" t="str">
        <f>INDEX(Genomes!$J:$J,(MATCH(AllProteins!H1380,Genomes!$B:$B,0)))</f>
        <v>Y</v>
      </c>
    </row>
    <row r="1381" spans="1:11" x14ac:dyDescent="0.2">
      <c r="A1381">
        <f>INDEX(CoreProteinGroups!A:A,MATCH(B1381,CoreProteinGroups!B:B,0))</f>
        <v>24</v>
      </c>
      <c r="B1381" s="1" t="s">
        <v>2322</v>
      </c>
      <c r="C1381" t="str">
        <f>VLOOKUP(B1381,CoreProteinGroups!$B:$C,2,FALSE)</f>
        <v>RPO147</v>
      </c>
      <c r="D1381" t="s">
        <v>2395</v>
      </c>
      <c r="E1381" s="6" t="str">
        <f t="shared" si="21"/>
        <v>PROT:ADC53957.1</v>
      </c>
      <c r="F1381" t="s">
        <v>2396</v>
      </c>
      <c r="G1381" t="s">
        <v>121</v>
      </c>
      <c r="H1381" t="s">
        <v>2679</v>
      </c>
      <c r="I1381" t="str">
        <f>INDEX(Genomes!$I:$I,(MATCH(AllProteins!H1381,Genomes!$B:$B,0)))</f>
        <v>GQ329670-pseudocowpox_virus</v>
      </c>
      <c r="J1381">
        <f>INDEX(Genomes!$A:$A,(MATCH(AllProteins!H1381,Genomes!$B:$B,0)))</f>
        <v>37</v>
      </c>
      <c r="K1381" t="str">
        <f>INDEX(Genomes!$J:$J,(MATCH(AllProteins!H1381,Genomes!$B:$B,0)))</f>
        <v>Y</v>
      </c>
    </row>
    <row r="1382" spans="1:11" x14ac:dyDescent="0.2">
      <c r="A1382">
        <f>INDEX(CoreProteinGroups!A:A,MATCH(B1382,CoreProteinGroups!B:B,0))</f>
        <v>24</v>
      </c>
      <c r="B1382" s="1" t="s">
        <v>2322</v>
      </c>
      <c r="C1382" t="str">
        <f>VLOOKUP(B1382,CoreProteinGroups!$B:$C,2,FALSE)</f>
        <v>RPO147</v>
      </c>
      <c r="D1382" t="s">
        <v>2397</v>
      </c>
      <c r="E1382" s="6" t="str">
        <f t="shared" si="21"/>
        <v>PROT:AAL69807.1</v>
      </c>
      <c r="F1382" t="s">
        <v>2398</v>
      </c>
      <c r="G1382" t="s">
        <v>124</v>
      </c>
      <c r="H1382" t="s">
        <v>2690</v>
      </c>
      <c r="I1382" t="str">
        <f>INDEX(Genomes!$I:$I,(MATCH(AllProteins!H1382,Genomes!$B:$B,0)))</f>
        <v>AF410153-swinepox_virus</v>
      </c>
      <c r="J1382">
        <f>INDEX(Genomes!$A:$A,(MATCH(AllProteins!H1382,Genomes!$B:$B,0)))</f>
        <v>49</v>
      </c>
      <c r="K1382" t="str">
        <f>INDEX(Genomes!$J:$J,(MATCH(AllProteins!H1382,Genomes!$B:$B,0)))</f>
        <v>Y</v>
      </c>
    </row>
    <row r="1383" spans="1:11" x14ac:dyDescent="0.2">
      <c r="A1383">
        <f>INDEX(CoreProteinGroups!A:A,MATCH(B1383,CoreProteinGroups!B:B,0))</f>
        <v>24</v>
      </c>
      <c r="B1383" s="1" t="s">
        <v>2322</v>
      </c>
      <c r="C1383" t="str">
        <f>VLOOKUP(B1383,CoreProteinGroups!$B:$C,2,FALSE)</f>
        <v>RPO147</v>
      </c>
      <c r="D1383" t="s">
        <v>2399</v>
      </c>
      <c r="E1383" s="6" t="str">
        <f t="shared" si="21"/>
        <v>PROT:CAC21309.1</v>
      </c>
      <c r="F1383" t="s">
        <v>2400</v>
      </c>
      <c r="G1383" t="s">
        <v>127</v>
      </c>
      <c r="H1383" t="s">
        <v>2699</v>
      </c>
      <c r="I1383" t="str">
        <f>INDEX(Genomes!$I:$I,(MATCH(AllProteins!H1383,Genomes!$B:$B,0)))</f>
        <v>AJ293568-tanapox_virus</v>
      </c>
      <c r="J1383">
        <f>INDEX(Genomes!$A:$A,(MATCH(AllProteins!H1383,Genomes!$B:$B,0)))</f>
        <v>58</v>
      </c>
      <c r="K1383" t="str">
        <f>INDEX(Genomes!$J:$J,(MATCH(AllProteins!H1383,Genomes!$B:$B,0)))</f>
        <v>Y</v>
      </c>
    </row>
    <row r="1384" spans="1:11" x14ac:dyDescent="0.2">
      <c r="A1384">
        <f>INDEX(CoreProteinGroups!A:A,MATCH(B1384,CoreProteinGroups!B:B,0))</f>
        <v>24</v>
      </c>
      <c r="B1384" s="1" t="s">
        <v>2322</v>
      </c>
      <c r="C1384" t="str">
        <f>VLOOKUP(B1384,CoreProteinGroups!$B:$C,2,FALSE)</f>
        <v>RPO147</v>
      </c>
      <c r="D1384" t="s">
        <v>2401</v>
      </c>
      <c r="E1384" s="6" t="str">
        <f t="shared" si="21"/>
        <v>PROT:AAR07427.1</v>
      </c>
      <c r="F1384" t="s">
        <v>2402</v>
      </c>
      <c r="G1384" t="s">
        <v>130</v>
      </c>
      <c r="H1384" t="s">
        <v>2700</v>
      </c>
      <c r="I1384" t="str">
        <f>INDEX(Genomes!$I:$I,(MATCH(AllProteins!H1384,Genomes!$B:$B,0)))</f>
        <v>AY386371-Yaba_monkey_tumor_virus</v>
      </c>
      <c r="J1384">
        <f>INDEX(Genomes!$A:$A,(MATCH(AllProteins!H1384,Genomes!$B:$B,0)))</f>
        <v>59</v>
      </c>
      <c r="K1384" t="str">
        <f>INDEX(Genomes!$J:$J,(MATCH(AllProteins!H1384,Genomes!$B:$B,0)))</f>
        <v>Y</v>
      </c>
    </row>
    <row r="1385" spans="1:11" x14ac:dyDescent="0.2">
      <c r="A1385">
        <f>INDEX(CoreProteinGroups!A:A,MATCH(B1385,CoreProteinGroups!B:B,0))</f>
        <v>24</v>
      </c>
      <c r="B1385" s="1" t="s">
        <v>2322</v>
      </c>
      <c r="C1385" t="str">
        <f>VLOOKUP(B1385,CoreProteinGroups!$B:$C,2,FALSE)</f>
        <v>RPO147</v>
      </c>
      <c r="D1385" t="s">
        <v>2403</v>
      </c>
      <c r="E1385" s="6" t="str">
        <f t="shared" si="21"/>
        <v>PROT:AAC97832.1</v>
      </c>
      <c r="F1385" t="s">
        <v>2404</v>
      </c>
      <c r="G1385" t="s">
        <v>133</v>
      </c>
      <c r="H1385" t="s">
        <v>2674</v>
      </c>
      <c r="I1385" t="str">
        <f>INDEX(Genomes!$I:$I,(MATCH(AllProteins!H1385,Genomes!$B:$B,0)))</f>
        <v>AF063866-Melanoplus_sanguinipes_entomopoxvirus</v>
      </c>
      <c r="J1385">
        <f>INDEX(Genomes!$A:$A,(MATCH(AllProteins!H1385,Genomes!$B:$B,0)))</f>
        <v>30</v>
      </c>
      <c r="K1385" t="str">
        <f>INDEX(Genomes!$J:$J,(MATCH(AllProteins!H1385,Genomes!$B:$B,0)))</f>
        <v>Y</v>
      </c>
    </row>
    <row r="1386" spans="1:11" x14ac:dyDescent="0.2">
      <c r="A1386">
        <f>INDEX(CoreProteinGroups!A:A,MATCH(B1386,CoreProteinGroups!B:B,0))</f>
        <v>24</v>
      </c>
      <c r="B1386" s="1" t="s">
        <v>2322</v>
      </c>
      <c r="C1386" t="str">
        <f>VLOOKUP(B1386,CoreProteinGroups!$B:$C,2,FALSE)</f>
        <v>RPO147</v>
      </c>
      <c r="D1386" t="s">
        <v>2405</v>
      </c>
      <c r="E1386" s="6" t="str">
        <f t="shared" si="21"/>
        <v>PROT:BAO49590.1</v>
      </c>
      <c r="F1386" t="s">
        <v>2406</v>
      </c>
      <c r="G1386" t="s">
        <v>136</v>
      </c>
      <c r="H1386" t="s">
        <v>2648</v>
      </c>
      <c r="I1386" t="str">
        <f>INDEX(Genomes!$I:$I,(MATCH(AllProteins!H1386,Genomes!$B:$B,0)))</f>
        <v>AP013055-Anomala_cuprea_entomopoxvirus</v>
      </c>
      <c r="J1386">
        <f>INDEX(Genomes!$A:$A,(MATCH(AllProteins!H1386,Genomes!$B:$B,0)))</f>
        <v>2</v>
      </c>
      <c r="K1386" t="str">
        <f>INDEX(Genomes!$J:$J,(MATCH(AllProteins!H1386,Genomes!$B:$B,0)))</f>
        <v>Y</v>
      </c>
    </row>
    <row r="1387" spans="1:11" x14ac:dyDescent="0.2">
      <c r="A1387">
        <f>INDEX(CoreProteinGroups!A:A,MATCH(B1387,CoreProteinGroups!B:B,0))</f>
        <v>24</v>
      </c>
      <c r="B1387" s="1" t="s">
        <v>2322</v>
      </c>
      <c r="C1387" t="str">
        <f>VLOOKUP(B1387,CoreProteinGroups!$B:$C,2,FALSE)</f>
        <v>RPO147</v>
      </c>
      <c r="D1387" t="s">
        <v>2407</v>
      </c>
      <c r="E1387" s="6" t="str">
        <f t="shared" si="21"/>
        <v>PROT:CCU55520.1</v>
      </c>
      <c r="F1387" t="s">
        <v>2408</v>
      </c>
      <c r="G1387" t="s">
        <v>138</v>
      </c>
      <c r="H1387" t="s">
        <v>2649</v>
      </c>
      <c r="I1387" t="str">
        <f>INDEX(Genomes!$I:$I,(MATCH(AllProteins!H1387,Genomes!$B:$B,0)))</f>
        <v>HF679131-Adoxophyes_honmai_entomopoxvirus</v>
      </c>
      <c r="J1387">
        <f>INDEX(Genomes!$A:$A,(MATCH(AllProteins!H1387,Genomes!$B:$B,0)))</f>
        <v>3</v>
      </c>
      <c r="K1387" t="str">
        <f>INDEX(Genomes!$J:$J,(MATCH(AllProteins!H1387,Genomes!$B:$B,0)))</f>
        <v>Y</v>
      </c>
    </row>
    <row r="1388" spans="1:11" x14ac:dyDescent="0.2">
      <c r="A1388">
        <f>INDEX(CoreProteinGroups!A:A,MATCH(B1388,CoreProteinGroups!B:B,0))</f>
        <v>24</v>
      </c>
      <c r="B1388" s="1" t="s">
        <v>2322</v>
      </c>
      <c r="C1388" t="str">
        <f>VLOOKUP(B1388,CoreProteinGroups!$B:$C,2,FALSE)</f>
        <v>RPO147</v>
      </c>
      <c r="D1388" t="s">
        <v>2409</v>
      </c>
      <c r="E1388" s="6" t="str">
        <f t="shared" si="21"/>
        <v>PROT:AAG02927.1</v>
      </c>
      <c r="F1388" t="s">
        <v>2410</v>
      </c>
      <c r="G1388" t="s">
        <v>141</v>
      </c>
      <c r="H1388" t="s">
        <v>2651</v>
      </c>
      <c r="I1388" t="str">
        <f>INDEX(Genomes!$I:$I,(MATCH(AllProteins!H1388,Genomes!$B:$B,0)))</f>
        <v>AF250284-Amsacta_moorei_entomopoxvirus</v>
      </c>
      <c r="J1388">
        <f>INDEX(Genomes!$A:$A,(MATCH(AllProteins!H1388,Genomes!$B:$B,0)))</f>
        <v>5</v>
      </c>
      <c r="K1388" t="str">
        <f>INDEX(Genomes!$J:$J,(MATCH(AllProteins!H1388,Genomes!$B:$B,0)))</f>
        <v>Y</v>
      </c>
    </row>
    <row r="1389" spans="1:11" x14ac:dyDescent="0.2">
      <c r="A1389">
        <f>INDEX(CoreProteinGroups!A:A,MATCH(B1389,CoreProteinGroups!B:B,0))</f>
        <v>24</v>
      </c>
      <c r="B1389" s="1" t="s">
        <v>2322</v>
      </c>
      <c r="C1389" t="str">
        <f>VLOOKUP(B1389,CoreProteinGroups!$B:$C,2,FALSE)</f>
        <v>RPO147</v>
      </c>
      <c r="D1389" t="s">
        <v>2411</v>
      </c>
      <c r="E1389" s="6" t="str">
        <f t="shared" si="21"/>
        <v>PROT:CCU55824.1</v>
      </c>
      <c r="F1389" t="s">
        <v>2408</v>
      </c>
      <c r="G1389" t="s">
        <v>143</v>
      </c>
      <c r="H1389" t="s">
        <v>2656</v>
      </c>
      <c r="I1389" t="str">
        <f>INDEX(Genomes!$I:$I,(MATCH(AllProteins!H1389,Genomes!$B:$B,0)))</f>
        <v>HF679132-Choristoneura_biennis_entomopoxvirus</v>
      </c>
      <c r="J1389">
        <f>INDEX(Genomes!$A:$A,(MATCH(AllProteins!H1389,Genomes!$B:$B,0)))</f>
        <v>10</v>
      </c>
      <c r="K1389" t="str">
        <f>INDEX(Genomes!$J:$J,(MATCH(AllProteins!H1389,Genomes!$B:$B,0)))</f>
        <v>Y</v>
      </c>
    </row>
    <row r="1390" spans="1:11" x14ac:dyDescent="0.2">
      <c r="A1390">
        <f>INDEX(CoreProteinGroups!A:A,MATCH(B1390,CoreProteinGroups!B:B,0))</f>
        <v>24</v>
      </c>
      <c r="B1390" s="1" t="s">
        <v>2322</v>
      </c>
      <c r="C1390" t="str">
        <f>VLOOKUP(B1390,CoreProteinGroups!$B:$C,2,FALSE)</f>
        <v>RPO147</v>
      </c>
      <c r="D1390" t="s">
        <v>2412</v>
      </c>
      <c r="E1390" s="6" t="str">
        <f t="shared" si="21"/>
        <v>PROT:CCU56124.1</v>
      </c>
      <c r="F1390" t="s">
        <v>2408</v>
      </c>
      <c r="G1390" t="s">
        <v>145</v>
      </c>
      <c r="H1390" t="s">
        <v>2660</v>
      </c>
      <c r="I1390" t="str">
        <f>INDEX(Genomes!$I:$I,(MATCH(AllProteins!H1390,Genomes!$B:$B,0)))</f>
        <v>HF679133-Choristoneura_rosaceana_entomopoxvirus</v>
      </c>
      <c r="J1390">
        <f>INDEX(Genomes!$A:$A,(MATCH(AllProteins!H1390,Genomes!$B:$B,0)))</f>
        <v>14</v>
      </c>
      <c r="K1390" t="str">
        <f>INDEX(Genomes!$J:$J,(MATCH(AllProteins!H1390,Genomes!$B:$B,0)))</f>
        <v>Y</v>
      </c>
    </row>
    <row r="1391" spans="1:11" x14ac:dyDescent="0.2">
      <c r="A1391">
        <f>INDEX(CoreProteinGroups!A:A,MATCH(B1391,CoreProteinGroups!B:B,0))</f>
        <v>24</v>
      </c>
      <c r="B1391" s="1" t="s">
        <v>2322</v>
      </c>
      <c r="C1391" t="str">
        <f>VLOOKUP(B1391,CoreProteinGroups!$B:$C,2,FALSE)</f>
        <v>RPO147</v>
      </c>
      <c r="D1391" t="s">
        <v>2413</v>
      </c>
      <c r="E1391" s="6" t="str">
        <f t="shared" si="21"/>
        <v>PROT:CCU56442.1</v>
      </c>
      <c r="F1391" t="s">
        <v>2408</v>
      </c>
      <c r="G1391" t="s">
        <v>147</v>
      </c>
      <c r="H1391" t="s">
        <v>2675</v>
      </c>
      <c r="I1391" t="str">
        <f>INDEX(Genomes!$I:$I,(MATCH(AllProteins!H1391,Genomes!$B:$B,0)))</f>
        <v>HF679134-Mythimna_separata_entomopoxvirus</v>
      </c>
      <c r="J1391">
        <f>INDEX(Genomes!$A:$A,(MATCH(AllProteins!H1391,Genomes!$B:$B,0)))</f>
        <v>31</v>
      </c>
      <c r="K1391" t="str">
        <f>INDEX(Genomes!$J:$J,(MATCH(AllProteins!H1391,Genomes!$B:$B,0)))</f>
        <v>Y</v>
      </c>
    </row>
    <row r="1392" spans="1:11" x14ac:dyDescent="0.2">
      <c r="A1392">
        <f>INDEX(CoreProteinGroups!A:A,MATCH(B1392,CoreProteinGroups!B:B,0))</f>
        <v>24</v>
      </c>
      <c r="B1392" s="1" t="s">
        <v>2322</v>
      </c>
      <c r="C1392" t="str">
        <f>VLOOKUP(B1392,CoreProteinGroups!$B:$C,2,FALSE)</f>
        <v>RPO147</v>
      </c>
      <c r="D1392" t="s">
        <v>2414</v>
      </c>
      <c r="E1392" s="6" t="str">
        <f t="shared" si="21"/>
        <v>PROT:NP_659643.1</v>
      </c>
      <c r="F1392" t="s">
        <v>2340</v>
      </c>
      <c r="G1392" t="s">
        <v>150</v>
      </c>
      <c r="H1392" t="s">
        <v>2620</v>
      </c>
      <c r="I1392" t="str">
        <f>INDEX(Genomes!$I:$I,(MATCH(AllProteins!H1392,Genomes!$B:$B,0)))</f>
        <v>NC_004002-sheeppox_virus</v>
      </c>
      <c r="J1392">
        <f>INDEX(Genomes!$A:$A,(MATCH(AllProteins!H1392,Genomes!$B:$B,0)))</f>
        <v>44</v>
      </c>
      <c r="K1392" t="str">
        <f>INDEX(Genomes!$J:$J,(MATCH(AllProteins!H1392,Genomes!$B:$B,0)))</f>
        <v>Y</v>
      </c>
    </row>
    <row r="1393" spans="1:11" x14ac:dyDescent="0.2">
      <c r="A1393">
        <f>INDEX(CoreProteinGroups!A:A,MATCH(B1393,CoreProteinGroups!B:B,0))</f>
        <v>24</v>
      </c>
      <c r="B1393" s="1" t="s">
        <v>2322</v>
      </c>
      <c r="C1393" t="str">
        <f>VLOOKUP(B1393,CoreProteinGroups!$B:$C,2,FALSE)</f>
        <v>RPO147</v>
      </c>
      <c r="D1393" t="s">
        <v>2415</v>
      </c>
      <c r="E1393" s="6" t="str">
        <f t="shared" si="21"/>
        <v>PROT:YP_001293262.1</v>
      </c>
      <c r="F1393" t="s">
        <v>2416</v>
      </c>
      <c r="G1393" t="s">
        <v>153</v>
      </c>
      <c r="H1393" t="s">
        <v>2644</v>
      </c>
      <c r="I1393" t="str">
        <f>INDEX(Genomes!$I:$I,(MATCH(AllProteins!H1393,Genomes!$B:$B,0)))</f>
        <v>NC_004003-goatpox_virus</v>
      </c>
      <c r="J1393">
        <f>INDEX(Genomes!$A:$A,(MATCH(AllProteins!H1393,Genomes!$B:$B,0)))</f>
        <v>23</v>
      </c>
      <c r="K1393" t="str">
        <f>INDEX(Genomes!$J:$J,(MATCH(AllProteins!H1393,Genomes!$B:$B,0)))</f>
        <v>Y</v>
      </c>
    </row>
    <row r="1394" spans="1:11" x14ac:dyDescent="0.2">
      <c r="A1394">
        <f>INDEX(CoreProteinGroups!A:A,MATCH(B1394,CoreProteinGroups!B:B,0))</f>
        <v>25</v>
      </c>
      <c r="B1394" s="1" t="s">
        <v>2417</v>
      </c>
      <c r="C1394" t="str">
        <f>VLOOKUP(B1394,CoreProteinGroups!$B:$C,2,FALSE)</f>
        <v>IMV membrane protein</v>
      </c>
      <c r="D1394" t="s">
        <v>2418</v>
      </c>
      <c r="E1394" s="6" t="str">
        <f t="shared" si="21"/>
        <v>PROT:ATI21168.1</v>
      </c>
      <c r="F1394" t="s">
        <v>583</v>
      </c>
      <c r="G1394" t="s">
        <v>11</v>
      </c>
      <c r="H1394" t="s">
        <v>2663</v>
      </c>
      <c r="I1394" t="str">
        <f>INDEX(Genomes!$I:$I,(MATCH(AllProteins!H1394,Genomes!$B:$B,0)))</f>
        <v>MF467281-Eastern_grey_kangaroopox_virus</v>
      </c>
      <c r="J1394">
        <f>INDEX(Genomes!$A:$A,(MATCH(AllProteins!H1394,Genomes!$B:$B,0)))</f>
        <v>18</v>
      </c>
      <c r="K1394" t="str">
        <f>INDEX(Genomes!$J:$J,(MATCH(AllProteins!H1394,Genomes!$B:$B,0)))</f>
        <v>Y</v>
      </c>
    </row>
    <row r="1395" spans="1:11" x14ac:dyDescent="0.2">
      <c r="A1395">
        <f>INDEX(CoreProteinGroups!A:A,MATCH(B1395,CoreProteinGroups!B:B,0))</f>
        <v>25</v>
      </c>
      <c r="B1395" s="1" t="s">
        <v>2417</v>
      </c>
      <c r="C1395" t="str">
        <f>VLOOKUP(B1395,CoreProteinGroups!$B:$C,2,FALSE)</f>
        <v>IMV membrane protein</v>
      </c>
      <c r="D1395" t="s">
        <v>2419</v>
      </c>
      <c r="E1395" s="6" t="str">
        <f t="shared" si="21"/>
        <v>PROT:AWU47105.1</v>
      </c>
      <c r="F1395" t="s">
        <v>2420</v>
      </c>
      <c r="G1395" t="s">
        <v>13</v>
      </c>
      <c r="H1395" t="s">
        <v>2688</v>
      </c>
      <c r="I1395" t="str">
        <f>INDEX(Genomes!$I:$I,(MATCH(AllProteins!H1395,Genomes!$B:$B,0)))</f>
        <v>MH427217-sea_otter_poxvirus</v>
      </c>
      <c r="J1395">
        <f>INDEX(Genomes!$A:$A,(MATCH(AllProteins!H1395,Genomes!$B:$B,0)))</f>
        <v>47</v>
      </c>
      <c r="K1395" t="str">
        <f>INDEX(Genomes!$J:$J,(MATCH(AllProteins!H1395,Genomes!$B:$B,0)))</f>
        <v>Y</v>
      </c>
    </row>
    <row r="1396" spans="1:11" x14ac:dyDescent="0.2">
      <c r="A1396">
        <f>INDEX(CoreProteinGroups!A:A,MATCH(B1396,CoreProteinGroups!B:B,0))</f>
        <v>25</v>
      </c>
      <c r="B1396" s="1" t="s">
        <v>2417</v>
      </c>
      <c r="C1396" t="str">
        <f>VLOOKUP(B1396,CoreProteinGroups!$B:$C,2,FALSE)</f>
        <v>IMV membrane protein</v>
      </c>
      <c r="D1396" t="s">
        <v>2421</v>
      </c>
      <c r="E1396" s="6" t="str">
        <f t="shared" si="21"/>
        <v>PROT:APG58277.1</v>
      </c>
      <c r="F1396" t="s">
        <v>2422</v>
      </c>
      <c r="G1396" t="s">
        <v>16</v>
      </c>
      <c r="H1396" t="s">
        <v>2653</v>
      </c>
      <c r="I1396" t="str">
        <f>INDEX(Genomes!$I:$I,(MATCH(AllProteins!H1396,Genomes!$B:$B,0)))</f>
        <v>KY094066-BeAn_58058_virus</v>
      </c>
      <c r="J1396">
        <f>INDEX(Genomes!$A:$A,(MATCH(AllProteins!H1396,Genomes!$B:$B,0)))</f>
        <v>7</v>
      </c>
      <c r="K1396" t="str">
        <f>INDEX(Genomes!$J:$J,(MATCH(AllProteins!H1396,Genomes!$B:$B,0)))</f>
        <v>N</v>
      </c>
    </row>
    <row r="1397" spans="1:11" x14ac:dyDescent="0.2">
      <c r="A1397">
        <f>INDEX(CoreProteinGroups!A:A,MATCH(B1397,CoreProteinGroups!B:B,0))</f>
        <v>25</v>
      </c>
      <c r="B1397" s="1" t="s">
        <v>2417</v>
      </c>
      <c r="C1397" t="str">
        <f>VLOOKUP(B1397,CoreProteinGroups!$B:$C,2,FALSE)</f>
        <v>IMV membrane protein</v>
      </c>
      <c r="D1397" t="s">
        <v>2423</v>
      </c>
      <c r="E1397" s="6" t="str">
        <f t="shared" si="21"/>
        <v>PROT:ADT91092.1</v>
      </c>
      <c r="F1397" t="s">
        <v>2424</v>
      </c>
      <c r="G1397" t="s">
        <v>19</v>
      </c>
      <c r="H1397" t="s">
        <v>2658</v>
      </c>
      <c r="I1397" t="str">
        <f>INDEX(Genomes!$I:$I,(MATCH(AllProteins!H1397,Genomes!$B:$B,0)))</f>
        <v>HQ647181-Cotia_virus</v>
      </c>
      <c r="J1397">
        <f>INDEX(Genomes!$A:$A,(MATCH(AllProteins!H1397,Genomes!$B:$B,0)))</f>
        <v>12</v>
      </c>
      <c r="K1397" t="str">
        <f>INDEX(Genomes!$J:$J,(MATCH(AllProteins!H1397,Genomes!$B:$B,0)))</f>
        <v>Y</v>
      </c>
    </row>
    <row r="1398" spans="1:11" x14ac:dyDescent="0.2">
      <c r="A1398">
        <f>INDEX(CoreProteinGroups!A:A,MATCH(B1398,CoreProteinGroups!B:B,0))</f>
        <v>25</v>
      </c>
      <c r="B1398" s="1" t="s">
        <v>2417</v>
      </c>
      <c r="C1398" t="str">
        <f>VLOOKUP(B1398,CoreProteinGroups!$B:$C,2,FALSE)</f>
        <v>IMV membrane protein</v>
      </c>
      <c r="D1398" t="s">
        <v>2425</v>
      </c>
      <c r="E1398" s="6" t="str">
        <f t="shared" si="21"/>
        <v>PROT:ANS71149.1</v>
      </c>
      <c r="F1398" t="s">
        <v>2426</v>
      </c>
      <c r="G1398" t="s">
        <v>21</v>
      </c>
      <c r="H1398" t="s">
        <v>2682</v>
      </c>
      <c r="I1398" t="str">
        <f>INDEX(Genomes!$I:$I,(MATCH(AllProteins!H1398,Genomes!$B:$B,0)))</f>
        <v>KU980965-pteropox_virus</v>
      </c>
      <c r="J1398">
        <f>INDEX(Genomes!$A:$A,(MATCH(AllProteins!H1398,Genomes!$B:$B,0)))</f>
        <v>40</v>
      </c>
      <c r="K1398" t="str">
        <f>INDEX(Genomes!$J:$J,(MATCH(AllProteins!H1398,Genomes!$B:$B,0)))</f>
        <v>Y</v>
      </c>
    </row>
    <row r="1399" spans="1:11" x14ac:dyDescent="0.2">
      <c r="A1399">
        <f>INDEX(CoreProteinGroups!A:A,MATCH(B1399,CoreProteinGroups!B:B,0))</f>
        <v>25</v>
      </c>
      <c r="B1399" s="1" t="s">
        <v>2417</v>
      </c>
      <c r="C1399" t="str">
        <f>VLOOKUP(B1399,CoreProteinGroups!$B:$C,2,FALSE)</f>
        <v>IMV membrane protein</v>
      </c>
      <c r="D1399" t="s">
        <v>2427</v>
      </c>
      <c r="E1399" s="6" t="str">
        <f t="shared" si="21"/>
        <v>PROT:AKR04221.1</v>
      </c>
      <c r="F1399" t="s">
        <v>2428</v>
      </c>
      <c r="G1399" t="s">
        <v>24</v>
      </c>
      <c r="H1399" t="s">
        <v>2687</v>
      </c>
      <c r="I1399" t="str">
        <f>INDEX(Genomes!$I:$I,(MATCH(AllProteins!H1399,Genomes!$B:$B,0)))</f>
        <v>KT159937-salmon_gill_poxvirus</v>
      </c>
      <c r="J1399">
        <f>INDEX(Genomes!$A:$A,(MATCH(AllProteins!H1399,Genomes!$B:$B,0)))</f>
        <v>46</v>
      </c>
      <c r="K1399" t="str">
        <f>INDEX(Genomes!$J:$J,(MATCH(AllProteins!H1399,Genomes!$B:$B,0)))</f>
        <v>Y</v>
      </c>
    </row>
    <row r="1400" spans="1:11" x14ac:dyDescent="0.2">
      <c r="A1400">
        <f>INDEX(CoreProteinGroups!A:A,MATCH(B1400,CoreProteinGroups!B:B,0))</f>
        <v>25</v>
      </c>
      <c r="B1400" s="1" t="s">
        <v>2417</v>
      </c>
      <c r="C1400" t="str">
        <f>VLOOKUP(B1400,CoreProteinGroups!$B:$C,2,FALSE)</f>
        <v>IMV membrane protein</v>
      </c>
      <c r="D1400" t="s">
        <v>2429</v>
      </c>
      <c r="E1400" s="6" t="str">
        <f t="shared" si="21"/>
        <v>PROT:CCD83237.1</v>
      </c>
      <c r="F1400" t="s">
        <v>2430</v>
      </c>
      <c r="G1400" t="s">
        <v>27</v>
      </c>
      <c r="H1400" t="s">
        <v>2689</v>
      </c>
      <c r="I1400" t="str">
        <f>INDEX(Genomes!$I:$I,(MATCH(AllProteins!H1400,Genomes!$B:$B,0)))</f>
        <v>HE601899-squirrelpox_virus</v>
      </c>
      <c r="J1400">
        <f>INDEX(Genomes!$A:$A,(MATCH(AllProteins!H1400,Genomes!$B:$B,0)))</f>
        <v>48</v>
      </c>
      <c r="K1400" t="str">
        <f>INDEX(Genomes!$J:$J,(MATCH(AllProteins!H1400,Genomes!$B:$B,0)))</f>
        <v>Y</v>
      </c>
    </row>
    <row r="1401" spans="1:11" x14ac:dyDescent="0.2">
      <c r="A1401">
        <f>INDEX(CoreProteinGroups!A:A,MATCH(B1401,CoreProteinGroups!B:B,0))</f>
        <v>25</v>
      </c>
      <c r="B1401" s="1" t="s">
        <v>2417</v>
      </c>
      <c r="C1401" t="str">
        <f>VLOOKUP(B1401,CoreProteinGroups!$B:$C,2,FALSE)</f>
        <v>IMV membrane protein</v>
      </c>
      <c r="D1401" t="s">
        <v>2431</v>
      </c>
      <c r="E1401" s="6" t="str">
        <f t="shared" si="21"/>
        <v>PROT:ASK51265.1</v>
      </c>
      <c r="F1401" t="s">
        <v>2432</v>
      </c>
      <c r="G1401" t="s">
        <v>30</v>
      </c>
      <c r="H1401" t="s">
        <v>2664</v>
      </c>
      <c r="I1401" t="str">
        <f>INDEX(Genomes!$I:$I,(MATCH(AllProteins!H1401,Genomes!$B:$B,0)))</f>
        <v>KY747497-eptesipox_virus</v>
      </c>
      <c r="J1401">
        <f>INDEX(Genomes!$A:$A,(MATCH(AllProteins!H1401,Genomes!$B:$B,0)))</f>
        <v>19</v>
      </c>
      <c r="K1401" t="str">
        <f>INDEX(Genomes!$J:$J,(MATCH(AllProteins!H1401,Genomes!$B:$B,0)))</f>
        <v>Y</v>
      </c>
    </row>
    <row r="1402" spans="1:11" x14ac:dyDescent="0.2">
      <c r="A1402">
        <f>INDEX(CoreProteinGroups!A:A,MATCH(B1402,CoreProteinGroups!B:B,0))</f>
        <v>25</v>
      </c>
      <c r="B1402" s="1" t="s">
        <v>2417</v>
      </c>
      <c r="C1402" t="str">
        <f>VLOOKUP(B1402,CoreProteinGroups!$B:$C,2,FALSE)</f>
        <v>IMV membrane protein</v>
      </c>
      <c r="D1402" t="s">
        <v>2433</v>
      </c>
      <c r="E1402" s="6" t="str">
        <f t="shared" si="21"/>
        <v>PROT:AUD40232.1</v>
      </c>
      <c r="F1402" t="s">
        <v>2424</v>
      </c>
      <c r="G1402" t="s">
        <v>32</v>
      </c>
      <c r="H1402" t="s">
        <v>2665</v>
      </c>
      <c r="I1402" t="str">
        <f>INDEX(Genomes!$I:$I,(MATCH(AllProteins!H1402,Genomes!$B:$B,0)))</f>
        <v>MF678796-flamingopox_virus</v>
      </c>
      <c r="J1402">
        <f>INDEX(Genomes!$A:$A,(MATCH(AllProteins!H1402,Genomes!$B:$B,0)))</f>
        <v>20</v>
      </c>
      <c r="K1402" t="str">
        <f>INDEX(Genomes!$J:$J,(MATCH(AllProteins!H1402,Genomes!$B:$B,0)))</f>
        <v>Y</v>
      </c>
    </row>
    <row r="1403" spans="1:11" x14ac:dyDescent="0.2">
      <c r="A1403">
        <f>INDEX(CoreProteinGroups!A:A,MATCH(B1403,CoreProteinGroups!B:B,0))</f>
        <v>25</v>
      </c>
      <c r="B1403" s="1" t="s">
        <v>2417</v>
      </c>
      <c r="C1403" t="str">
        <f>VLOOKUP(B1403,CoreProteinGroups!$B:$C,2,FALSE)</f>
        <v>IMV membrane protein</v>
      </c>
      <c r="D1403" t="s">
        <v>2434</v>
      </c>
      <c r="E1403" s="6" t="str">
        <f t="shared" si="21"/>
        <v>PROT:AID46864.1</v>
      </c>
      <c r="F1403" t="s">
        <v>2435</v>
      </c>
      <c r="G1403" t="s">
        <v>34</v>
      </c>
      <c r="H1403" t="s">
        <v>2681</v>
      </c>
      <c r="I1403" t="str">
        <f>INDEX(Genomes!$I:$I,(MATCH(AllProteins!H1403,Genomes!$B:$B,0)))</f>
        <v>KJ859677-penguinpox_virus</v>
      </c>
      <c r="J1403">
        <f>INDEX(Genomes!$A:$A,(MATCH(AllProteins!H1403,Genomes!$B:$B,0)))</f>
        <v>39</v>
      </c>
      <c r="K1403" t="str">
        <f>INDEX(Genomes!$J:$J,(MATCH(AllProteins!H1403,Genomes!$B:$B,0)))</f>
        <v>Y</v>
      </c>
    </row>
    <row r="1404" spans="1:11" x14ac:dyDescent="0.2">
      <c r="A1404">
        <f>INDEX(CoreProteinGroups!A:A,MATCH(B1404,CoreProteinGroups!B:B,0))</f>
        <v>25</v>
      </c>
      <c r="B1404" s="1" t="s">
        <v>2417</v>
      </c>
      <c r="C1404" t="str">
        <f>VLOOKUP(B1404,CoreProteinGroups!$B:$C,2,FALSE)</f>
        <v>IMV membrane protein</v>
      </c>
      <c r="D1404" t="s">
        <v>2436</v>
      </c>
      <c r="E1404" s="6" t="str">
        <f t="shared" si="21"/>
        <v>PROT:AID46635.1</v>
      </c>
      <c r="F1404" t="s">
        <v>2435</v>
      </c>
      <c r="G1404" t="s">
        <v>36</v>
      </c>
      <c r="H1404" t="s">
        <v>2680</v>
      </c>
      <c r="I1404" t="str">
        <f>INDEX(Genomes!$I:$I,(MATCH(AllProteins!H1404,Genomes!$B:$B,0)))</f>
        <v>KJ801920-pigeonpox_virus</v>
      </c>
      <c r="J1404">
        <f>INDEX(Genomes!$A:$A,(MATCH(AllProteins!H1404,Genomes!$B:$B,0)))</f>
        <v>38</v>
      </c>
      <c r="K1404" t="str">
        <f>INDEX(Genomes!$J:$J,(MATCH(AllProteins!H1404,Genomes!$B:$B,0)))</f>
        <v>Y</v>
      </c>
    </row>
    <row r="1405" spans="1:11" x14ac:dyDescent="0.2">
      <c r="A1405">
        <f>INDEX(CoreProteinGroups!A:A,MATCH(B1405,CoreProteinGroups!B:B,0))</f>
        <v>25</v>
      </c>
      <c r="B1405" s="1" t="s">
        <v>2417</v>
      </c>
      <c r="C1405" t="str">
        <f>VLOOKUP(B1405,CoreProteinGroups!$B:$C,2,FALSE)</f>
        <v>IMV membrane protein</v>
      </c>
      <c r="D1405" t="s">
        <v>2437</v>
      </c>
      <c r="E1405" s="6" t="str">
        <f t="shared" si="21"/>
        <v>PROT:ALA62465.1</v>
      </c>
      <c r="F1405" t="s">
        <v>2438</v>
      </c>
      <c r="G1405" t="s">
        <v>39</v>
      </c>
      <c r="H1405" t="s">
        <v>2692</v>
      </c>
      <c r="I1405" t="str">
        <f>INDEX(Genomes!$I:$I,(MATCH(AllProteins!H1405,Genomes!$B:$B,0)))</f>
        <v>KP728110-turkeypox_virus</v>
      </c>
      <c r="J1405">
        <f>INDEX(Genomes!$A:$A,(MATCH(AllProteins!H1405,Genomes!$B:$B,0)))</f>
        <v>51</v>
      </c>
      <c r="K1405" t="str">
        <f>INDEX(Genomes!$J:$J,(MATCH(AllProteins!H1405,Genomes!$B:$B,0)))</f>
        <v>Y</v>
      </c>
    </row>
    <row r="1406" spans="1:11" x14ac:dyDescent="0.2">
      <c r="A1406">
        <f>INDEX(CoreProteinGroups!A:A,MATCH(B1406,CoreProteinGroups!B:B,0))</f>
        <v>25</v>
      </c>
      <c r="B1406" s="1" t="s">
        <v>2417</v>
      </c>
      <c r="C1406" t="str">
        <f>VLOOKUP(B1406,CoreProteinGroups!$B:$C,2,FALSE)</f>
        <v>IMV membrane protein</v>
      </c>
      <c r="D1406" t="s">
        <v>2439</v>
      </c>
      <c r="E1406" s="6" t="str">
        <f t="shared" si="21"/>
        <v>PROT:AAR83519.1</v>
      </c>
      <c r="F1406" t="s">
        <v>2440</v>
      </c>
      <c r="G1406" t="s">
        <v>42</v>
      </c>
      <c r="H1406" t="s">
        <v>2657</v>
      </c>
      <c r="I1406" t="str">
        <f>INDEX(Genomes!$I:$I,(MATCH(AllProteins!H1406,Genomes!$B:$B,0)))</f>
        <v>AY318871-canarypox_virus</v>
      </c>
      <c r="J1406">
        <f>INDEX(Genomes!$A:$A,(MATCH(AllProteins!H1406,Genomes!$B:$B,0)))</f>
        <v>11</v>
      </c>
      <c r="K1406" t="str">
        <f>INDEX(Genomes!$J:$J,(MATCH(AllProteins!H1406,Genomes!$B:$B,0)))</f>
        <v>Y</v>
      </c>
    </row>
    <row r="1407" spans="1:11" x14ac:dyDescent="0.2">
      <c r="A1407">
        <f>INDEX(CoreProteinGroups!A:A,MATCH(B1407,CoreProteinGroups!B:B,0))</f>
        <v>25</v>
      </c>
      <c r="B1407" s="1" t="s">
        <v>2417</v>
      </c>
      <c r="C1407" t="str">
        <f>VLOOKUP(B1407,CoreProteinGroups!$B:$C,2,FALSE)</f>
        <v>IMV membrane protein</v>
      </c>
      <c r="D1407" t="s">
        <v>2441</v>
      </c>
      <c r="E1407" s="6" t="str">
        <f t="shared" si="21"/>
        <v>PROT:AAF44472.1</v>
      </c>
      <c r="F1407" t="s">
        <v>2442</v>
      </c>
      <c r="G1407" t="s">
        <v>45</v>
      </c>
      <c r="H1407" t="s">
        <v>2666</v>
      </c>
      <c r="I1407" t="str">
        <f>INDEX(Genomes!$I:$I,(MATCH(AllProteins!H1407,Genomes!$B:$B,0)))</f>
        <v>AF198100-fowlpox_virus</v>
      </c>
      <c r="J1407">
        <f>INDEX(Genomes!$A:$A,(MATCH(AllProteins!H1407,Genomes!$B:$B,0)))</f>
        <v>21</v>
      </c>
      <c r="K1407" t="str">
        <f>INDEX(Genomes!$J:$J,(MATCH(AllProteins!H1407,Genomes!$B:$B,0)))</f>
        <v>Y</v>
      </c>
    </row>
    <row r="1408" spans="1:11" x14ac:dyDescent="0.2">
      <c r="A1408">
        <f>INDEX(CoreProteinGroups!A:A,MATCH(B1408,CoreProteinGroups!B:B,0))</f>
        <v>25</v>
      </c>
      <c r="B1408" s="1" t="s">
        <v>2417</v>
      </c>
      <c r="C1408" t="str">
        <f>VLOOKUP(B1408,CoreProteinGroups!$B:$C,2,FALSE)</f>
        <v>IMV membrane protein</v>
      </c>
      <c r="D1408" t="s">
        <v>2443</v>
      </c>
      <c r="E1408" s="6" t="str">
        <f t="shared" si="21"/>
        <v>PROT:YP_001293251.1</v>
      </c>
      <c r="F1408" t="s">
        <v>2444</v>
      </c>
      <c r="G1408" t="s">
        <v>153</v>
      </c>
      <c r="H1408" t="s">
        <v>2644</v>
      </c>
      <c r="I1408" t="str">
        <f>INDEX(Genomes!$I:$I,(MATCH(AllProteins!H1408,Genomes!$B:$B,0)))</f>
        <v>NC_004003-goatpox_virus</v>
      </c>
      <c r="J1408">
        <f>INDEX(Genomes!$A:$A,(MATCH(AllProteins!H1408,Genomes!$B:$B,0)))</f>
        <v>23</v>
      </c>
      <c r="K1408" t="str">
        <f>INDEX(Genomes!$J:$J,(MATCH(AllProteins!H1408,Genomes!$B:$B,0)))</f>
        <v>Y</v>
      </c>
    </row>
    <row r="1409" spans="1:11" x14ac:dyDescent="0.2">
      <c r="A1409">
        <f>INDEX(CoreProteinGroups!A:A,MATCH(B1409,CoreProteinGroups!B:B,0))</f>
        <v>25</v>
      </c>
      <c r="B1409" s="1" t="s">
        <v>2417</v>
      </c>
      <c r="C1409" t="str">
        <f>VLOOKUP(B1409,CoreProteinGroups!$B:$C,2,FALSE)</f>
        <v>IMV membrane protein</v>
      </c>
      <c r="D1409" t="s">
        <v>2445</v>
      </c>
      <c r="E1409" s="6" t="str">
        <f t="shared" si="21"/>
        <v>PROT:AAK85021.1</v>
      </c>
      <c r="F1409" t="s">
        <v>2446</v>
      </c>
      <c r="G1409" t="s">
        <v>48</v>
      </c>
      <c r="H1409" t="s">
        <v>2669</v>
      </c>
      <c r="I1409" t="str">
        <f>INDEX(Genomes!$I:$I,(MATCH(AllProteins!H1409,Genomes!$B:$B,0)))</f>
        <v>AF325528-lumpy_skin_disease_virus</v>
      </c>
      <c r="J1409">
        <f>INDEX(Genomes!$A:$A,(MATCH(AllProteins!H1409,Genomes!$B:$B,0)))</f>
        <v>25</v>
      </c>
      <c r="K1409" t="str">
        <f>INDEX(Genomes!$J:$J,(MATCH(AllProteins!H1409,Genomes!$B:$B,0)))</f>
        <v>Y</v>
      </c>
    </row>
    <row r="1410" spans="1:11" x14ac:dyDescent="0.2">
      <c r="A1410">
        <f>INDEX(CoreProteinGroups!A:A,MATCH(B1410,CoreProteinGroups!B:B,0))</f>
        <v>25</v>
      </c>
      <c r="B1410" s="1" t="s">
        <v>2417</v>
      </c>
      <c r="C1410" t="str">
        <f>VLOOKUP(B1410,CoreProteinGroups!$B:$C,2,FALSE)</f>
        <v>IMV membrane protein</v>
      </c>
      <c r="D1410" t="s">
        <v>2447</v>
      </c>
      <c r="E1410" s="6" t="str">
        <f t="shared" ref="E1410:E1473" si="22">HYPERLINK(_xlfn.CONCAT("https://www.ncbi.nlm.nih.gov/protein/",D1410),_xlfn.CONCAT("PROT:",D1410))</f>
        <v>PROT:NP_659632.1</v>
      </c>
      <c r="F1410" t="s">
        <v>2432</v>
      </c>
      <c r="G1410" t="s">
        <v>150</v>
      </c>
      <c r="H1410" t="s">
        <v>2620</v>
      </c>
      <c r="I1410" t="str">
        <f>INDEX(Genomes!$I:$I,(MATCH(AllProteins!H1410,Genomes!$B:$B,0)))</f>
        <v>NC_004002-sheeppox_virus</v>
      </c>
      <c r="J1410">
        <f>INDEX(Genomes!$A:$A,(MATCH(AllProteins!H1410,Genomes!$B:$B,0)))</f>
        <v>44</v>
      </c>
      <c r="K1410" t="str">
        <f>INDEX(Genomes!$J:$J,(MATCH(AllProteins!H1410,Genomes!$B:$B,0)))</f>
        <v>Y</v>
      </c>
    </row>
    <row r="1411" spans="1:11" x14ac:dyDescent="0.2">
      <c r="A1411">
        <f>INDEX(CoreProteinGroups!A:A,MATCH(B1411,CoreProteinGroups!B:B,0))</f>
        <v>25</v>
      </c>
      <c r="B1411" s="1" t="s">
        <v>2417</v>
      </c>
      <c r="C1411" t="str">
        <f>VLOOKUP(B1411,CoreProteinGroups!$B:$C,2,FALSE)</f>
        <v>IMV membrane protein</v>
      </c>
      <c r="D1411" t="s">
        <v>2448</v>
      </c>
      <c r="E1411" s="6" t="str">
        <f t="shared" si="22"/>
        <v>PROT:AST09279.1</v>
      </c>
      <c r="F1411" t="s">
        <v>583</v>
      </c>
      <c r="G1411" t="s">
        <v>50</v>
      </c>
      <c r="H1411" t="s">
        <v>2671</v>
      </c>
      <c r="I1411" t="str">
        <f>INDEX(Genomes!$I:$I,(MATCH(AllProteins!H1411,Genomes!$B:$B,0)))</f>
        <v>MF001304-Murmansk_poxvirus</v>
      </c>
      <c r="J1411">
        <f>INDEX(Genomes!$A:$A,(MATCH(AllProteins!H1411,Genomes!$B:$B,0)))</f>
        <v>27</v>
      </c>
      <c r="K1411" t="str">
        <f>INDEX(Genomes!$J:$J,(MATCH(AllProteins!H1411,Genomes!$B:$B,0)))</f>
        <v>Y</v>
      </c>
    </row>
    <row r="1412" spans="1:11" x14ac:dyDescent="0.2">
      <c r="A1412">
        <f>INDEX(CoreProteinGroups!A:A,MATCH(B1412,CoreProteinGroups!B:B,0))</f>
        <v>25</v>
      </c>
      <c r="B1412" s="1" t="s">
        <v>2417</v>
      </c>
      <c r="C1412" t="str">
        <f>VLOOKUP(B1412,CoreProteinGroups!$B:$C,2,FALSE)</f>
        <v>IMV membrane protein</v>
      </c>
      <c r="D1412" t="s">
        <v>2449</v>
      </c>
      <c r="E1412" s="6" t="str">
        <f t="shared" si="22"/>
        <v>PROT:AEN03657.1</v>
      </c>
      <c r="F1412" t="s">
        <v>583</v>
      </c>
      <c r="G1412" t="s">
        <v>52</v>
      </c>
      <c r="H1412" t="s">
        <v>2698</v>
      </c>
      <c r="I1412" t="str">
        <f>INDEX(Genomes!$I:$I,(MATCH(AllProteins!H1412,Genomes!$B:$B,0)))</f>
        <v>HQ849551-yokapox_virus</v>
      </c>
      <c r="J1412">
        <f>INDEX(Genomes!$A:$A,(MATCH(AllProteins!H1412,Genomes!$B:$B,0)))</f>
        <v>57</v>
      </c>
      <c r="K1412" t="str">
        <f>INDEX(Genomes!$J:$J,(MATCH(AllProteins!H1412,Genomes!$B:$B,0)))</f>
        <v>Y</v>
      </c>
    </row>
    <row r="1413" spans="1:11" x14ac:dyDescent="0.2">
      <c r="A1413">
        <f>INDEX(CoreProteinGroups!A:A,MATCH(B1413,CoreProteinGroups!B:B,0))</f>
        <v>25</v>
      </c>
      <c r="B1413" s="1" t="s">
        <v>2417</v>
      </c>
      <c r="C1413" t="str">
        <f>VLOOKUP(B1413,CoreProteinGroups!$B:$C,2,FALSE)</f>
        <v>IMV membrane protein</v>
      </c>
      <c r="D1413" t="s">
        <v>2450</v>
      </c>
      <c r="E1413" s="6" t="str">
        <f t="shared" si="22"/>
        <v>PROT:ABI99224.1</v>
      </c>
      <c r="F1413" t="s">
        <v>2451</v>
      </c>
      <c r="G1413" t="s">
        <v>54</v>
      </c>
      <c r="H1413" t="s">
        <v>2661</v>
      </c>
      <c r="I1413" t="str">
        <f>INDEX(Genomes!$I:$I,(MATCH(AllProteins!H1413,Genomes!$B:$B,0)))</f>
        <v>AY689436-mule_deerpox_virus</v>
      </c>
      <c r="J1413">
        <f>INDEX(Genomes!$A:$A,(MATCH(AllProteins!H1413,Genomes!$B:$B,0)))</f>
        <v>15</v>
      </c>
      <c r="K1413" t="str">
        <f>INDEX(Genomes!$J:$J,(MATCH(AllProteins!H1413,Genomes!$B:$B,0)))</f>
        <v>Y</v>
      </c>
    </row>
    <row r="1414" spans="1:11" x14ac:dyDescent="0.2">
      <c r="A1414">
        <f>INDEX(CoreProteinGroups!A:A,MATCH(B1414,CoreProteinGroups!B:B,0))</f>
        <v>25</v>
      </c>
      <c r="B1414" s="1" t="s">
        <v>2417</v>
      </c>
      <c r="C1414" t="str">
        <f>VLOOKUP(B1414,CoreProteinGroups!$B:$C,2,FALSE)</f>
        <v>IMV membrane protein</v>
      </c>
      <c r="D1414" t="s">
        <v>2452</v>
      </c>
      <c r="E1414" s="6" t="str">
        <f t="shared" si="22"/>
        <v>PROT:ABJ08973.1</v>
      </c>
      <c r="F1414" t="s">
        <v>2451</v>
      </c>
      <c r="G1414" t="s">
        <v>56</v>
      </c>
      <c r="H1414" t="s">
        <v>2677</v>
      </c>
      <c r="I1414" t="str">
        <f>INDEX(Genomes!$I:$I,(MATCH(AllProteins!H1414,Genomes!$B:$B,0)))</f>
        <v>DQ356948-Nile_crocodilepox_virus</v>
      </c>
      <c r="J1414">
        <f>INDEX(Genomes!$A:$A,(MATCH(AllProteins!H1414,Genomes!$B:$B,0)))</f>
        <v>34</v>
      </c>
      <c r="K1414" t="str">
        <f>INDEX(Genomes!$J:$J,(MATCH(AllProteins!H1414,Genomes!$B:$B,0)))</f>
        <v>Y</v>
      </c>
    </row>
    <row r="1415" spans="1:11" x14ac:dyDescent="0.2">
      <c r="A1415">
        <f>INDEX(CoreProteinGroups!A:A,MATCH(B1415,CoreProteinGroups!B:B,0))</f>
        <v>25</v>
      </c>
      <c r="B1415" s="1" t="s">
        <v>2417</v>
      </c>
      <c r="C1415" t="str">
        <f>VLOOKUP(B1415,CoreProteinGroups!$B:$C,2,FALSE)</f>
        <v>IMV membrane protein</v>
      </c>
      <c r="D1415" t="s">
        <v>2453</v>
      </c>
      <c r="E1415" s="6" t="str">
        <f t="shared" si="22"/>
        <v>PROT:AAF14943.1</v>
      </c>
      <c r="F1415" t="s">
        <v>2454</v>
      </c>
      <c r="G1415" t="s">
        <v>2584</v>
      </c>
      <c r="H1415" t="s">
        <v>2676</v>
      </c>
      <c r="I1415" t="str">
        <f>INDEX(Genomes!$I:$I,(MATCH(AllProteins!H1415,Genomes!$B:$B,0)))</f>
        <v>AF170726-myxoma_virus</v>
      </c>
      <c r="J1415">
        <f>INDEX(Genomes!$A:$A,(MATCH(AllProteins!H1415,Genomes!$B:$B,0)))</f>
        <v>32</v>
      </c>
      <c r="K1415" t="str">
        <f>INDEX(Genomes!$J:$J,(MATCH(AllProteins!H1415,Genomes!$B:$B,0)))</f>
        <v>Y</v>
      </c>
    </row>
    <row r="1416" spans="1:11" x14ac:dyDescent="0.2">
      <c r="A1416">
        <f>INDEX(CoreProteinGroups!A:A,MATCH(B1416,CoreProteinGroups!B:B,0))</f>
        <v>25</v>
      </c>
      <c r="B1416" s="1" t="s">
        <v>2417</v>
      </c>
      <c r="C1416" t="str">
        <f>VLOOKUP(B1416,CoreProteinGroups!$B:$C,2,FALSE)</f>
        <v>IMV membrane protein</v>
      </c>
      <c r="D1416" t="s">
        <v>2455</v>
      </c>
      <c r="E1416" s="6" t="str">
        <f t="shared" si="22"/>
        <v>PROT:AFU77319.1</v>
      </c>
      <c r="F1416" t="s">
        <v>2454</v>
      </c>
      <c r="G1416" t="s">
        <v>2553</v>
      </c>
      <c r="H1416" t="s">
        <v>2646</v>
      </c>
      <c r="I1416" t="str">
        <f>INDEX(Genomes!$I:$I,(MATCH(AllProteins!H1416,Genomes!$B:$B,0)))</f>
        <v>JX565564-myxoma_virus_isolate_BRK_897</v>
      </c>
      <c r="J1416">
        <f>INDEX(Genomes!$A:$A,(MATCH(AllProteins!H1416,Genomes!$B:$B,0)))</f>
        <v>33</v>
      </c>
      <c r="K1416" t="str">
        <f>INDEX(Genomes!$J:$J,(MATCH(AllProteins!H1416,Genomes!$B:$B,0)))</f>
        <v>N</v>
      </c>
    </row>
    <row r="1417" spans="1:11" x14ac:dyDescent="0.2">
      <c r="A1417">
        <f>INDEX(CoreProteinGroups!A:A,MATCH(B1417,CoreProteinGroups!B:B,0))</f>
        <v>25</v>
      </c>
      <c r="B1417" s="1" t="s">
        <v>2417</v>
      </c>
      <c r="C1417" t="str">
        <f>VLOOKUP(B1417,CoreProteinGroups!$B:$C,2,FALSE)</f>
        <v>IMV membrane protein</v>
      </c>
      <c r="D1417" t="s">
        <v>2456</v>
      </c>
      <c r="E1417" s="6" t="str">
        <f t="shared" si="22"/>
        <v>PROT:AAF17937.1</v>
      </c>
      <c r="F1417" t="s">
        <v>2457</v>
      </c>
      <c r="G1417" t="s">
        <v>62</v>
      </c>
      <c r="H1417" t="s">
        <v>2685</v>
      </c>
      <c r="I1417" t="str">
        <f>INDEX(Genomes!$I:$I,(MATCH(AllProteins!H1417,Genomes!$B:$B,0)))</f>
        <v>AF170722-rabbit_fibroma_virus</v>
      </c>
      <c r="J1417">
        <f>INDEX(Genomes!$A:$A,(MATCH(AllProteins!H1417,Genomes!$B:$B,0)))</f>
        <v>43</v>
      </c>
      <c r="K1417" t="str">
        <f>INDEX(Genomes!$J:$J,(MATCH(AllProteins!H1417,Genomes!$B:$B,0)))</f>
        <v>Y</v>
      </c>
    </row>
    <row r="1418" spans="1:11" x14ac:dyDescent="0.2">
      <c r="A1418">
        <f>INDEX(CoreProteinGroups!A:A,MATCH(B1418,CoreProteinGroups!B:B,0))</f>
        <v>25</v>
      </c>
      <c r="B1418" s="1" t="s">
        <v>2417</v>
      </c>
      <c r="C1418" t="str">
        <f>VLOOKUP(B1418,CoreProteinGroups!$B:$C,2,FALSE)</f>
        <v>IMV membrane protein</v>
      </c>
      <c r="D1418" t="s">
        <v>2458</v>
      </c>
      <c r="E1418" s="6" t="str">
        <f t="shared" si="22"/>
        <v>PROT:AAC55197.1</v>
      </c>
      <c r="F1418" t="s">
        <v>2459</v>
      </c>
      <c r="G1418" t="s">
        <v>65</v>
      </c>
      <c r="H1418" t="s">
        <v>2670</v>
      </c>
      <c r="I1418" t="str">
        <f>INDEX(Genomes!$I:$I,(MATCH(AllProteins!H1418,Genomes!$B:$B,0)))</f>
        <v>U60315-molluscum_contagiosum_virus</v>
      </c>
      <c r="J1418">
        <f>INDEX(Genomes!$A:$A,(MATCH(AllProteins!H1418,Genomes!$B:$B,0)))</f>
        <v>26</v>
      </c>
      <c r="K1418" t="str">
        <f>INDEX(Genomes!$J:$J,(MATCH(AllProteins!H1418,Genomes!$B:$B,0)))</f>
        <v>Y</v>
      </c>
    </row>
    <row r="1419" spans="1:11" x14ac:dyDescent="0.2">
      <c r="A1419">
        <f>INDEX(CoreProteinGroups!A:A,MATCH(B1419,CoreProteinGroups!B:B,0))</f>
        <v>25</v>
      </c>
      <c r="B1419" s="1" t="s">
        <v>2417</v>
      </c>
      <c r="C1419" t="str">
        <f>VLOOKUP(B1419,CoreProteinGroups!$B:$C,2,FALSE)</f>
        <v>IMV membrane protein</v>
      </c>
      <c r="D1419" t="s">
        <v>2460</v>
      </c>
      <c r="E1419" s="6" t="str">
        <f t="shared" si="22"/>
        <v>PROT:AYN64654.1</v>
      </c>
      <c r="F1419" t="s">
        <v>2461</v>
      </c>
      <c r="G1419" t="s">
        <v>68</v>
      </c>
      <c r="H1419" t="s">
        <v>2647</v>
      </c>
      <c r="I1419" t="str">
        <f>INDEX(Genomes!$I:$I,(MATCH(AllProteins!H1419,Genomes!$B:$B,0)))</f>
        <v>MH816996-orthopoxvirus_abatino</v>
      </c>
      <c r="J1419">
        <f>INDEX(Genomes!$A:$A,(MATCH(AllProteins!H1419,Genomes!$B:$B,0)))</f>
        <v>1</v>
      </c>
      <c r="K1419" t="str">
        <f>INDEX(Genomes!$J:$J,(MATCH(AllProteins!H1419,Genomes!$B:$B,0)))</f>
        <v>Y</v>
      </c>
    </row>
    <row r="1420" spans="1:11" x14ac:dyDescent="0.2">
      <c r="A1420">
        <f>INDEX(CoreProteinGroups!A:A,MATCH(B1420,CoreProteinGroups!B:B,0))</f>
        <v>25</v>
      </c>
      <c r="B1420" s="1" t="s">
        <v>2417</v>
      </c>
      <c r="C1420" t="str">
        <f>VLOOKUP(B1420,CoreProteinGroups!$B:$C,2,FALSE)</f>
        <v>IMV membrane protein</v>
      </c>
      <c r="D1420" t="s">
        <v>2462</v>
      </c>
      <c r="E1420" s="6" t="str">
        <f t="shared" si="22"/>
        <v>PROT:AXN74881.1</v>
      </c>
      <c r="F1420" t="s">
        <v>583</v>
      </c>
      <c r="G1420" t="s">
        <v>70</v>
      </c>
      <c r="H1420" t="s">
        <v>2650</v>
      </c>
      <c r="I1420" t="str">
        <f>INDEX(Genomes!$I:$I,(MATCH(AllProteins!H1420,Genomes!$B:$B,0)))</f>
        <v>MH607141-Akhmeta_virus</v>
      </c>
      <c r="J1420">
        <f>INDEX(Genomes!$A:$A,(MATCH(AllProteins!H1420,Genomes!$B:$B,0)))</f>
        <v>4</v>
      </c>
      <c r="K1420" t="str">
        <f>INDEX(Genomes!$J:$J,(MATCH(AllProteins!H1420,Genomes!$B:$B,0)))</f>
        <v>Y</v>
      </c>
    </row>
    <row r="1421" spans="1:11" x14ac:dyDescent="0.2">
      <c r="A1421">
        <f>INDEX(CoreProteinGroups!A:A,MATCH(B1421,CoreProteinGroups!B:B,0))</f>
        <v>25</v>
      </c>
      <c r="B1421" s="1" t="s">
        <v>2417</v>
      </c>
      <c r="C1421" t="str">
        <f>VLOOKUP(B1421,CoreProteinGroups!$B:$C,2,FALSE)</f>
        <v>IMV membrane protein</v>
      </c>
      <c r="D1421" t="s">
        <v>2463</v>
      </c>
      <c r="E1421" s="6" t="str">
        <f t="shared" si="22"/>
        <v>PROT:ABH08195.1</v>
      </c>
      <c r="F1421" t="s">
        <v>2464</v>
      </c>
      <c r="G1421" t="s">
        <v>73</v>
      </c>
      <c r="H1421" t="s">
        <v>2668</v>
      </c>
      <c r="I1421" t="str">
        <f>INDEX(Genomes!$I:$I,(MATCH(AllProteins!H1421,Genomes!$B:$B,0)))</f>
        <v>DQ792504-horsepox_virus</v>
      </c>
      <c r="J1421">
        <f>INDEX(Genomes!$A:$A,(MATCH(AllProteins!H1421,Genomes!$B:$B,0)))</f>
        <v>24</v>
      </c>
      <c r="K1421" t="str">
        <f>INDEX(Genomes!$J:$J,(MATCH(AllProteins!H1421,Genomes!$B:$B,0)))</f>
        <v>Y</v>
      </c>
    </row>
    <row r="1422" spans="1:11" x14ac:dyDescent="0.2">
      <c r="A1422">
        <f>INDEX(CoreProteinGroups!A:A,MATCH(B1422,CoreProteinGroups!B:B,0))</f>
        <v>25</v>
      </c>
      <c r="B1422" s="1" t="s">
        <v>2417</v>
      </c>
      <c r="C1422" t="str">
        <f>VLOOKUP(B1422,CoreProteinGroups!$B:$C,2,FALSE)</f>
        <v>IMV membrane protein</v>
      </c>
      <c r="D1422" t="s">
        <v>2465</v>
      </c>
      <c r="E1422" s="6" t="str">
        <f t="shared" si="22"/>
        <v>PROT:AAG37557.1</v>
      </c>
      <c r="F1422" t="s">
        <v>2466</v>
      </c>
      <c r="G1422" t="s">
        <v>76</v>
      </c>
      <c r="H1422" t="s">
        <v>2655</v>
      </c>
      <c r="I1422" t="str">
        <f>INDEX(Genomes!$I:$I,(MATCH(AllProteins!H1422,Genomes!$B:$B,0)))</f>
        <v>AY009089-camelpox_virus_CMS</v>
      </c>
      <c r="J1422">
        <f>INDEX(Genomes!$A:$A,(MATCH(AllProteins!H1422,Genomes!$B:$B,0)))</f>
        <v>9</v>
      </c>
      <c r="K1422" t="str">
        <f>INDEX(Genomes!$J:$J,(MATCH(AllProteins!H1422,Genomes!$B:$B,0)))</f>
        <v>N</v>
      </c>
    </row>
    <row r="1423" spans="1:11" x14ac:dyDescent="0.2">
      <c r="A1423">
        <f>INDEX(CoreProteinGroups!A:A,MATCH(B1423,CoreProteinGroups!B:B,0))</f>
        <v>25</v>
      </c>
      <c r="B1423" s="1" t="s">
        <v>2417</v>
      </c>
      <c r="C1423" t="str">
        <f>VLOOKUP(B1423,CoreProteinGroups!$B:$C,2,FALSE)</f>
        <v>IMV membrane protein</v>
      </c>
      <c r="D1423" t="s">
        <v>2467</v>
      </c>
      <c r="E1423" s="6" t="str">
        <f t="shared" si="22"/>
        <v>PROT:AAL73793.1</v>
      </c>
      <c r="F1423" t="s">
        <v>2468</v>
      </c>
      <c r="G1423" t="s">
        <v>79</v>
      </c>
      <c r="H1423" t="s">
        <v>2654</v>
      </c>
      <c r="I1423" t="str">
        <f>INDEX(Genomes!$I:$I,(MATCH(AllProteins!H1423,Genomes!$B:$B,0)))</f>
        <v>AF438165-camelpox_virus</v>
      </c>
      <c r="J1423">
        <f>INDEX(Genomes!$A:$A,(MATCH(AllProteins!H1423,Genomes!$B:$B,0)))</f>
        <v>8</v>
      </c>
      <c r="K1423" t="str">
        <f>INDEX(Genomes!$J:$J,(MATCH(AllProteins!H1423,Genomes!$B:$B,0)))</f>
        <v>Y</v>
      </c>
    </row>
    <row r="1424" spans="1:11" x14ac:dyDescent="0.2">
      <c r="A1424">
        <f>INDEX(CoreProteinGroups!A:A,MATCH(B1424,CoreProteinGroups!B:B,0))</f>
        <v>25</v>
      </c>
      <c r="B1424" s="1" t="s">
        <v>2417</v>
      </c>
      <c r="C1424" t="str">
        <f>VLOOKUP(B1424,CoreProteinGroups!$B:$C,2,FALSE)</f>
        <v>IMV membrane protein</v>
      </c>
      <c r="D1424" t="s">
        <v>2469</v>
      </c>
      <c r="E1424" s="6" t="str">
        <f t="shared" si="22"/>
        <v>PROT:AAM13543.1</v>
      </c>
      <c r="F1424" t="s">
        <v>2470</v>
      </c>
      <c r="G1424" t="s">
        <v>82</v>
      </c>
      <c r="H1424" t="s">
        <v>2659</v>
      </c>
      <c r="I1424" t="str">
        <f>INDEX(Genomes!$I:$I,(MATCH(AllProteins!H1424,Genomes!$B:$B,0)))</f>
        <v>AF482758-cowpox_virus</v>
      </c>
      <c r="J1424">
        <f>INDEX(Genomes!$A:$A,(MATCH(AllProteins!H1424,Genomes!$B:$B,0)))</f>
        <v>13</v>
      </c>
      <c r="K1424" t="str">
        <f>INDEX(Genomes!$J:$J,(MATCH(AllProteins!H1424,Genomes!$B:$B,0)))</f>
        <v>Y</v>
      </c>
    </row>
    <row r="1425" spans="1:11" x14ac:dyDescent="0.2">
      <c r="A1425">
        <f>INDEX(CoreProteinGroups!A:A,MATCH(B1425,CoreProteinGroups!B:B,0))</f>
        <v>25</v>
      </c>
      <c r="B1425" s="1" t="s">
        <v>2417</v>
      </c>
      <c r="C1425" t="str">
        <f>VLOOKUP(B1425,CoreProteinGroups!$B:$C,2,FALSE)</f>
        <v>IMV membrane protein</v>
      </c>
      <c r="D1425" t="s">
        <v>2471</v>
      </c>
      <c r="E1425" s="6" t="str">
        <f t="shared" si="22"/>
        <v>PROT:AAM92376.1</v>
      </c>
      <c r="F1425" t="s">
        <v>2472</v>
      </c>
      <c r="G1425" t="s">
        <v>85</v>
      </c>
      <c r="H1425" t="s">
        <v>2662</v>
      </c>
      <c r="I1425" t="str">
        <f>INDEX(Genomes!$I:$I,(MATCH(AllProteins!H1425,Genomes!$B:$B,0)))</f>
        <v>AF012825-ectromelia_virus</v>
      </c>
      <c r="J1425">
        <f>INDEX(Genomes!$A:$A,(MATCH(AllProteins!H1425,Genomes!$B:$B,0)))</f>
        <v>16</v>
      </c>
      <c r="K1425" t="str">
        <f>INDEX(Genomes!$J:$J,(MATCH(AllProteins!H1425,Genomes!$B:$B,0)))</f>
        <v>Y</v>
      </c>
    </row>
    <row r="1426" spans="1:11" x14ac:dyDescent="0.2">
      <c r="A1426">
        <f>INDEX(CoreProteinGroups!A:A,MATCH(B1426,CoreProteinGroups!B:B,0))</f>
        <v>25</v>
      </c>
      <c r="B1426" s="1" t="s">
        <v>2417</v>
      </c>
      <c r="C1426" t="str">
        <f>VLOOKUP(B1426,CoreProteinGroups!$B:$C,2,FALSE)</f>
        <v>IMV membrane protein</v>
      </c>
      <c r="D1426" t="s">
        <v>2473</v>
      </c>
      <c r="E1426" s="6" t="str">
        <f t="shared" si="22"/>
        <v>PROT:AFH54635.1</v>
      </c>
      <c r="F1426" t="s">
        <v>2420</v>
      </c>
      <c r="G1426" t="s">
        <v>87</v>
      </c>
      <c r="H1426" t="s">
        <v>2619</v>
      </c>
      <c r="I1426" t="str">
        <f>INDEX(Genomes!$I:$I,(MATCH(AllProteins!H1426,Genomes!$B:$B,0)))</f>
        <v>JQ410350-ectromelia_virus_strain_ERPV</v>
      </c>
      <c r="J1426">
        <f>INDEX(Genomes!$A:$A,(MATCH(AllProteins!H1426,Genomes!$B:$B,0)))</f>
        <v>17</v>
      </c>
      <c r="K1426" t="str">
        <f>INDEX(Genomes!$J:$J,(MATCH(AllProteins!H1426,Genomes!$B:$B,0)))</f>
        <v>N</v>
      </c>
    </row>
    <row r="1427" spans="1:11" x14ac:dyDescent="0.2">
      <c r="A1427">
        <f>INDEX(CoreProteinGroups!A:A,MATCH(B1427,CoreProteinGroups!B:B,0))</f>
        <v>25</v>
      </c>
      <c r="B1427" s="1" t="s">
        <v>2417</v>
      </c>
      <c r="C1427" t="str">
        <f>VLOOKUP(B1427,CoreProteinGroups!$B:$C,2,FALSE)</f>
        <v>IMV membrane protein</v>
      </c>
      <c r="D1427" t="s">
        <v>2474</v>
      </c>
      <c r="E1427" s="6" t="str">
        <f t="shared" si="22"/>
        <v>PROT:AAL40538.1</v>
      </c>
      <c r="F1427" t="s">
        <v>2475</v>
      </c>
      <c r="G1427" t="s">
        <v>90</v>
      </c>
      <c r="H1427" t="s">
        <v>2673</v>
      </c>
      <c r="I1427" t="str">
        <f>INDEX(Genomes!$I:$I,(MATCH(AllProteins!H1427,Genomes!$B:$B,0)))</f>
        <v>AF380138-monkeypox_virus_(clade_I)</v>
      </c>
      <c r="J1427">
        <f>INDEX(Genomes!$A:$A,(MATCH(AllProteins!H1427,Genomes!$B:$B,0)))</f>
        <v>29</v>
      </c>
      <c r="K1427" t="str">
        <f>INDEX(Genomes!$J:$J,(MATCH(AllProteins!H1427,Genomes!$B:$B,0)))</f>
        <v>Y</v>
      </c>
    </row>
    <row r="1428" spans="1:11" x14ac:dyDescent="0.2">
      <c r="A1428">
        <f>INDEX(CoreProteinGroups!A:A,MATCH(B1428,CoreProteinGroups!B:B,0))</f>
        <v>25</v>
      </c>
      <c r="B1428" s="1" t="s">
        <v>2417</v>
      </c>
      <c r="C1428" t="str">
        <f>VLOOKUP(B1428,CoreProteinGroups!$B:$C,2,FALSE)</f>
        <v>IMV membrane protein</v>
      </c>
      <c r="D1428" t="s">
        <v>2476</v>
      </c>
      <c r="E1428" s="6" t="str">
        <f t="shared" si="22"/>
        <v>PROT:AAX09175.1</v>
      </c>
      <c r="F1428" t="s">
        <v>2477</v>
      </c>
      <c r="G1428" t="s">
        <v>93</v>
      </c>
      <c r="H1428" t="s">
        <v>2672</v>
      </c>
      <c r="I1428" t="str">
        <f>INDEX(Genomes!$I:$I,(MATCH(AllProteins!H1428,Genomes!$B:$B,0)))</f>
        <v>AY753185-monkeypox_virus_(clade_IIa)</v>
      </c>
      <c r="J1428">
        <f>INDEX(Genomes!$A:$A,(MATCH(AllProteins!H1428,Genomes!$B:$B,0)))</f>
        <v>28</v>
      </c>
      <c r="K1428" t="str">
        <f>INDEX(Genomes!$J:$J,(MATCH(AllProteins!H1428,Genomes!$B:$B,0)))</f>
        <v>Y</v>
      </c>
    </row>
    <row r="1429" spans="1:11" x14ac:dyDescent="0.2">
      <c r="A1429">
        <f>INDEX(CoreProteinGroups!A:A,MATCH(B1429,CoreProteinGroups!B:B,0))</f>
        <v>25</v>
      </c>
      <c r="B1429" s="1" t="s">
        <v>2417</v>
      </c>
      <c r="C1429" t="str">
        <f>VLOOKUP(B1429,CoreProteinGroups!$B:$C,2,FALSE)</f>
        <v>IMV membrane protein</v>
      </c>
      <c r="D1429" t="s">
        <v>2478</v>
      </c>
      <c r="E1429" s="6" t="str">
        <f t="shared" si="22"/>
        <v>PROT:AKJ93717.1</v>
      </c>
      <c r="F1429" t="s">
        <v>583</v>
      </c>
      <c r="G1429" t="s">
        <v>95</v>
      </c>
      <c r="H1429" t="s">
        <v>2683</v>
      </c>
      <c r="I1429" t="str">
        <f>INDEX(Genomes!$I:$I,(MATCH(AllProteins!H1429,Genomes!$B:$B,0)))</f>
        <v>KP143769-raccoonpox_virus</v>
      </c>
      <c r="J1429">
        <f>INDEX(Genomes!$A:$A,(MATCH(AllProteins!H1429,Genomes!$B:$B,0)))</f>
        <v>41</v>
      </c>
      <c r="K1429" t="str">
        <f>INDEX(Genomes!$J:$J,(MATCH(AllProteins!H1429,Genomes!$B:$B,0)))</f>
        <v>Y</v>
      </c>
    </row>
    <row r="1430" spans="1:11" x14ac:dyDescent="0.2">
      <c r="A1430">
        <f>INDEX(CoreProteinGroups!A:A,MATCH(B1430,CoreProteinGroups!B:B,0))</f>
        <v>25</v>
      </c>
      <c r="B1430" s="1" t="s">
        <v>2417</v>
      </c>
      <c r="C1430" t="str">
        <f>VLOOKUP(B1430,CoreProteinGroups!$B:$C,2,FALSE)</f>
        <v>IMV membrane protein</v>
      </c>
      <c r="D1430" t="s">
        <v>2479</v>
      </c>
      <c r="E1430" s="6" t="str">
        <f t="shared" si="22"/>
        <v>PROT:AOP31566.1</v>
      </c>
      <c r="F1430" t="s">
        <v>2426</v>
      </c>
      <c r="G1430" t="s">
        <v>97</v>
      </c>
      <c r="H1430" t="s">
        <v>2686</v>
      </c>
      <c r="I1430" t="str">
        <f>INDEX(Genomes!$I:$I,(MATCH(AllProteins!H1430,Genomes!$B:$B,0)))</f>
        <v>KU749310-skunkpox_virus</v>
      </c>
      <c r="J1430">
        <f>INDEX(Genomes!$A:$A,(MATCH(AllProteins!H1430,Genomes!$B:$B,0)))</f>
        <v>45</v>
      </c>
      <c r="K1430" t="str">
        <f>INDEX(Genomes!$J:$J,(MATCH(AllProteins!H1430,Genomes!$B:$B,0)))</f>
        <v>Y</v>
      </c>
    </row>
    <row r="1431" spans="1:11" x14ac:dyDescent="0.2">
      <c r="A1431">
        <f>INDEX(CoreProteinGroups!A:A,MATCH(B1431,CoreProteinGroups!B:B,0))</f>
        <v>25</v>
      </c>
      <c r="B1431" s="1" t="s">
        <v>2417</v>
      </c>
      <c r="C1431" t="str">
        <f>VLOOKUP(B1431,CoreProteinGroups!$B:$C,2,FALSE)</f>
        <v>IMV membrane protein</v>
      </c>
      <c r="D1431" t="s">
        <v>2480</v>
      </c>
      <c r="E1431" s="6" t="str">
        <f t="shared" si="22"/>
        <v>PROT:ABD97657.1</v>
      </c>
      <c r="F1431" t="s">
        <v>583</v>
      </c>
      <c r="G1431" t="s">
        <v>99</v>
      </c>
      <c r="H1431" t="s">
        <v>2691</v>
      </c>
      <c r="I1431" t="str">
        <f>INDEX(Genomes!$I:$I,(MATCH(AllProteins!H1431,Genomes!$B:$B,0)))</f>
        <v>DQ437594-taterapox_virus</v>
      </c>
      <c r="J1431">
        <f>INDEX(Genomes!$A:$A,(MATCH(AllProteins!H1431,Genomes!$B:$B,0)))</f>
        <v>50</v>
      </c>
      <c r="K1431" t="str">
        <f>INDEX(Genomes!$J:$J,(MATCH(AllProteins!H1431,Genomes!$B:$B,0)))</f>
        <v>Y</v>
      </c>
    </row>
    <row r="1432" spans="1:11" x14ac:dyDescent="0.2">
      <c r="A1432">
        <f>INDEX(CoreProteinGroups!A:A,MATCH(B1432,CoreProteinGroups!B:B,0))</f>
        <v>25</v>
      </c>
      <c r="B1432" s="1" t="s">
        <v>2417</v>
      </c>
      <c r="C1432" t="str">
        <f>VLOOKUP(B1432,CoreProteinGroups!$B:$C,2,FALSE)</f>
        <v>IMV membrane protein</v>
      </c>
      <c r="D1432" t="s">
        <v>2481</v>
      </c>
      <c r="E1432" s="6" t="str">
        <f t="shared" si="22"/>
        <v>PROT:AAO89367.1</v>
      </c>
      <c r="F1432" t="s">
        <v>583</v>
      </c>
      <c r="G1432" t="s">
        <v>101</v>
      </c>
      <c r="H1432" t="s">
        <v>2693</v>
      </c>
      <c r="I1432" t="str">
        <f>INDEX(Genomes!$I:$I,(MATCH(AllProteins!H1432,Genomes!$B:$B,0)))</f>
        <v>AY243312-vaccinia_virus</v>
      </c>
      <c r="J1432">
        <f>INDEX(Genomes!$A:$A,(MATCH(AllProteins!H1432,Genomes!$B:$B,0)))</f>
        <v>52</v>
      </c>
      <c r="K1432" t="str">
        <f>INDEX(Genomes!$J:$J,(MATCH(AllProteins!H1432,Genomes!$B:$B,0)))</f>
        <v>Y</v>
      </c>
    </row>
    <row r="1433" spans="1:11" x14ac:dyDescent="0.2">
      <c r="A1433">
        <f>INDEX(CoreProteinGroups!A:A,MATCH(B1433,CoreProteinGroups!B:B,0))</f>
        <v>25</v>
      </c>
      <c r="B1433" s="1" t="s">
        <v>2417</v>
      </c>
      <c r="C1433" t="str">
        <f>VLOOKUP(B1433,CoreProteinGroups!$B:$C,2,FALSE)</f>
        <v>IMV membrane protein</v>
      </c>
      <c r="D1433" t="s">
        <v>2482</v>
      </c>
      <c r="E1433" s="6" t="str">
        <f t="shared" si="22"/>
        <v>PROT:CAA49014.1</v>
      </c>
      <c r="F1433" t="s">
        <v>2475</v>
      </c>
      <c r="G1433" t="s">
        <v>2585</v>
      </c>
      <c r="H1433" t="s">
        <v>2694</v>
      </c>
      <c r="I1433" t="str">
        <f>INDEX(Genomes!$I:$I,(MATCH(AllProteins!H1433,Genomes!$B:$B,0)))</f>
        <v>X69198-variola_major_virus</v>
      </c>
      <c r="J1433">
        <f>INDEX(Genomes!$A:$A,(MATCH(AllProteins!H1433,Genomes!$B:$B,0)))</f>
        <v>53</v>
      </c>
      <c r="K1433" t="str">
        <f>INDEX(Genomes!$J:$J,(MATCH(AllProteins!H1433,Genomes!$B:$B,0)))</f>
        <v>Y</v>
      </c>
    </row>
    <row r="1434" spans="1:11" x14ac:dyDescent="0.2">
      <c r="A1434">
        <f>INDEX(CoreProteinGroups!A:A,MATCH(B1434,CoreProteinGroups!B:B,0))</f>
        <v>25</v>
      </c>
      <c r="B1434" s="1" t="s">
        <v>2417</v>
      </c>
      <c r="C1434" t="str">
        <f>VLOOKUP(B1434,CoreProteinGroups!$B:$C,2,FALSE)</f>
        <v>IMV membrane protein</v>
      </c>
      <c r="D1434" t="s">
        <v>2483</v>
      </c>
      <c r="E1434" s="6" t="str">
        <f t="shared" si="22"/>
        <v>PROT:CAB54673.1</v>
      </c>
      <c r="F1434" t="s">
        <v>2484</v>
      </c>
      <c r="G1434" t="s">
        <v>106</v>
      </c>
      <c r="H1434" t="s">
        <v>2695</v>
      </c>
      <c r="I1434" t="str">
        <f>INDEX(Genomes!$I:$I,(MATCH(AllProteins!H1434,Genomes!$B:$B,0)))</f>
        <v>Y16780-variola_minor_virus</v>
      </c>
      <c r="J1434">
        <f>INDEX(Genomes!$A:$A,(MATCH(AllProteins!H1434,Genomes!$B:$B,0)))</f>
        <v>54</v>
      </c>
      <c r="K1434" t="str">
        <f>INDEX(Genomes!$J:$J,(MATCH(AllProteins!H1434,Genomes!$B:$B,0)))</f>
        <v>Y</v>
      </c>
    </row>
    <row r="1435" spans="1:11" x14ac:dyDescent="0.2">
      <c r="A1435">
        <f>INDEX(CoreProteinGroups!A:A,MATCH(B1435,CoreProteinGroups!B:B,0))</f>
        <v>25</v>
      </c>
      <c r="B1435" s="1" t="s">
        <v>2417</v>
      </c>
      <c r="C1435" t="str">
        <f>VLOOKUP(B1435,CoreProteinGroups!$B:$C,2,FALSE)</f>
        <v>IMV membrane protein</v>
      </c>
      <c r="D1435" t="s">
        <v>2485</v>
      </c>
      <c r="E1435" s="6" t="str">
        <f t="shared" si="22"/>
        <v>PROT:AOP31777.1</v>
      </c>
      <c r="F1435" t="s">
        <v>2426</v>
      </c>
      <c r="G1435" t="s">
        <v>108</v>
      </c>
      <c r="H1435" t="s">
        <v>2696</v>
      </c>
      <c r="I1435" t="str">
        <f>INDEX(Genomes!$I:$I,(MATCH(AllProteins!H1435,Genomes!$B:$B,0)))</f>
        <v>KU749311-volepox_virus</v>
      </c>
      <c r="J1435">
        <f>INDEX(Genomes!$A:$A,(MATCH(AllProteins!H1435,Genomes!$B:$B,0)))</f>
        <v>55</v>
      </c>
      <c r="K1435" t="str">
        <f>INDEX(Genomes!$J:$J,(MATCH(AllProteins!H1435,Genomes!$B:$B,0)))</f>
        <v>Y</v>
      </c>
    </row>
    <row r="1436" spans="1:11" x14ac:dyDescent="0.2">
      <c r="A1436">
        <f>INDEX(CoreProteinGroups!A:A,MATCH(B1436,CoreProteinGroups!B:B,0))</f>
        <v>25</v>
      </c>
      <c r="B1436" s="1" t="s">
        <v>2417</v>
      </c>
      <c r="C1436" t="str">
        <f>VLOOKUP(B1436,CoreProteinGroups!$B:$C,2,FALSE)</f>
        <v>IMV membrane protein</v>
      </c>
      <c r="D1436" t="s">
        <v>2486</v>
      </c>
      <c r="E1436" s="6" t="str">
        <f t="shared" si="22"/>
        <v>PROT:ASC55592.1</v>
      </c>
      <c r="F1436" t="s">
        <v>2487</v>
      </c>
      <c r="G1436" t="s">
        <v>111</v>
      </c>
      <c r="H1436" t="s">
        <v>2667</v>
      </c>
      <c r="I1436" t="str">
        <f>INDEX(Genomes!$I:$I,(MATCH(AllProteins!H1436,Genomes!$B:$B,0)))</f>
        <v>KY382358-seal_parapoxvirus</v>
      </c>
      <c r="J1436">
        <f>INDEX(Genomes!$A:$A,(MATCH(AllProteins!H1436,Genomes!$B:$B,0)))</f>
        <v>22</v>
      </c>
      <c r="K1436" t="str">
        <f>INDEX(Genomes!$J:$J,(MATCH(AllProteins!H1436,Genomes!$B:$B,0)))</f>
        <v>Y</v>
      </c>
    </row>
    <row r="1437" spans="1:11" x14ac:dyDescent="0.2">
      <c r="A1437">
        <f>INDEX(CoreProteinGroups!A:A,MATCH(B1437,CoreProteinGroups!B:B,0))</f>
        <v>25</v>
      </c>
      <c r="B1437" s="1" t="s">
        <v>2417</v>
      </c>
      <c r="C1437" t="str">
        <f>VLOOKUP(B1437,CoreProteinGroups!$B:$C,2,FALSE)</f>
        <v>IMV membrane protein</v>
      </c>
      <c r="D1437" t="s">
        <v>2488</v>
      </c>
      <c r="E1437" s="6" t="str">
        <f t="shared" si="22"/>
        <v>PROT:AAR98404.1</v>
      </c>
      <c r="F1437" t="s">
        <v>2489</v>
      </c>
      <c r="G1437" t="s">
        <v>114</v>
      </c>
      <c r="H1437" t="s">
        <v>2652</v>
      </c>
      <c r="I1437" t="str">
        <f>INDEX(Genomes!$I:$I,(MATCH(AllProteins!H1437,Genomes!$B:$B,0)))</f>
        <v>AY386265-bovine_papular_stomatitis_virus</v>
      </c>
      <c r="J1437">
        <f>INDEX(Genomes!$A:$A,(MATCH(AllProteins!H1437,Genomes!$B:$B,0)))</f>
        <v>6</v>
      </c>
      <c r="K1437" t="str">
        <f>INDEX(Genomes!$J:$J,(MATCH(AllProteins!H1437,Genomes!$B:$B,0)))</f>
        <v>Y</v>
      </c>
    </row>
    <row r="1438" spans="1:11" x14ac:dyDescent="0.2">
      <c r="A1438">
        <f>INDEX(CoreProteinGroups!A:A,MATCH(B1438,CoreProteinGroups!B:B,0))</f>
        <v>25</v>
      </c>
      <c r="B1438" s="1" t="s">
        <v>2417</v>
      </c>
      <c r="C1438" t="str">
        <f>VLOOKUP(B1438,CoreProteinGroups!$B:$C,2,FALSE)</f>
        <v>IMV membrane protein</v>
      </c>
      <c r="D1438" t="s">
        <v>2490</v>
      </c>
      <c r="E1438" s="6" t="str">
        <f t="shared" si="22"/>
        <v>PROT:AAR98272.1</v>
      </c>
      <c r="F1438" t="s">
        <v>2491</v>
      </c>
      <c r="G1438" t="s">
        <v>2702</v>
      </c>
      <c r="H1438" t="s">
        <v>2678</v>
      </c>
      <c r="I1438" t="str">
        <f>INDEX(Genomes!$I:$I,(MATCH(AllProteins!H1438,Genomes!$B:$B,0)))</f>
        <v>AY386264-orf_virus</v>
      </c>
      <c r="J1438">
        <f>INDEX(Genomes!$A:$A,(MATCH(AllProteins!H1438,Genomes!$B:$B,0)))</f>
        <v>35</v>
      </c>
      <c r="K1438" t="str">
        <f>INDEX(Genomes!$J:$J,(MATCH(AllProteins!H1438,Genomes!$B:$B,0)))</f>
        <v>Y</v>
      </c>
    </row>
    <row r="1439" spans="1:11" x14ac:dyDescent="0.2">
      <c r="A1439">
        <f>INDEX(CoreProteinGroups!A:A,MATCH(B1439,CoreProteinGroups!B:B,0))</f>
        <v>25</v>
      </c>
      <c r="B1439" s="1" t="s">
        <v>2417</v>
      </c>
      <c r="C1439" t="str">
        <f>VLOOKUP(B1439,CoreProteinGroups!$B:$C,2,FALSE)</f>
        <v>IMV membrane protein</v>
      </c>
      <c r="D1439" t="s">
        <v>2492</v>
      </c>
      <c r="E1439" s="6" t="str">
        <f t="shared" si="22"/>
        <v>PROT:ABA00564.1</v>
      </c>
      <c r="F1439" t="s">
        <v>2493</v>
      </c>
      <c r="G1439" t="s">
        <v>2555</v>
      </c>
      <c r="H1439" t="s">
        <v>2645</v>
      </c>
      <c r="I1439" t="str">
        <f>INDEX(Genomes!$I:$I,(MATCH(AllProteins!H1439,Genomes!$B:$B,0)))</f>
        <v>DQ184476-orf_virus_strain_NZ2</v>
      </c>
      <c r="J1439">
        <f>INDEX(Genomes!$A:$A,(MATCH(AllProteins!H1439,Genomes!$B:$B,0)))</f>
        <v>36</v>
      </c>
      <c r="K1439" t="str">
        <f>INDEX(Genomes!$J:$J,(MATCH(AllProteins!H1439,Genomes!$B:$B,0)))</f>
        <v>N</v>
      </c>
    </row>
    <row r="1440" spans="1:11" x14ac:dyDescent="0.2">
      <c r="A1440">
        <f>INDEX(CoreProteinGroups!A:A,MATCH(B1440,CoreProteinGroups!B:B,0))</f>
        <v>25</v>
      </c>
      <c r="B1440" s="1" t="s">
        <v>2417</v>
      </c>
      <c r="C1440" t="str">
        <f>VLOOKUP(B1440,CoreProteinGroups!$B:$C,2,FALSE)</f>
        <v>IMV membrane protein</v>
      </c>
      <c r="D1440" t="s">
        <v>2494</v>
      </c>
      <c r="E1440" s="6" t="str">
        <f t="shared" si="22"/>
        <v>PROT:AIZ77298.1</v>
      </c>
      <c r="F1440" t="s">
        <v>2468</v>
      </c>
      <c r="G1440" t="s">
        <v>119</v>
      </c>
      <c r="H1440" t="s">
        <v>2684</v>
      </c>
      <c r="I1440" t="str">
        <f>INDEX(Genomes!$I:$I,(MATCH(AllProteins!H1440,Genomes!$B:$B,0)))</f>
        <v>KM502564-parapoxvirus_red_deer</v>
      </c>
      <c r="J1440">
        <f>INDEX(Genomes!$A:$A,(MATCH(AllProteins!H1440,Genomes!$B:$B,0)))</f>
        <v>42</v>
      </c>
      <c r="K1440" t="str">
        <f>INDEX(Genomes!$J:$J,(MATCH(AllProteins!H1440,Genomes!$B:$B,0)))</f>
        <v>Y</v>
      </c>
    </row>
    <row r="1441" spans="1:11" x14ac:dyDescent="0.2">
      <c r="A1441">
        <f>INDEX(CoreProteinGroups!A:A,MATCH(B1441,CoreProteinGroups!B:B,0))</f>
        <v>25</v>
      </c>
      <c r="B1441" s="1" t="s">
        <v>2417</v>
      </c>
      <c r="C1441" t="str">
        <f>VLOOKUP(B1441,CoreProteinGroups!$B:$C,2,FALSE)</f>
        <v>IMV membrane protein</v>
      </c>
      <c r="D1441" t="s">
        <v>2495</v>
      </c>
      <c r="E1441" s="6" t="str">
        <f t="shared" si="22"/>
        <v>PROT:ADC53948.1</v>
      </c>
      <c r="F1441" t="s">
        <v>2493</v>
      </c>
      <c r="G1441" t="s">
        <v>121</v>
      </c>
      <c r="H1441" t="s">
        <v>2679</v>
      </c>
      <c r="I1441" t="str">
        <f>INDEX(Genomes!$I:$I,(MATCH(AllProteins!H1441,Genomes!$B:$B,0)))</f>
        <v>GQ329670-pseudocowpox_virus</v>
      </c>
      <c r="J1441">
        <f>INDEX(Genomes!$A:$A,(MATCH(AllProteins!H1441,Genomes!$B:$B,0)))</f>
        <v>37</v>
      </c>
      <c r="K1441" t="str">
        <f>INDEX(Genomes!$J:$J,(MATCH(AllProteins!H1441,Genomes!$B:$B,0)))</f>
        <v>Y</v>
      </c>
    </row>
    <row r="1442" spans="1:11" x14ac:dyDescent="0.2">
      <c r="A1442">
        <f>INDEX(CoreProteinGroups!A:A,MATCH(B1442,CoreProteinGroups!B:B,0))</f>
        <v>25</v>
      </c>
      <c r="B1442" s="1" t="s">
        <v>2417</v>
      </c>
      <c r="C1442" t="str">
        <f>VLOOKUP(B1442,CoreProteinGroups!$B:$C,2,FALSE)</f>
        <v>IMV membrane protein</v>
      </c>
      <c r="D1442" t="s">
        <v>2496</v>
      </c>
      <c r="E1442" s="6" t="str">
        <f t="shared" si="22"/>
        <v>PROT:AAL69796.1</v>
      </c>
      <c r="F1442" t="s">
        <v>2497</v>
      </c>
      <c r="G1442" t="s">
        <v>124</v>
      </c>
      <c r="H1442" t="s">
        <v>2690</v>
      </c>
      <c r="I1442" t="str">
        <f>INDEX(Genomes!$I:$I,(MATCH(AllProteins!H1442,Genomes!$B:$B,0)))</f>
        <v>AF410153-swinepox_virus</v>
      </c>
      <c r="J1442">
        <f>INDEX(Genomes!$A:$A,(MATCH(AllProteins!H1442,Genomes!$B:$B,0)))</f>
        <v>49</v>
      </c>
      <c r="K1442" t="str">
        <f>INDEX(Genomes!$J:$J,(MATCH(AllProteins!H1442,Genomes!$B:$B,0)))</f>
        <v>Y</v>
      </c>
    </row>
    <row r="1443" spans="1:11" x14ac:dyDescent="0.2">
      <c r="A1443">
        <f>INDEX(CoreProteinGroups!A:A,MATCH(B1443,CoreProteinGroups!B:B,0))</f>
        <v>25</v>
      </c>
      <c r="B1443" s="1" t="s">
        <v>2417</v>
      </c>
      <c r="C1443" t="str">
        <f>VLOOKUP(B1443,CoreProteinGroups!$B:$C,2,FALSE)</f>
        <v>IMV membrane protein</v>
      </c>
      <c r="D1443" t="s">
        <v>2498</v>
      </c>
      <c r="E1443" s="6" t="str">
        <f t="shared" si="22"/>
        <v>PROT:CAC21298.1</v>
      </c>
      <c r="F1443" t="s">
        <v>2499</v>
      </c>
      <c r="G1443" t="s">
        <v>127</v>
      </c>
      <c r="H1443" t="s">
        <v>2699</v>
      </c>
      <c r="I1443" t="str">
        <f>INDEX(Genomes!$I:$I,(MATCH(AllProteins!H1443,Genomes!$B:$B,0)))</f>
        <v>AJ293568-tanapox_virus</v>
      </c>
      <c r="J1443">
        <f>INDEX(Genomes!$A:$A,(MATCH(AllProteins!H1443,Genomes!$B:$B,0)))</f>
        <v>58</v>
      </c>
      <c r="K1443" t="str">
        <f>INDEX(Genomes!$J:$J,(MATCH(AllProteins!H1443,Genomes!$B:$B,0)))</f>
        <v>Y</v>
      </c>
    </row>
    <row r="1444" spans="1:11" x14ac:dyDescent="0.2">
      <c r="A1444">
        <f>INDEX(CoreProteinGroups!A:A,MATCH(B1444,CoreProteinGroups!B:B,0))</f>
        <v>25</v>
      </c>
      <c r="B1444" s="1" t="s">
        <v>2417</v>
      </c>
      <c r="C1444" t="str">
        <f>VLOOKUP(B1444,CoreProteinGroups!$B:$C,2,FALSE)</f>
        <v>IMV membrane protein</v>
      </c>
      <c r="D1444" t="s">
        <v>2500</v>
      </c>
      <c r="E1444" s="6" t="str">
        <f t="shared" si="22"/>
        <v>PROT:AAR07416.1</v>
      </c>
      <c r="F1444" t="s">
        <v>2501</v>
      </c>
      <c r="G1444" t="s">
        <v>130</v>
      </c>
      <c r="H1444" t="s">
        <v>2700</v>
      </c>
      <c r="I1444" t="str">
        <f>INDEX(Genomes!$I:$I,(MATCH(AllProteins!H1444,Genomes!$B:$B,0)))</f>
        <v>AY386371-Yaba_monkey_tumor_virus</v>
      </c>
      <c r="J1444">
        <f>INDEX(Genomes!$A:$A,(MATCH(AllProteins!H1444,Genomes!$B:$B,0)))</f>
        <v>59</v>
      </c>
      <c r="K1444" t="str">
        <f>INDEX(Genomes!$J:$J,(MATCH(AllProteins!H1444,Genomes!$B:$B,0)))</f>
        <v>Y</v>
      </c>
    </row>
    <row r="1445" spans="1:11" x14ac:dyDescent="0.2">
      <c r="A1445">
        <f>INDEX(CoreProteinGroups!A:A,MATCH(B1445,CoreProteinGroups!B:B,0))</f>
        <v>25</v>
      </c>
      <c r="B1445" s="1" t="s">
        <v>2417</v>
      </c>
      <c r="C1445" t="str">
        <f>VLOOKUP(B1445,CoreProteinGroups!$B:$C,2,FALSE)</f>
        <v>IMV membrane protein</v>
      </c>
      <c r="D1445" t="s">
        <v>2502</v>
      </c>
      <c r="E1445" s="6" t="str">
        <f t="shared" si="22"/>
        <v>PROT:AAC97691.1</v>
      </c>
      <c r="F1445" t="s">
        <v>2503</v>
      </c>
      <c r="G1445" t="s">
        <v>133</v>
      </c>
      <c r="H1445" t="s">
        <v>2674</v>
      </c>
      <c r="I1445" t="str">
        <f>INDEX(Genomes!$I:$I,(MATCH(AllProteins!H1445,Genomes!$B:$B,0)))</f>
        <v>AF063866-Melanoplus_sanguinipes_entomopoxvirus</v>
      </c>
      <c r="J1445">
        <f>INDEX(Genomes!$A:$A,(MATCH(AllProteins!H1445,Genomes!$B:$B,0)))</f>
        <v>30</v>
      </c>
      <c r="K1445" t="str">
        <f>INDEX(Genomes!$J:$J,(MATCH(AllProteins!H1445,Genomes!$B:$B,0)))</f>
        <v>Y</v>
      </c>
    </row>
    <row r="1446" spans="1:11" x14ac:dyDescent="0.2">
      <c r="A1446">
        <f>INDEX(CoreProteinGroups!A:A,MATCH(B1446,CoreProteinGroups!B:B,0))</f>
        <v>25</v>
      </c>
      <c r="B1446" s="1" t="s">
        <v>2417</v>
      </c>
      <c r="C1446" t="str">
        <f>VLOOKUP(B1446,CoreProteinGroups!$B:$C,2,FALSE)</f>
        <v>IMV membrane protein</v>
      </c>
      <c r="D1446" t="s">
        <v>2504</v>
      </c>
      <c r="E1446" s="6" t="str">
        <f t="shared" si="22"/>
        <v>PROT:BAO49457.1</v>
      </c>
      <c r="F1446" t="s">
        <v>2505</v>
      </c>
      <c r="G1446" t="s">
        <v>136</v>
      </c>
      <c r="H1446" t="s">
        <v>2648</v>
      </c>
      <c r="I1446" t="str">
        <f>INDEX(Genomes!$I:$I,(MATCH(AllProteins!H1446,Genomes!$B:$B,0)))</f>
        <v>AP013055-Anomala_cuprea_entomopoxvirus</v>
      </c>
      <c r="J1446">
        <f>INDEX(Genomes!$A:$A,(MATCH(AllProteins!H1446,Genomes!$B:$B,0)))</f>
        <v>2</v>
      </c>
      <c r="K1446" t="str">
        <f>INDEX(Genomes!$J:$J,(MATCH(AllProteins!H1446,Genomes!$B:$B,0)))</f>
        <v>Y</v>
      </c>
    </row>
    <row r="1447" spans="1:11" x14ac:dyDescent="0.2">
      <c r="A1447">
        <f>INDEX(CoreProteinGroups!A:A,MATCH(B1447,CoreProteinGroups!B:B,0))</f>
        <v>25</v>
      </c>
      <c r="B1447" s="1" t="s">
        <v>2417</v>
      </c>
      <c r="C1447" t="str">
        <f>VLOOKUP(B1447,CoreProteinGroups!$B:$C,2,FALSE)</f>
        <v>IMV membrane protein</v>
      </c>
      <c r="D1447" t="s">
        <v>2506</v>
      </c>
      <c r="E1447" s="6" t="str">
        <f t="shared" si="22"/>
        <v>PROT:CCU55456.1</v>
      </c>
      <c r="F1447" t="s">
        <v>2507</v>
      </c>
      <c r="G1447" t="s">
        <v>138</v>
      </c>
      <c r="H1447" t="s">
        <v>2649</v>
      </c>
      <c r="I1447" t="str">
        <f>INDEX(Genomes!$I:$I,(MATCH(AllProteins!H1447,Genomes!$B:$B,0)))</f>
        <v>HF679131-Adoxophyes_honmai_entomopoxvirus</v>
      </c>
      <c r="J1447">
        <f>INDEX(Genomes!$A:$A,(MATCH(AllProteins!H1447,Genomes!$B:$B,0)))</f>
        <v>3</v>
      </c>
      <c r="K1447" t="str">
        <f>INDEX(Genomes!$J:$J,(MATCH(AllProteins!H1447,Genomes!$B:$B,0)))</f>
        <v>Y</v>
      </c>
    </row>
    <row r="1448" spans="1:11" x14ac:dyDescent="0.2">
      <c r="A1448">
        <f>INDEX(CoreProteinGroups!A:A,MATCH(B1448,CoreProteinGroups!B:B,0))</f>
        <v>25</v>
      </c>
      <c r="B1448" s="1" t="s">
        <v>2417</v>
      </c>
      <c r="C1448" t="str">
        <f>VLOOKUP(B1448,CoreProteinGroups!$B:$C,2,FALSE)</f>
        <v>IMV membrane protein</v>
      </c>
      <c r="D1448" t="s">
        <v>2508</v>
      </c>
      <c r="E1448" s="6" t="str">
        <f t="shared" si="22"/>
        <v>PROT:AAG02923.1</v>
      </c>
      <c r="F1448" t="s">
        <v>2509</v>
      </c>
      <c r="G1448" t="s">
        <v>141</v>
      </c>
      <c r="H1448" t="s">
        <v>2651</v>
      </c>
      <c r="I1448" t="str">
        <f>INDEX(Genomes!$I:$I,(MATCH(AllProteins!H1448,Genomes!$B:$B,0)))</f>
        <v>AF250284-Amsacta_moorei_entomopoxvirus</v>
      </c>
      <c r="J1448">
        <f>INDEX(Genomes!$A:$A,(MATCH(AllProteins!H1448,Genomes!$B:$B,0)))</f>
        <v>5</v>
      </c>
      <c r="K1448" t="str">
        <f>INDEX(Genomes!$J:$J,(MATCH(AllProteins!H1448,Genomes!$B:$B,0)))</f>
        <v>Y</v>
      </c>
    </row>
    <row r="1449" spans="1:11" x14ac:dyDescent="0.2">
      <c r="A1449">
        <f>INDEX(CoreProteinGroups!A:A,MATCH(B1449,CoreProteinGroups!B:B,0))</f>
        <v>25</v>
      </c>
      <c r="B1449" s="1" t="s">
        <v>2417</v>
      </c>
      <c r="C1449" t="str">
        <f>VLOOKUP(B1449,CoreProteinGroups!$B:$C,2,FALSE)</f>
        <v>IMV membrane protein</v>
      </c>
      <c r="D1449" t="s">
        <v>2510</v>
      </c>
      <c r="E1449" s="6" t="str">
        <f t="shared" si="22"/>
        <v>PROT:CCU55814.1</v>
      </c>
      <c r="F1449" t="s">
        <v>2507</v>
      </c>
      <c r="G1449" t="s">
        <v>143</v>
      </c>
      <c r="H1449" t="s">
        <v>2656</v>
      </c>
      <c r="I1449" t="str">
        <f>INDEX(Genomes!$I:$I,(MATCH(AllProteins!H1449,Genomes!$B:$B,0)))</f>
        <v>HF679132-Choristoneura_biennis_entomopoxvirus</v>
      </c>
      <c r="J1449">
        <f>INDEX(Genomes!$A:$A,(MATCH(AllProteins!H1449,Genomes!$B:$B,0)))</f>
        <v>10</v>
      </c>
      <c r="K1449" t="str">
        <f>INDEX(Genomes!$J:$J,(MATCH(AllProteins!H1449,Genomes!$B:$B,0)))</f>
        <v>Y</v>
      </c>
    </row>
    <row r="1450" spans="1:11" x14ac:dyDescent="0.2">
      <c r="A1450">
        <f>INDEX(CoreProteinGroups!A:A,MATCH(B1450,CoreProteinGroups!B:B,0))</f>
        <v>25</v>
      </c>
      <c r="B1450" s="1" t="s">
        <v>2417</v>
      </c>
      <c r="C1450" t="str">
        <f>VLOOKUP(B1450,CoreProteinGroups!$B:$C,2,FALSE)</f>
        <v>IMV membrane protein</v>
      </c>
      <c r="D1450" t="s">
        <v>2511</v>
      </c>
      <c r="E1450" s="6" t="str">
        <f t="shared" si="22"/>
        <v>PROT:CCU56113.1</v>
      </c>
      <c r="F1450" t="s">
        <v>2507</v>
      </c>
      <c r="G1450" t="s">
        <v>145</v>
      </c>
      <c r="H1450" t="s">
        <v>2660</v>
      </c>
      <c r="I1450" t="str">
        <f>INDEX(Genomes!$I:$I,(MATCH(AllProteins!H1450,Genomes!$B:$B,0)))</f>
        <v>HF679133-Choristoneura_rosaceana_entomopoxvirus</v>
      </c>
      <c r="J1450">
        <f>INDEX(Genomes!$A:$A,(MATCH(AllProteins!H1450,Genomes!$B:$B,0)))</f>
        <v>14</v>
      </c>
      <c r="K1450" t="str">
        <f>INDEX(Genomes!$J:$J,(MATCH(AllProteins!H1450,Genomes!$B:$B,0)))</f>
        <v>Y</v>
      </c>
    </row>
    <row r="1451" spans="1:11" x14ac:dyDescent="0.2">
      <c r="A1451">
        <f>INDEX(CoreProteinGroups!A:A,MATCH(B1451,CoreProteinGroups!B:B,0))</f>
        <v>25</v>
      </c>
      <c r="B1451" s="1" t="s">
        <v>2417</v>
      </c>
      <c r="C1451" t="str">
        <f>VLOOKUP(B1451,CoreProteinGroups!$B:$C,2,FALSE)</f>
        <v>IMV membrane protein</v>
      </c>
      <c r="D1451" t="s">
        <v>2512</v>
      </c>
      <c r="E1451" s="6" t="str">
        <f t="shared" si="22"/>
        <v>PROT:CCU56438.1</v>
      </c>
      <c r="F1451" t="s">
        <v>2507</v>
      </c>
      <c r="G1451" t="s">
        <v>147</v>
      </c>
      <c r="H1451" t="s">
        <v>2675</v>
      </c>
      <c r="I1451" t="str">
        <f>INDEX(Genomes!$I:$I,(MATCH(AllProteins!H1451,Genomes!$B:$B,0)))</f>
        <v>HF679134-Mythimna_separata_entomopoxvirus</v>
      </c>
      <c r="J1451">
        <f>INDEX(Genomes!$A:$A,(MATCH(AllProteins!H1451,Genomes!$B:$B,0)))</f>
        <v>31</v>
      </c>
      <c r="K1451" t="str">
        <f>INDEX(Genomes!$J:$J,(MATCH(AllProteins!H1451,Genomes!$B:$B,0)))</f>
        <v>Y</v>
      </c>
    </row>
    <row r="1452" spans="1:11" x14ac:dyDescent="0.2">
      <c r="A1452">
        <f>INDEX(CoreProteinGroups!A:A,MATCH(B1452,CoreProteinGroups!B:B,0))</f>
        <v>1</v>
      </c>
      <c r="B1452" t="s">
        <v>7</v>
      </c>
      <c r="C1452" t="str">
        <f>VLOOKUP(B1452,CoreProteinGroups!$B:$C,2,FALSE)</f>
        <v>DNA helicase</v>
      </c>
      <c r="D1452" s="5" t="s">
        <v>2513</v>
      </c>
      <c r="E1452" s="6" t="str">
        <f t="shared" si="22"/>
        <v>PROT:ATI21056.1</v>
      </c>
      <c r="G1452" t="s">
        <v>2514</v>
      </c>
      <c r="H1452" t="s">
        <v>2697</v>
      </c>
      <c r="I1452" t="str">
        <f>INDEX(Genomes!$I:$I,(MATCH(AllProteins!H1452,Genomes!$B:$B,0)))</f>
        <v>MF467280-Western_grey_kangaroopox_virus</v>
      </c>
      <c r="J1452">
        <f>INDEX(Genomes!$A:$A,(MATCH(AllProteins!H1452,Genomes!$B:$B,0)))</f>
        <v>56</v>
      </c>
      <c r="K1452" t="str">
        <f>INDEX(Genomes!$J:$J,(MATCH(AllProteins!H1452,Genomes!$B:$B,0)))</f>
        <v>Y</v>
      </c>
    </row>
    <row r="1453" spans="1:11" x14ac:dyDescent="0.2">
      <c r="A1453">
        <f>INDEX(CoreProteinGroups!A:A,MATCH(B1453,CoreProteinGroups!B:B,0))</f>
        <v>2</v>
      </c>
      <c r="B1453" t="s">
        <v>251</v>
      </c>
      <c r="C1453" t="str">
        <f>VLOOKUP(B1453,CoreProteinGroups!$B:$C,2,FALSE)</f>
        <v>holliday junction resolvase</v>
      </c>
      <c r="D1453" s="5" t="s">
        <v>2515</v>
      </c>
      <c r="E1453" s="6" t="str">
        <f t="shared" si="22"/>
        <v>PROT:ATI21060.1</v>
      </c>
      <c r="G1453" t="s">
        <v>2514</v>
      </c>
      <c r="H1453" t="s">
        <v>2697</v>
      </c>
      <c r="I1453" t="str">
        <f>INDEX(Genomes!$I:$I,(MATCH(AllProteins!H1453,Genomes!$B:$B,0)))</f>
        <v>MF467280-Western_grey_kangaroopox_virus</v>
      </c>
      <c r="J1453">
        <f>INDEX(Genomes!$A:$A,(MATCH(AllProteins!H1453,Genomes!$B:$B,0)))</f>
        <v>56</v>
      </c>
      <c r="K1453" t="str">
        <f>INDEX(Genomes!$J:$J,(MATCH(AllProteins!H1453,Genomes!$B:$B,0)))</f>
        <v>Y</v>
      </c>
    </row>
    <row r="1454" spans="1:11" x14ac:dyDescent="0.2">
      <c r="A1454">
        <f>INDEX(CoreProteinGroups!A:A,MATCH(B1454,CoreProteinGroups!B:B,0))</f>
        <v>3</v>
      </c>
      <c r="B1454" t="s">
        <v>349</v>
      </c>
      <c r="C1454" t="str">
        <f>VLOOKUP(B1454,CoreProteinGroups!$B:$C,2,FALSE)</f>
        <v>VITF-3</v>
      </c>
      <c r="D1454" s="5" t="s">
        <v>2516</v>
      </c>
      <c r="E1454" s="6" t="str">
        <f t="shared" si="22"/>
        <v>PROT:ATI21061.1</v>
      </c>
      <c r="G1454" t="s">
        <v>2514</v>
      </c>
      <c r="H1454" t="s">
        <v>2697</v>
      </c>
      <c r="I1454" t="str">
        <f>INDEX(Genomes!$I:$I,(MATCH(AllProteins!H1454,Genomes!$B:$B,0)))</f>
        <v>MF467280-Western_grey_kangaroopox_virus</v>
      </c>
      <c r="J1454">
        <f>INDEX(Genomes!$A:$A,(MATCH(AllProteins!H1454,Genomes!$B:$B,0)))</f>
        <v>56</v>
      </c>
      <c r="K1454" t="str">
        <f>INDEX(Genomes!$J:$J,(MATCH(AllProteins!H1454,Genomes!$B:$B,0)))</f>
        <v>Y</v>
      </c>
    </row>
    <row r="1455" spans="1:11" x14ac:dyDescent="0.2">
      <c r="A1455">
        <f>INDEX(CoreProteinGroups!A:A,MATCH(B1455,CoreProteinGroups!B:B,0))</f>
        <v>4</v>
      </c>
      <c r="B1455" t="s">
        <v>451</v>
      </c>
      <c r="C1455" t="str">
        <f>VLOOKUP(B1455,CoreProteinGroups!$B:$C,2,FALSE)</f>
        <v>RPO132</v>
      </c>
      <c r="D1455" s="5" t="s">
        <v>2517</v>
      </c>
      <c r="E1455" s="6" t="str">
        <f t="shared" si="22"/>
        <v>PROT:ATI21062.1</v>
      </c>
      <c r="G1455" t="s">
        <v>2514</v>
      </c>
      <c r="H1455" t="s">
        <v>2697</v>
      </c>
      <c r="I1455" t="str">
        <f>INDEX(Genomes!$I:$I,(MATCH(AllProteins!H1455,Genomes!$B:$B,0)))</f>
        <v>MF467280-Western_grey_kangaroopox_virus</v>
      </c>
      <c r="J1455">
        <f>INDEX(Genomes!$A:$A,(MATCH(AllProteins!H1455,Genomes!$B:$B,0)))</f>
        <v>56</v>
      </c>
      <c r="K1455" t="str">
        <f>INDEX(Genomes!$J:$J,(MATCH(AllProteins!H1455,Genomes!$B:$B,0)))</f>
        <v>Y</v>
      </c>
    </row>
    <row r="1456" spans="1:11" x14ac:dyDescent="0.2">
      <c r="A1456">
        <f>INDEX(CoreProteinGroups!A:A,MATCH(B1456,CoreProteinGroups!B:B,0))</f>
        <v>5</v>
      </c>
      <c r="B1456" t="s">
        <v>547</v>
      </c>
      <c r="C1456" t="str">
        <f>VLOOKUP(B1456,CoreProteinGroups!$B:$C,2,FALSE)</f>
        <v>IMV-MP</v>
      </c>
      <c r="D1456" s="5" t="s">
        <v>2518</v>
      </c>
      <c r="E1456" s="6" t="str">
        <f t="shared" si="22"/>
        <v>PROT:ATI21067.1</v>
      </c>
      <c r="G1456" t="s">
        <v>2514</v>
      </c>
      <c r="H1456" t="s">
        <v>2697</v>
      </c>
      <c r="I1456" t="str">
        <f>INDEX(Genomes!$I:$I,(MATCH(AllProteins!H1456,Genomes!$B:$B,0)))</f>
        <v>MF467280-Western_grey_kangaroopox_virus</v>
      </c>
      <c r="J1456">
        <f>INDEX(Genomes!$A:$A,(MATCH(AllProteins!H1456,Genomes!$B:$B,0)))</f>
        <v>56</v>
      </c>
      <c r="K1456" t="str">
        <f>INDEX(Genomes!$J:$J,(MATCH(AllProteins!H1456,Genomes!$B:$B,0)))</f>
        <v>Y</v>
      </c>
    </row>
    <row r="1457" spans="1:11" x14ac:dyDescent="0.2">
      <c r="A1457">
        <f>INDEX(CoreProteinGroups!A:A,MATCH(B1457,CoreProteinGroups!B:B,0))</f>
        <v>6</v>
      </c>
      <c r="B1457" t="s">
        <v>154</v>
      </c>
      <c r="C1457" t="str">
        <f>VLOOKUP(B1457,CoreProteinGroups!$B:$C,2,FALSE)</f>
        <v>VLTF-3</v>
      </c>
      <c r="D1457" s="5" t="s">
        <v>2519</v>
      </c>
      <c r="E1457" s="6" t="str">
        <f t="shared" si="22"/>
        <v>PROT:ATI21037.1</v>
      </c>
      <c r="G1457" t="s">
        <v>2514</v>
      </c>
      <c r="H1457" t="s">
        <v>2697</v>
      </c>
      <c r="I1457" t="str">
        <f>INDEX(Genomes!$I:$I,(MATCH(AllProteins!H1457,Genomes!$B:$B,0)))</f>
        <v>MF467280-Western_grey_kangaroopox_virus</v>
      </c>
      <c r="J1457">
        <f>INDEX(Genomes!$A:$A,(MATCH(AllProteins!H1457,Genomes!$B:$B,0)))</f>
        <v>56</v>
      </c>
      <c r="K1457" t="str">
        <f>INDEX(Genomes!$J:$J,(MATCH(AllProteins!H1457,Genomes!$B:$B,0)))</f>
        <v>Y</v>
      </c>
    </row>
    <row r="1458" spans="1:11" x14ac:dyDescent="0.2">
      <c r="A1458">
        <f>INDEX(CoreProteinGroups!A:A,MATCH(B1458,CoreProteinGroups!B:B,0))</f>
        <v>7</v>
      </c>
      <c r="B1458" t="s">
        <v>750</v>
      </c>
      <c r="C1458" t="str">
        <f>VLOOKUP(B1458,CoreProteinGroups!$B:$C,2,FALSE)</f>
        <v>ATPase DNA packaging protein</v>
      </c>
      <c r="D1458" s="5" t="s">
        <v>2520</v>
      </c>
      <c r="E1458" s="6" t="str">
        <f t="shared" si="22"/>
        <v>PROT:ATI21073.1</v>
      </c>
      <c r="G1458" t="s">
        <v>2514</v>
      </c>
      <c r="H1458" t="s">
        <v>2697</v>
      </c>
      <c r="I1458" t="str">
        <f>INDEX(Genomes!$I:$I,(MATCH(AllProteins!H1458,Genomes!$B:$B,0)))</f>
        <v>MF467280-Western_grey_kangaroopox_virus</v>
      </c>
      <c r="J1458">
        <f>INDEX(Genomes!$A:$A,(MATCH(AllProteins!H1458,Genomes!$B:$B,0)))</f>
        <v>56</v>
      </c>
      <c r="K1458" t="str">
        <f>INDEX(Genomes!$J:$J,(MATCH(AllProteins!H1458,Genomes!$B:$B,0)))</f>
        <v>Y</v>
      </c>
    </row>
    <row r="1459" spans="1:11" x14ac:dyDescent="0.2">
      <c r="A1459">
        <f>INDEX(CoreProteinGroups!A:A,MATCH(B1459,CoreProteinGroups!B:B,0))</f>
        <v>8</v>
      </c>
      <c r="B1459" t="s">
        <v>651</v>
      </c>
      <c r="C1459" t="str">
        <f>VLOOKUP(B1459,CoreProteinGroups!$B:$C,2,FALSE)</f>
        <v>P4b</v>
      </c>
      <c r="D1459" s="5" t="s">
        <v>2521</v>
      </c>
      <c r="E1459" s="6" t="str">
        <f t="shared" si="22"/>
        <v>PROT:ATI21039.1</v>
      </c>
      <c r="G1459" t="s">
        <v>2514</v>
      </c>
      <c r="H1459" t="s">
        <v>2697</v>
      </c>
      <c r="I1459" t="str">
        <f>INDEX(Genomes!$I:$I,(MATCH(AllProteins!H1459,Genomes!$B:$B,0)))</f>
        <v>MF467280-Western_grey_kangaroopox_virus</v>
      </c>
      <c r="J1459">
        <f>INDEX(Genomes!$A:$A,(MATCH(AllProteins!H1459,Genomes!$B:$B,0)))</f>
        <v>56</v>
      </c>
      <c r="K1459" t="str">
        <f>INDEX(Genomes!$J:$J,(MATCH(AllProteins!H1459,Genomes!$B:$B,0)))</f>
        <v>Y</v>
      </c>
    </row>
    <row r="1460" spans="1:11" x14ac:dyDescent="0.2">
      <c r="A1460">
        <f>INDEX(CoreProteinGroups!A:A,MATCH(B1460,CoreProteinGroups!B:B,0))</f>
        <v>9</v>
      </c>
      <c r="B1460" t="s">
        <v>848</v>
      </c>
      <c r="C1460" t="str">
        <f>VLOOKUP(B1460,CoreProteinGroups!$B:$C,2,FALSE)</f>
        <v>VETF-L</v>
      </c>
      <c r="D1460" s="5" t="s">
        <v>2522</v>
      </c>
      <c r="E1460" s="6" t="str">
        <f t="shared" si="22"/>
        <v>PROT:ATI21043.1</v>
      </c>
      <c r="G1460" t="s">
        <v>2514</v>
      </c>
      <c r="H1460" t="s">
        <v>2697</v>
      </c>
      <c r="I1460" t="str">
        <f>INDEX(Genomes!$I:$I,(MATCH(AllProteins!H1460,Genomes!$B:$B,0)))</f>
        <v>MF467280-Western_grey_kangaroopox_virus</v>
      </c>
      <c r="J1460">
        <f>INDEX(Genomes!$A:$A,(MATCH(AllProteins!H1460,Genomes!$B:$B,0)))</f>
        <v>56</v>
      </c>
      <c r="K1460" t="str">
        <f>INDEX(Genomes!$J:$J,(MATCH(AllProteins!H1460,Genomes!$B:$B,0)))</f>
        <v>Y</v>
      </c>
    </row>
    <row r="1461" spans="1:11" x14ac:dyDescent="0.2">
      <c r="A1461">
        <f>INDEX(CoreProteinGroups!A:A,MATCH(B1461,CoreProteinGroups!B:B,0))</f>
        <v>10</v>
      </c>
      <c r="B1461" t="s">
        <v>1045</v>
      </c>
      <c r="C1461" t="str">
        <f>VLOOKUP(B1461,CoreProteinGroups!$B:$C,2,FALSE)</f>
        <v>NPH-I</v>
      </c>
      <c r="D1461" s="5" t="s">
        <v>2523</v>
      </c>
      <c r="E1461" s="6" t="str">
        <f t="shared" si="22"/>
        <v>PROT:ATI21033.1</v>
      </c>
      <c r="G1461" t="s">
        <v>2514</v>
      </c>
      <c r="H1461" t="s">
        <v>2697</v>
      </c>
      <c r="I1461" t="str">
        <f>INDEX(Genomes!$I:$I,(MATCH(AllProteins!H1461,Genomes!$B:$B,0)))</f>
        <v>MF467280-Western_grey_kangaroopox_virus</v>
      </c>
      <c r="J1461">
        <f>INDEX(Genomes!$A:$A,(MATCH(AllProteins!H1461,Genomes!$B:$B,0)))</f>
        <v>56</v>
      </c>
      <c r="K1461" t="str">
        <f>INDEX(Genomes!$J:$J,(MATCH(AllProteins!H1461,Genomes!$B:$B,0)))</f>
        <v>Y</v>
      </c>
    </row>
    <row r="1462" spans="1:11" x14ac:dyDescent="0.2">
      <c r="A1462">
        <f>INDEX(CoreProteinGroups!A:A,MATCH(B1462,CoreProteinGroups!B:B,0))</f>
        <v>11</v>
      </c>
      <c r="B1462" t="s">
        <v>1145</v>
      </c>
      <c r="C1462" t="str">
        <f>VLOOKUP(B1462,CoreProteinGroups!$B:$C,2,FALSE)</f>
        <v>small capping enzyme</v>
      </c>
      <c r="D1462" s="5" t="s">
        <v>2524</v>
      </c>
      <c r="E1462" s="6" t="str">
        <f t="shared" si="22"/>
        <v>PROT:ATI21034.1</v>
      </c>
      <c r="G1462" t="s">
        <v>2514</v>
      </c>
      <c r="H1462" t="s">
        <v>2697</v>
      </c>
      <c r="I1462" t="str">
        <f>INDEX(Genomes!$I:$I,(MATCH(AllProteins!H1462,Genomes!$B:$B,0)))</f>
        <v>MF467280-Western_grey_kangaroopox_virus</v>
      </c>
      <c r="J1462">
        <f>INDEX(Genomes!$A:$A,(MATCH(AllProteins!H1462,Genomes!$B:$B,0)))</f>
        <v>56</v>
      </c>
      <c r="K1462" t="str">
        <f>INDEX(Genomes!$J:$J,(MATCH(AllProteins!H1462,Genomes!$B:$B,0)))</f>
        <v>Y</v>
      </c>
    </row>
    <row r="1463" spans="1:11" x14ac:dyDescent="0.2">
      <c r="A1463">
        <f>INDEX(CoreProteinGroups!A:A,MATCH(B1463,CoreProteinGroups!B:B,0))</f>
        <v>12</v>
      </c>
      <c r="B1463" t="s">
        <v>949</v>
      </c>
      <c r="C1463" t="str">
        <f>VLOOKUP(B1463,CoreProteinGroups!$B:$C,2,FALSE)</f>
        <v>large capping enzyme</v>
      </c>
      <c r="D1463" s="5" t="s">
        <v>2525</v>
      </c>
      <c r="E1463" s="6" t="str">
        <f t="shared" si="22"/>
        <v>PROT:ATI21024.1</v>
      </c>
      <c r="G1463" t="s">
        <v>2514</v>
      </c>
      <c r="H1463" t="s">
        <v>2697</v>
      </c>
      <c r="I1463" t="str">
        <f>INDEX(Genomes!$I:$I,(MATCH(AllProteins!H1463,Genomes!$B:$B,0)))</f>
        <v>MF467280-Western_grey_kangaroopox_virus</v>
      </c>
      <c r="J1463">
        <f>INDEX(Genomes!$A:$A,(MATCH(AllProteins!H1463,Genomes!$B:$B,0)))</f>
        <v>56</v>
      </c>
      <c r="K1463" t="str">
        <f>INDEX(Genomes!$J:$J,(MATCH(AllProteins!H1463,Genomes!$B:$B,0)))</f>
        <v>Y</v>
      </c>
    </row>
    <row r="1464" spans="1:11" x14ac:dyDescent="0.2">
      <c r="A1464">
        <f>INDEX(CoreProteinGroups!A:A,MATCH(B1464,CoreProteinGroups!B:B,0))</f>
        <v>13</v>
      </c>
      <c r="B1464" t="s">
        <v>1238</v>
      </c>
      <c r="C1464" t="str">
        <f>VLOOKUP(B1464,CoreProteinGroups!$B:$C,2,FALSE)</f>
        <v>NTPase</v>
      </c>
      <c r="D1464" s="5" t="s">
        <v>2526</v>
      </c>
      <c r="E1464" s="6" t="str">
        <f t="shared" si="22"/>
        <v>PROT:ATI21028.1</v>
      </c>
      <c r="G1464" t="s">
        <v>2514</v>
      </c>
      <c r="H1464" t="s">
        <v>2697</v>
      </c>
      <c r="I1464" t="str">
        <f>INDEX(Genomes!$I:$I,(MATCH(AllProteins!H1464,Genomes!$B:$B,0)))</f>
        <v>MF467280-Western_grey_kangaroopox_virus</v>
      </c>
      <c r="J1464">
        <f>INDEX(Genomes!$A:$A,(MATCH(AllProteins!H1464,Genomes!$B:$B,0)))</f>
        <v>56</v>
      </c>
      <c r="K1464" t="str">
        <f>INDEX(Genomes!$J:$J,(MATCH(AllProteins!H1464,Genomes!$B:$B,0)))</f>
        <v>Y</v>
      </c>
    </row>
    <row r="1465" spans="1:11" x14ac:dyDescent="0.2">
      <c r="A1465">
        <f>INDEX(CoreProteinGroups!A:A,MATCH(B1465,CoreProteinGroups!B:B,0))</f>
        <v>14</v>
      </c>
      <c r="B1465" t="s">
        <v>1332</v>
      </c>
      <c r="C1465" t="str">
        <f>VLOOKUP(B1465,CoreProteinGroups!$B:$C,2,FALSE)</f>
        <v>VETF-S</v>
      </c>
      <c r="D1465" s="5" t="s">
        <v>2527</v>
      </c>
      <c r="E1465" s="6" t="str">
        <f t="shared" si="22"/>
        <v>PROT:ATI21029.1</v>
      </c>
      <c r="G1465" t="s">
        <v>2514</v>
      </c>
      <c r="H1465" t="s">
        <v>2697</v>
      </c>
      <c r="I1465" t="str">
        <f>INDEX(Genomes!$I:$I,(MATCH(AllProteins!H1465,Genomes!$B:$B,0)))</f>
        <v>MF467280-Western_grey_kangaroopox_virus</v>
      </c>
      <c r="J1465">
        <f>INDEX(Genomes!$A:$A,(MATCH(AllProteins!H1465,Genomes!$B:$B,0)))</f>
        <v>56</v>
      </c>
      <c r="K1465" t="str">
        <f>INDEX(Genomes!$J:$J,(MATCH(AllProteins!H1465,Genomes!$B:$B,0)))</f>
        <v>Y</v>
      </c>
    </row>
    <row r="1466" spans="1:11" x14ac:dyDescent="0.2">
      <c r="A1466">
        <f>INDEX(CoreProteinGroups!A:A,MATCH(B1466,CoreProteinGroups!B:B,0))</f>
        <v>15</v>
      </c>
      <c r="B1466" t="s">
        <v>1539</v>
      </c>
      <c r="C1466" t="str">
        <f>VLOOKUP(B1466,CoreProteinGroups!$B:$C,2,FALSE)</f>
        <v>sulfhydryl oxidase</v>
      </c>
      <c r="D1466" s="5" t="s">
        <v>2528</v>
      </c>
      <c r="E1466" s="6" t="str">
        <f t="shared" si="22"/>
        <v>PROT:ATI20982.1</v>
      </c>
      <c r="G1466" t="s">
        <v>2514</v>
      </c>
      <c r="H1466" t="s">
        <v>2697</v>
      </c>
      <c r="I1466" t="str">
        <f>INDEX(Genomes!$I:$I,(MATCH(AllProteins!H1466,Genomes!$B:$B,0)))</f>
        <v>MF467280-Western_grey_kangaroopox_virus</v>
      </c>
      <c r="J1466">
        <f>INDEX(Genomes!$A:$A,(MATCH(AllProteins!H1466,Genomes!$B:$B,0)))</f>
        <v>56</v>
      </c>
      <c r="K1466" t="str">
        <f>INDEX(Genomes!$J:$J,(MATCH(AllProteins!H1466,Genomes!$B:$B,0)))</f>
        <v>Y</v>
      </c>
    </row>
    <row r="1467" spans="1:11" x14ac:dyDescent="0.2">
      <c r="A1467">
        <f>INDEX(CoreProteinGroups!A:A,MATCH(B1467,CoreProteinGroups!B:B,0))</f>
        <v>16</v>
      </c>
      <c r="B1467" t="s">
        <v>1435</v>
      </c>
      <c r="C1467" t="str">
        <f>VLOOKUP(B1467,CoreProteinGroups!$B:$C,2,FALSE)</f>
        <v>polyA polymerase large</v>
      </c>
      <c r="D1467" s="5" t="s">
        <v>2529</v>
      </c>
      <c r="E1467" s="6" t="str">
        <f t="shared" si="22"/>
        <v>PROT:ATI20974.1</v>
      </c>
      <c r="G1467" t="s">
        <v>2514</v>
      </c>
      <c r="H1467" t="s">
        <v>2697</v>
      </c>
      <c r="I1467" t="str">
        <f>INDEX(Genomes!$I:$I,(MATCH(AllProteins!H1467,Genomes!$B:$B,0)))</f>
        <v>MF467280-Western_grey_kangaroopox_virus</v>
      </c>
      <c r="J1467">
        <f>INDEX(Genomes!$A:$A,(MATCH(AllProteins!H1467,Genomes!$B:$B,0)))</f>
        <v>56</v>
      </c>
      <c r="K1467" t="str">
        <f>INDEX(Genomes!$J:$J,(MATCH(AllProteins!H1467,Genomes!$B:$B,0)))</f>
        <v>Y</v>
      </c>
    </row>
    <row r="1468" spans="1:11" x14ac:dyDescent="0.2">
      <c r="A1468">
        <f>INDEX(CoreProteinGroups!A:A,MATCH(B1468,CoreProteinGroups!B:B,0))</f>
        <v>17</v>
      </c>
      <c r="B1468" t="s">
        <v>1636</v>
      </c>
      <c r="C1468" t="str">
        <f>VLOOKUP(B1468,CoreProteinGroups!$B:$C,2,FALSE)</f>
        <v>DNA-polymerase</v>
      </c>
      <c r="D1468" s="5" t="s">
        <v>2530</v>
      </c>
      <c r="E1468" s="6" t="str">
        <f t="shared" si="22"/>
        <v>PROT:ATI20981.1</v>
      </c>
      <c r="G1468" t="s">
        <v>2514</v>
      </c>
      <c r="H1468" t="s">
        <v>2697</v>
      </c>
      <c r="I1468" t="str">
        <f>INDEX(Genomes!$I:$I,(MATCH(AllProteins!H1468,Genomes!$B:$B,0)))</f>
        <v>MF467280-Western_grey_kangaroopox_virus</v>
      </c>
      <c r="J1468">
        <f>INDEX(Genomes!$A:$A,(MATCH(AllProteins!H1468,Genomes!$B:$B,0)))</f>
        <v>56</v>
      </c>
      <c r="K1468" t="str">
        <f>INDEX(Genomes!$J:$J,(MATCH(AllProteins!H1468,Genomes!$B:$B,0)))</f>
        <v>Y</v>
      </c>
    </row>
    <row r="1469" spans="1:11" x14ac:dyDescent="0.2">
      <c r="A1469">
        <f>INDEX(CoreProteinGroups!A:A,MATCH(B1469,CoreProteinGroups!B:B,0))</f>
        <v>18</v>
      </c>
      <c r="B1469" t="s">
        <v>1723</v>
      </c>
      <c r="C1469" t="str">
        <f>VLOOKUP(B1469,CoreProteinGroups!$B:$C,2,FALSE)</f>
        <v>FEN1</v>
      </c>
      <c r="D1469" s="5" t="s">
        <v>2531</v>
      </c>
      <c r="E1469" s="6" t="str">
        <f t="shared" si="22"/>
        <v>PROT:ATI20998.1</v>
      </c>
      <c r="G1469" t="s">
        <v>2514</v>
      </c>
      <c r="H1469" t="s">
        <v>2697</v>
      </c>
      <c r="I1469" t="str">
        <f>INDEX(Genomes!$I:$I,(MATCH(AllProteins!H1469,Genomes!$B:$B,0)))</f>
        <v>MF467280-Western_grey_kangaroopox_virus</v>
      </c>
      <c r="J1469">
        <f>INDEX(Genomes!$A:$A,(MATCH(AllProteins!H1469,Genomes!$B:$B,0)))</f>
        <v>56</v>
      </c>
      <c r="K1469" t="str">
        <f>INDEX(Genomes!$J:$J,(MATCH(AllProteins!H1469,Genomes!$B:$B,0)))</f>
        <v>Y</v>
      </c>
    </row>
    <row r="1470" spans="1:11" x14ac:dyDescent="0.2">
      <c r="A1470">
        <f>INDEX(CoreProteinGroups!A:A,MATCH(B1470,CoreProteinGroups!B:B,0))</f>
        <v>19</v>
      </c>
      <c r="B1470" t="s">
        <v>1821</v>
      </c>
      <c r="C1470" t="str">
        <f>VLOOKUP(B1470,CoreProteinGroups!$B:$C,2,FALSE)</f>
        <v>IMV entry-fusion</v>
      </c>
      <c r="D1470" s="5" t="s">
        <v>2532</v>
      </c>
      <c r="E1470" s="6" t="str">
        <f t="shared" si="22"/>
        <v>PROT:ATI21017.1</v>
      </c>
      <c r="G1470" t="s">
        <v>2514</v>
      </c>
      <c r="H1470" t="s">
        <v>2697</v>
      </c>
      <c r="I1470" t="str">
        <f>INDEX(Genomes!$I:$I,(MATCH(AllProteins!H1470,Genomes!$B:$B,0)))</f>
        <v>MF467280-Western_grey_kangaroopox_virus</v>
      </c>
      <c r="J1470">
        <f>INDEX(Genomes!$A:$A,(MATCH(AllProteins!H1470,Genomes!$B:$B,0)))</f>
        <v>56</v>
      </c>
      <c r="K1470" t="str">
        <f>INDEX(Genomes!$J:$J,(MATCH(AllProteins!H1470,Genomes!$B:$B,0)))</f>
        <v>Y</v>
      </c>
    </row>
    <row r="1471" spans="1:11" x14ac:dyDescent="0.2">
      <c r="A1471">
        <f>INDEX(CoreProteinGroups!A:A,MATCH(B1471,CoreProteinGroups!B:B,0))</f>
        <v>20</v>
      </c>
      <c r="B1471" t="s">
        <v>1923</v>
      </c>
      <c r="C1471" t="str">
        <f>VLOOKUP(B1471,CoreProteinGroups!$B:$C,2,FALSE)</f>
        <v>RAP94</v>
      </c>
      <c r="D1471" s="5" t="s">
        <v>2533</v>
      </c>
      <c r="E1471" s="6" t="str">
        <f t="shared" si="22"/>
        <v>PROT:ATI21019.1</v>
      </c>
      <c r="G1471" t="s">
        <v>2514</v>
      </c>
      <c r="H1471" t="s">
        <v>2697</v>
      </c>
      <c r="I1471" t="str">
        <f>INDEX(Genomes!$I:$I,(MATCH(AllProteins!H1471,Genomes!$B:$B,0)))</f>
        <v>MF467280-Western_grey_kangaroopox_virus</v>
      </c>
      <c r="J1471">
        <f>INDEX(Genomes!$A:$A,(MATCH(AllProteins!H1471,Genomes!$B:$B,0)))</f>
        <v>56</v>
      </c>
      <c r="K1471" t="str">
        <f>INDEX(Genomes!$J:$J,(MATCH(AllProteins!H1471,Genomes!$B:$B,0)))</f>
        <v>Y</v>
      </c>
    </row>
    <row r="1472" spans="1:11" x14ac:dyDescent="0.2">
      <c r="A1472">
        <f>INDEX(CoreProteinGroups!A:A,MATCH(B1472,CoreProteinGroups!B:B,0))</f>
        <v>21</v>
      </c>
      <c r="B1472" t="s">
        <v>2027</v>
      </c>
      <c r="C1472" t="str">
        <f>VLOOKUP(B1472,CoreProteinGroups!$B:$C,2,FALSE)</f>
        <v>DNA topoisomerase</v>
      </c>
      <c r="D1472" s="5" t="s">
        <v>2534</v>
      </c>
      <c r="E1472" s="6" t="str">
        <f t="shared" si="22"/>
        <v>PROT:ATI21021.1</v>
      </c>
      <c r="G1472" t="s">
        <v>2514</v>
      </c>
      <c r="H1472" t="s">
        <v>2697</v>
      </c>
      <c r="I1472" t="str">
        <f>INDEX(Genomes!$I:$I,(MATCH(AllProteins!H1472,Genomes!$B:$B,0)))</f>
        <v>MF467280-Western_grey_kangaroopox_virus</v>
      </c>
      <c r="J1472">
        <f>INDEX(Genomes!$A:$A,(MATCH(AllProteins!H1472,Genomes!$B:$B,0)))</f>
        <v>56</v>
      </c>
      <c r="K1472" t="str">
        <f>INDEX(Genomes!$J:$J,(MATCH(AllProteins!H1472,Genomes!$B:$B,0)))</f>
        <v>Y</v>
      </c>
    </row>
    <row r="1473" spans="1:11" x14ac:dyDescent="0.2">
      <c r="A1473">
        <f>INDEX(CoreProteinGroups!A:A,MATCH(B1473,CoreProteinGroups!B:B,0))</f>
        <v>22</v>
      </c>
      <c r="B1473" t="s">
        <v>2121</v>
      </c>
      <c r="C1473" t="str">
        <f>VLOOKUP(B1473,CoreProteinGroups!$B:$C,2,FALSE)</f>
        <v>NPH-II</v>
      </c>
      <c r="D1473" s="5" t="s">
        <v>2535</v>
      </c>
      <c r="E1473" s="6" t="str">
        <f t="shared" si="22"/>
        <v>PROT:ATI20993.1</v>
      </c>
      <c r="G1473" t="s">
        <v>2514</v>
      </c>
      <c r="H1473" t="s">
        <v>2697</v>
      </c>
      <c r="I1473" t="str">
        <f>INDEX(Genomes!$I:$I,(MATCH(AllProteins!H1473,Genomes!$B:$B,0)))</f>
        <v>MF467280-Western_grey_kangaroopox_virus</v>
      </c>
      <c r="J1473">
        <f>INDEX(Genomes!$A:$A,(MATCH(AllProteins!H1473,Genomes!$B:$B,0)))</f>
        <v>56</v>
      </c>
      <c r="K1473" t="str">
        <f>INDEX(Genomes!$J:$J,(MATCH(AllProteins!H1473,Genomes!$B:$B,0)))</f>
        <v>Y</v>
      </c>
    </row>
    <row r="1474" spans="1:11" x14ac:dyDescent="0.2">
      <c r="A1474">
        <f>INDEX(CoreProteinGroups!A:A,MATCH(B1474,CoreProteinGroups!B:B,0))</f>
        <v>23</v>
      </c>
      <c r="B1474" t="s">
        <v>2220</v>
      </c>
      <c r="C1474" t="str">
        <f>VLOOKUP(B1474,CoreProteinGroups!$B:$C,2,FALSE)</f>
        <v>polyA polymerase small</v>
      </c>
      <c r="D1474" s="5" t="s">
        <v>2536</v>
      </c>
      <c r="E1474" s="6" t="str">
        <f t="shared" ref="E1474:E1537" si="23">HYPERLINK(_xlfn.CONCAT("https://www.ncbi.nlm.nih.gov/protein/",D1474),_xlfn.CONCAT("PROT:",D1474))</f>
        <v>PROT:ATI21011.1</v>
      </c>
      <c r="G1474" t="s">
        <v>2514</v>
      </c>
      <c r="H1474" t="s">
        <v>2697</v>
      </c>
      <c r="I1474" t="str">
        <f>INDEX(Genomes!$I:$I,(MATCH(AllProteins!H1474,Genomes!$B:$B,0)))</f>
        <v>MF467280-Western_grey_kangaroopox_virus</v>
      </c>
      <c r="J1474">
        <f>INDEX(Genomes!$A:$A,(MATCH(AllProteins!H1474,Genomes!$B:$B,0)))</f>
        <v>56</v>
      </c>
      <c r="K1474" t="str">
        <f>INDEX(Genomes!$J:$J,(MATCH(AllProteins!H1474,Genomes!$B:$B,0)))</f>
        <v>Y</v>
      </c>
    </row>
    <row r="1475" spans="1:11" x14ac:dyDescent="0.2">
      <c r="A1475">
        <f>INDEX(CoreProteinGroups!A:A,MATCH(B1475,CoreProteinGroups!B:B,0))</f>
        <v>24</v>
      </c>
      <c r="B1475" t="s">
        <v>2322</v>
      </c>
      <c r="C1475" t="str">
        <f>VLOOKUP(B1475,CoreProteinGroups!$B:$C,2,FALSE)</f>
        <v>RPO147</v>
      </c>
      <c r="D1475" s="5" t="s">
        <v>2537</v>
      </c>
      <c r="E1475" s="6" t="str">
        <f t="shared" si="23"/>
        <v>PROT:ATI21014.1</v>
      </c>
      <c r="G1475" t="s">
        <v>2514</v>
      </c>
      <c r="H1475" t="s">
        <v>2697</v>
      </c>
      <c r="I1475" t="str">
        <f>INDEX(Genomes!$I:$I,(MATCH(AllProteins!H1475,Genomes!$B:$B,0)))</f>
        <v>MF467280-Western_grey_kangaroopox_virus</v>
      </c>
      <c r="J1475">
        <f>INDEX(Genomes!$A:$A,(MATCH(AllProteins!H1475,Genomes!$B:$B,0)))</f>
        <v>56</v>
      </c>
      <c r="K1475" t="str">
        <f>INDEX(Genomes!$J:$J,(MATCH(AllProteins!H1475,Genomes!$B:$B,0)))</f>
        <v>Y</v>
      </c>
    </row>
    <row r="1476" spans="1:11" x14ac:dyDescent="0.2">
      <c r="A1476">
        <f>INDEX(CoreProteinGroups!A:A,MATCH(B1476,CoreProteinGroups!B:B,0))</f>
        <v>25</v>
      </c>
      <c r="B1476" t="s">
        <v>2417</v>
      </c>
      <c r="C1476" t="str">
        <f>VLOOKUP(B1476,CoreProteinGroups!$B:$C,2,FALSE)</f>
        <v>IMV membrane protein</v>
      </c>
      <c r="D1476" s="5" t="s">
        <v>2538</v>
      </c>
      <c r="E1476" s="6" t="str">
        <f t="shared" si="23"/>
        <v>PROT:ATI21004.1</v>
      </c>
      <c r="G1476" t="s">
        <v>2514</v>
      </c>
      <c r="H1476" t="s">
        <v>2697</v>
      </c>
      <c r="I1476" t="str">
        <f>INDEX(Genomes!$I:$I,(MATCH(AllProteins!H1476,Genomes!$B:$B,0)))</f>
        <v>MF467280-Western_grey_kangaroopox_virus</v>
      </c>
      <c r="J1476">
        <f>INDEX(Genomes!$A:$A,(MATCH(AllProteins!H1476,Genomes!$B:$B,0)))</f>
        <v>56</v>
      </c>
      <c r="K1476" t="str">
        <f>INDEX(Genomes!$J:$J,(MATCH(AllProteins!H1476,Genomes!$B:$B,0)))</f>
        <v>Y</v>
      </c>
    </row>
    <row r="1477" spans="1:11" x14ac:dyDescent="0.2">
      <c r="A1477">
        <f>INDEX(CoreProteinGroups!A:A,MATCH(B1477,CoreProteinGroups!B:B,0))</f>
        <v>1</v>
      </c>
      <c r="B1477" t="s">
        <v>7</v>
      </c>
      <c r="C1477" t="str">
        <f>VLOOKUP(B1477,CoreProteinGroups!$B:$C,2,FALSE)</f>
        <v>DNA helicase</v>
      </c>
      <c r="D1477" t="s">
        <v>2799</v>
      </c>
      <c r="E1477" s="6" t="str">
        <f t="shared" si="23"/>
        <v>PROT:YDH75396.1</v>
      </c>
      <c r="G1477" t="s">
        <v>2824</v>
      </c>
      <c r="H1477" t="s">
        <v>2798</v>
      </c>
      <c r="I1477" t="str">
        <f>INDEX(Genomes!$I:$I,(MATCH(AllProteins!H1477,Genomes!$B:$B,0)))</f>
        <v>PZ016454-Madamurpox_virus</v>
      </c>
      <c r="J1477">
        <f>INDEX(Genomes!$A:$A,(MATCH(AllProteins!H1477,Genomes!$B:$B,0)))</f>
        <v>60</v>
      </c>
      <c r="K1477" t="str">
        <f>INDEX(Genomes!$J:$J,(MATCH(AllProteins!H1477,Genomes!$B:$B,0)))</f>
        <v>Y</v>
      </c>
    </row>
    <row r="1478" spans="1:11" x14ac:dyDescent="0.2">
      <c r="A1478">
        <f>INDEX(CoreProteinGroups!A:A,MATCH(B1478,CoreProteinGroups!B:B,0))</f>
        <v>2</v>
      </c>
      <c r="B1478" t="s">
        <v>251</v>
      </c>
      <c r="C1478" t="str">
        <f>VLOOKUP(B1478,CoreProteinGroups!$B:$C,2,FALSE)</f>
        <v>holliday junction resolvase</v>
      </c>
      <c r="D1478" t="s">
        <v>2800</v>
      </c>
      <c r="E1478" s="6" t="str">
        <f t="shared" si="23"/>
        <v>PROT:YDH75400.1</v>
      </c>
      <c r="G1478" t="s">
        <v>2824</v>
      </c>
      <c r="H1478" t="s">
        <v>2798</v>
      </c>
      <c r="I1478" t="str">
        <f>INDEX(Genomes!$I:$I,(MATCH(AllProteins!H1478,Genomes!$B:$B,0)))</f>
        <v>PZ016454-Madamurpox_virus</v>
      </c>
      <c r="J1478">
        <f>INDEX(Genomes!$A:$A,(MATCH(AllProteins!H1478,Genomes!$B:$B,0)))</f>
        <v>60</v>
      </c>
      <c r="K1478" t="str">
        <f>INDEX(Genomes!$J:$J,(MATCH(AllProteins!H1478,Genomes!$B:$B,0)))</f>
        <v>Y</v>
      </c>
    </row>
    <row r="1479" spans="1:11" x14ac:dyDescent="0.2">
      <c r="A1479">
        <f>INDEX(CoreProteinGroups!A:A,MATCH(B1479,CoreProteinGroups!B:B,0))</f>
        <v>3</v>
      </c>
      <c r="B1479" t="s">
        <v>349</v>
      </c>
      <c r="C1479" t="str">
        <f>VLOOKUP(B1479,CoreProteinGroups!$B:$C,2,FALSE)</f>
        <v>VITF-3</v>
      </c>
      <c r="D1479" t="s">
        <v>2801</v>
      </c>
      <c r="E1479" s="6" t="str">
        <f t="shared" si="23"/>
        <v>PROT:YDH75401.1</v>
      </c>
      <c r="G1479" t="s">
        <v>2824</v>
      </c>
      <c r="H1479" t="s">
        <v>2798</v>
      </c>
      <c r="I1479" t="str">
        <f>INDEX(Genomes!$I:$I,(MATCH(AllProteins!H1479,Genomes!$B:$B,0)))</f>
        <v>PZ016454-Madamurpox_virus</v>
      </c>
      <c r="J1479">
        <f>INDEX(Genomes!$A:$A,(MATCH(AllProteins!H1479,Genomes!$B:$B,0)))</f>
        <v>60</v>
      </c>
      <c r="K1479" t="str">
        <f>INDEX(Genomes!$J:$J,(MATCH(AllProteins!H1479,Genomes!$B:$B,0)))</f>
        <v>Y</v>
      </c>
    </row>
    <row r="1480" spans="1:11" x14ac:dyDescent="0.2">
      <c r="A1480">
        <f>INDEX(CoreProteinGroups!A:A,MATCH(B1480,CoreProteinGroups!B:B,0))</f>
        <v>4</v>
      </c>
      <c r="B1480" t="s">
        <v>451</v>
      </c>
      <c r="C1480" t="str">
        <f>VLOOKUP(B1480,CoreProteinGroups!$B:$C,2,FALSE)</f>
        <v>RPO132</v>
      </c>
      <c r="D1480" t="s">
        <v>2802</v>
      </c>
      <c r="E1480" s="6" t="str">
        <f t="shared" si="23"/>
        <v>PROT:YDH75402.1</v>
      </c>
      <c r="G1480" t="s">
        <v>2824</v>
      </c>
      <c r="H1480" t="s">
        <v>2798</v>
      </c>
      <c r="I1480" t="str">
        <f>INDEX(Genomes!$I:$I,(MATCH(AllProteins!H1480,Genomes!$B:$B,0)))</f>
        <v>PZ016454-Madamurpox_virus</v>
      </c>
      <c r="J1480">
        <f>INDEX(Genomes!$A:$A,(MATCH(AllProteins!H1480,Genomes!$B:$B,0)))</f>
        <v>60</v>
      </c>
      <c r="K1480" t="str">
        <f>INDEX(Genomes!$J:$J,(MATCH(AllProteins!H1480,Genomes!$B:$B,0)))</f>
        <v>Y</v>
      </c>
    </row>
    <row r="1481" spans="1:11" x14ac:dyDescent="0.2">
      <c r="A1481">
        <f>INDEX(CoreProteinGroups!A:A,MATCH(B1481,CoreProteinGroups!B:B,0))</f>
        <v>5</v>
      </c>
      <c r="B1481" t="s">
        <v>547</v>
      </c>
      <c r="C1481" t="str">
        <f>VLOOKUP(B1481,CoreProteinGroups!$B:$C,2,FALSE)</f>
        <v>IMV-MP</v>
      </c>
      <c r="D1481" t="s">
        <v>2803</v>
      </c>
      <c r="E1481" s="6" t="str">
        <f t="shared" si="23"/>
        <v>PROT:YDH75406.1</v>
      </c>
      <c r="G1481" t="s">
        <v>2824</v>
      </c>
      <c r="H1481" t="s">
        <v>2798</v>
      </c>
      <c r="I1481" t="str">
        <f>INDEX(Genomes!$I:$I,(MATCH(AllProteins!H1481,Genomes!$B:$B,0)))</f>
        <v>PZ016454-Madamurpox_virus</v>
      </c>
      <c r="J1481">
        <f>INDEX(Genomes!$A:$A,(MATCH(AllProteins!H1481,Genomes!$B:$B,0)))</f>
        <v>60</v>
      </c>
      <c r="K1481" t="str">
        <f>INDEX(Genomes!$J:$J,(MATCH(AllProteins!H1481,Genomes!$B:$B,0)))</f>
        <v>Y</v>
      </c>
    </row>
    <row r="1482" spans="1:11" x14ac:dyDescent="0.2">
      <c r="A1482">
        <f>INDEX(CoreProteinGroups!A:A,MATCH(B1482,CoreProteinGroups!B:B,0))</f>
        <v>6</v>
      </c>
      <c r="B1482" t="s">
        <v>154</v>
      </c>
      <c r="C1482" t="str">
        <f>VLOOKUP(B1482,CoreProteinGroups!$B:$C,2,FALSE)</f>
        <v>VLTF-3</v>
      </c>
      <c r="D1482" t="s">
        <v>2804</v>
      </c>
      <c r="E1482" s="6" t="str">
        <f t="shared" si="23"/>
        <v>PROT:YDH75377.1</v>
      </c>
      <c r="G1482" t="s">
        <v>2824</v>
      </c>
      <c r="H1482" t="s">
        <v>2798</v>
      </c>
      <c r="I1482" t="str">
        <f>INDEX(Genomes!$I:$I,(MATCH(AllProteins!H1482,Genomes!$B:$B,0)))</f>
        <v>PZ016454-Madamurpox_virus</v>
      </c>
      <c r="J1482">
        <f>INDEX(Genomes!$A:$A,(MATCH(AllProteins!H1482,Genomes!$B:$B,0)))</f>
        <v>60</v>
      </c>
      <c r="K1482" t="str">
        <f>INDEX(Genomes!$J:$J,(MATCH(AllProteins!H1482,Genomes!$B:$B,0)))</f>
        <v>Y</v>
      </c>
    </row>
    <row r="1483" spans="1:11" x14ac:dyDescent="0.2">
      <c r="A1483">
        <f>INDEX(CoreProteinGroups!A:A,MATCH(B1483,CoreProteinGroups!B:B,0))</f>
        <v>7</v>
      </c>
      <c r="B1483" t="s">
        <v>750</v>
      </c>
      <c r="C1483" t="str">
        <f>VLOOKUP(B1483,CoreProteinGroups!$B:$C,2,FALSE)</f>
        <v>ATPase DNA packaging protein</v>
      </c>
      <c r="D1483" t="s">
        <v>2805</v>
      </c>
      <c r="E1483" s="6" t="str">
        <f t="shared" si="23"/>
        <v>PROT:YDH75410.1</v>
      </c>
      <c r="G1483" t="s">
        <v>2824</v>
      </c>
      <c r="H1483" t="s">
        <v>2798</v>
      </c>
      <c r="I1483" t="str">
        <f>INDEX(Genomes!$I:$I,(MATCH(AllProteins!H1483,Genomes!$B:$B,0)))</f>
        <v>PZ016454-Madamurpox_virus</v>
      </c>
      <c r="J1483">
        <f>INDEX(Genomes!$A:$A,(MATCH(AllProteins!H1483,Genomes!$B:$B,0)))</f>
        <v>60</v>
      </c>
      <c r="K1483" t="str">
        <f>INDEX(Genomes!$J:$J,(MATCH(AllProteins!H1483,Genomes!$B:$B,0)))</f>
        <v>Y</v>
      </c>
    </row>
    <row r="1484" spans="1:11" x14ac:dyDescent="0.2">
      <c r="A1484">
        <f>INDEX(CoreProteinGroups!A:A,MATCH(B1484,CoreProteinGroups!B:B,0))</f>
        <v>8</v>
      </c>
      <c r="B1484" t="s">
        <v>651</v>
      </c>
      <c r="C1484" t="str">
        <f>VLOOKUP(B1484,CoreProteinGroups!$B:$C,2,FALSE)</f>
        <v>P4b</v>
      </c>
      <c r="D1484" t="s">
        <v>2806</v>
      </c>
      <c r="E1484" s="6" t="str">
        <f t="shared" si="23"/>
        <v>PROT:YDH75379.1</v>
      </c>
      <c r="G1484" t="s">
        <v>2824</v>
      </c>
      <c r="H1484" t="s">
        <v>2798</v>
      </c>
      <c r="I1484" t="str">
        <f>INDEX(Genomes!$I:$I,(MATCH(AllProteins!H1484,Genomes!$B:$B,0)))</f>
        <v>PZ016454-Madamurpox_virus</v>
      </c>
      <c r="J1484">
        <f>INDEX(Genomes!$A:$A,(MATCH(AllProteins!H1484,Genomes!$B:$B,0)))</f>
        <v>60</v>
      </c>
      <c r="K1484" t="str">
        <f>INDEX(Genomes!$J:$J,(MATCH(AllProteins!H1484,Genomes!$B:$B,0)))</f>
        <v>Y</v>
      </c>
    </row>
    <row r="1485" spans="1:11" x14ac:dyDescent="0.2">
      <c r="A1485">
        <f>INDEX(CoreProteinGroups!A:A,MATCH(B1485,CoreProteinGroups!B:B,0))</f>
        <v>9</v>
      </c>
      <c r="B1485" t="s">
        <v>848</v>
      </c>
      <c r="C1485" t="str">
        <f>VLOOKUP(B1485,CoreProteinGroups!$B:$C,2,FALSE)</f>
        <v>VETF-L</v>
      </c>
      <c r="D1485" t="s">
        <v>2807</v>
      </c>
      <c r="E1485" s="6" t="str">
        <f t="shared" si="23"/>
        <v>PROT:YDH75383.1</v>
      </c>
      <c r="G1485" t="s">
        <v>2824</v>
      </c>
      <c r="H1485" t="s">
        <v>2798</v>
      </c>
      <c r="I1485" t="str">
        <f>INDEX(Genomes!$I:$I,(MATCH(AllProteins!H1485,Genomes!$B:$B,0)))</f>
        <v>PZ016454-Madamurpox_virus</v>
      </c>
      <c r="J1485">
        <f>INDEX(Genomes!$A:$A,(MATCH(AllProteins!H1485,Genomes!$B:$B,0)))</f>
        <v>60</v>
      </c>
      <c r="K1485" t="str">
        <f>INDEX(Genomes!$J:$J,(MATCH(AllProteins!H1485,Genomes!$B:$B,0)))</f>
        <v>Y</v>
      </c>
    </row>
    <row r="1486" spans="1:11" x14ac:dyDescent="0.2">
      <c r="A1486">
        <f>INDEX(CoreProteinGroups!A:A,MATCH(B1486,CoreProteinGroups!B:B,0))</f>
        <v>10</v>
      </c>
      <c r="B1486" t="s">
        <v>1045</v>
      </c>
      <c r="C1486" t="str">
        <f>VLOOKUP(B1486,CoreProteinGroups!$B:$C,2,FALSE)</f>
        <v>NPH-I</v>
      </c>
      <c r="D1486" t="s">
        <v>2808</v>
      </c>
      <c r="E1486" s="6" t="str">
        <f t="shared" si="23"/>
        <v>PROT:YDH75373.1</v>
      </c>
      <c r="G1486" t="s">
        <v>2824</v>
      </c>
      <c r="H1486" t="s">
        <v>2798</v>
      </c>
      <c r="I1486" t="str">
        <f>INDEX(Genomes!$I:$I,(MATCH(AllProteins!H1486,Genomes!$B:$B,0)))</f>
        <v>PZ016454-Madamurpox_virus</v>
      </c>
      <c r="J1486">
        <f>INDEX(Genomes!$A:$A,(MATCH(AllProteins!H1486,Genomes!$B:$B,0)))</f>
        <v>60</v>
      </c>
      <c r="K1486" t="str">
        <f>INDEX(Genomes!$J:$J,(MATCH(AllProteins!H1486,Genomes!$B:$B,0)))</f>
        <v>Y</v>
      </c>
    </row>
    <row r="1487" spans="1:11" x14ac:dyDescent="0.2">
      <c r="A1487">
        <f>INDEX(CoreProteinGroups!A:A,MATCH(B1487,CoreProteinGroups!B:B,0))</f>
        <v>11</v>
      </c>
      <c r="B1487" t="s">
        <v>1145</v>
      </c>
      <c r="C1487" t="str">
        <f>VLOOKUP(B1487,CoreProteinGroups!$B:$C,2,FALSE)</f>
        <v>small capping enzyme</v>
      </c>
      <c r="D1487" t="s">
        <v>2809</v>
      </c>
      <c r="E1487" s="6" t="str">
        <f t="shared" si="23"/>
        <v>PROT:YDH75374.1</v>
      </c>
      <c r="G1487" t="s">
        <v>2824</v>
      </c>
      <c r="H1487" t="s">
        <v>2798</v>
      </c>
      <c r="I1487" t="str">
        <f>INDEX(Genomes!$I:$I,(MATCH(AllProteins!H1487,Genomes!$B:$B,0)))</f>
        <v>PZ016454-Madamurpox_virus</v>
      </c>
      <c r="J1487">
        <f>INDEX(Genomes!$A:$A,(MATCH(AllProteins!H1487,Genomes!$B:$B,0)))</f>
        <v>60</v>
      </c>
      <c r="K1487" t="str">
        <f>INDEX(Genomes!$J:$J,(MATCH(AllProteins!H1487,Genomes!$B:$B,0)))</f>
        <v>Y</v>
      </c>
    </row>
    <row r="1488" spans="1:11" x14ac:dyDescent="0.2">
      <c r="A1488">
        <f>INDEX(CoreProteinGroups!A:A,MATCH(B1488,CoreProteinGroups!B:B,0))</f>
        <v>12</v>
      </c>
      <c r="B1488" t="s">
        <v>949</v>
      </c>
      <c r="C1488" t="str">
        <f>VLOOKUP(B1488,CoreProteinGroups!$B:$C,2,FALSE)</f>
        <v>large capping enzyme</v>
      </c>
      <c r="D1488" t="s">
        <v>2810</v>
      </c>
      <c r="E1488" s="6" t="str">
        <f t="shared" si="23"/>
        <v>PROT:YDH75364.1</v>
      </c>
      <c r="G1488" t="s">
        <v>2824</v>
      </c>
      <c r="H1488" t="s">
        <v>2798</v>
      </c>
      <c r="I1488" t="str">
        <f>INDEX(Genomes!$I:$I,(MATCH(AllProteins!H1488,Genomes!$B:$B,0)))</f>
        <v>PZ016454-Madamurpox_virus</v>
      </c>
      <c r="J1488">
        <f>INDEX(Genomes!$A:$A,(MATCH(AllProteins!H1488,Genomes!$B:$B,0)))</f>
        <v>60</v>
      </c>
      <c r="K1488" t="str">
        <f>INDEX(Genomes!$J:$J,(MATCH(AllProteins!H1488,Genomes!$B:$B,0)))</f>
        <v>Y</v>
      </c>
    </row>
    <row r="1489" spans="1:11" x14ac:dyDescent="0.2">
      <c r="A1489">
        <f>INDEX(CoreProteinGroups!A:A,MATCH(B1489,CoreProteinGroups!B:B,0))</f>
        <v>13</v>
      </c>
      <c r="B1489" t="s">
        <v>1238</v>
      </c>
      <c r="C1489" t="str">
        <f>VLOOKUP(B1489,CoreProteinGroups!$B:$C,2,FALSE)</f>
        <v>NTPase</v>
      </c>
      <c r="D1489" t="s">
        <v>2811</v>
      </c>
      <c r="E1489" s="6" t="str">
        <f t="shared" si="23"/>
        <v>PROT:YDH75368.1</v>
      </c>
      <c r="G1489" t="s">
        <v>2824</v>
      </c>
      <c r="H1489" t="s">
        <v>2798</v>
      </c>
      <c r="I1489" t="str">
        <f>INDEX(Genomes!$I:$I,(MATCH(AllProteins!H1489,Genomes!$B:$B,0)))</f>
        <v>PZ016454-Madamurpox_virus</v>
      </c>
      <c r="J1489">
        <f>INDEX(Genomes!$A:$A,(MATCH(AllProteins!H1489,Genomes!$B:$B,0)))</f>
        <v>60</v>
      </c>
      <c r="K1489" t="str">
        <f>INDEX(Genomes!$J:$J,(MATCH(AllProteins!H1489,Genomes!$B:$B,0)))</f>
        <v>Y</v>
      </c>
    </row>
    <row r="1490" spans="1:11" x14ac:dyDescent="0.2">
      <c r="A1490">
        <f>INDEX(CoreProteinGroups!A:A,MATCH(B1490,CoreProteinGroups!B:B,0))</f>
        <v>14</v>
      </c>
      <c r="B1490" t="s">
        <v>1332</v>
      </c>
      <c r="C1490" t="str">
        <f>VLOOKUP(B1490,CoreProteinGroups!$B:$C,2,FALSE)</f>
        <v>VETF-S</v>
      </c>
      <c r="D1490" t="s">
        <v>2812</v>
      </c>
      <c r="E1490" s="6" t="str">
        <f t="shared" si="23"/>
        <v>PROT:YDH75369.1</v>
      </c>
      <c r="G1490" t="s">
        <v>2824</v>
      </c>
      <c r="H1490" t="s">
        <v>2798</v>
      </c>
      <c r="I1490" t="str">
        <f>INDEX(Genomes!$I:$I,(MATCH(AllProteins!H1490,Genomes!$B:$B,0)))</f>
        <v>PZ016454-Madamurpox_virus</v>
      </c>
      <c r="J1490">
        <f>INDEX(Genomes!$A:$A,(MATCH(AllProteins!H1490,Genomes!$B:$B,0)))</f>
        <v>60</v>
      </c>
      <c r="K1490" t="str">
        <f>INDEX(Genomes!$J:$J,(MATCH(AllProteins!H1490,Genomes!$B:$B,0)))</f>
        <v>Y</v>
      </c>
    </row>
    <row r="1491" spans="1:11" x14ac:dyDescent="0.2">
      <c r="A1491">
        <f>INDEX(CoreProteinGroups!A:A,MATCH(B1491,CoreProteinGroups!B:B,0))</f>
        <v>15</v>
      </c>
      <c r="B1491" t="s">
        <v>1539</v>
      </c>
      <c r="C1491" t="str">
        <f>VLOOKUP(B1491,CoreProteinGroups!$B:$C,2,FALSE)</f>
        <v>sulfhydryl oxidase</v>
      </c>
      <c r="D1491" t="s">
        <v>2813</v>
      </c>
      <c r="E1491" s="6" t="str">
        <f t="shared" si="23"/>
        <v>PROT:YDH75326.1</v>
      </c>
      <c r="G1491" t="s">
        <v>2824</v>
      </c>
      <c r="H1491" t="s">
        <v>2798</v>
      </c>
      <c r="I1491" t="str">
        <f>INDEX(Genomes!$I:$I,(MATCH(AllProteins!H1491,Genomes!$B:$B,0)))</f>
        <v>PZ016454-Madamurpox_virus</v>
      </c>
      <c r="J1491">
        <f>INDEX(Genomes!$A:$A,(MATCH(AllProteins!H1491,Genomes!$B:$B,0)))</f>
        <v>60</v>
      </c>
      <c r="K1491" t="str">
        <f>INDEX(Genomes!$J:$J,(MATCH(AllProteins!H1491,Genomes!$B:$B,0)))</f>
        <v>Y</v>
      </c>
    </row>
    <row r="1492" spans="1:11" x14ac:dyDescent="0.2">
      <c r="A1492">
        <f>INDEX(CoreProteinGroups!A:A,MATCH(B1492,CoreProteinGroups!B:B,0))</f>
        <v>16</v>
      </c>
      <c r="B1492" t="s">
        <v>1435</v>
      </c>
      <c r="C1492" t="str">
        <f>VLOOKUP(B1492,CoreProteinGroups!$B:$C,2,FALSE)</f>
        <v>polyA polymerase large</v>
      </c>
      <c r="D1492" t="s">
        <v>2814</v>
      </c>
      <c r="E1492" s="6" t="str">
        <f t="shared" si="23"/>
        <v>PROT:YDH75317.1</v>
      </c>
      <c r="G1492" t="s">
        <v>2824</v>
      </c>
      <c r="H1492" t="s">
        <v>2798</v>
      </c>
      <c r="I1492" t="str">
        <f>INDEX(Genomes!$I:$I,(MATCH(AllProteins!H1492,Genomes!$B:$B,0)))</f>
        <v>PZ016454-Madamurpox_virus</v>
      </c>
      <c r="J1492">
        <f>INDEX(Genomes!$A:$A,(MATCH(AllProteins!H1492,Genomes!$B:$B,0)))</f>
        <v>60</v>
      </c>
      <c r="K1492" t="str">
        <f>INDEX(Genomes!$J:$J,(MATCH(AllProteins!H1492,Genomes!$B:$B,0)))</f>
        <v>Y</v>
      </c>
    </row>
    <row r="1493" spans="1:11" x14ac:dyDescent="0.2">
      <c r="A1493">
        <f>INDEX(CoreProteinGroups!A:A,MATCH(B1493,CoreProteinGroups!B:B,0))</f>
        <v>17</v>
      </c>
      <c r="B1493" t="s">
        <v>1636</v>
      </c>
      <c r="C1493" t="str">
        <f>VLOOKUP(B1493,CoreProteinGroups!$B:$C,2,FALSE)</f>
        <v>DNA-polymerase</v>
      </c>
      <c r="D1493" t="s">
        <v>2815</v>
      </c>
      <c r="E1493" s="6" t="str">
        <f t="shared" si="23"/>
        <v>PROT:YDH75325.1</v>
      </c>
      <c r="G1493" t="s">
        <v>2824</v>
      </c>
      <c r="H1493" t="s">
        <v>2798</v>
      </c>
      <c r="I1493" t="str">
        <f>INDEX(Genomes!$I:$I,(MATCH(AllProteins!H1493,Genomes!$B:$B,0)))</f>
        <v>PZ016454-Madamurpox_virus</v>
      </c>
      <c r="J1493">
        <f>INDEX(Genomes!$A:$A,(MATCH(AllProteins!H1493,Genomes!$B:$B,0)))</f>
        <v>60</v>
      </c>
      <c r="K1493" t="str">
        <f>INDEX(Genomes!$J:$J,(MATCH(AllProteins!H1493,Genomes!$B:$B,0)))</f>
        <v>Y</v>
      </c>
    </row>
    <row r="1494" spans="1:11" x14ac:dyDescent="0.2">
      <c r="A1494">
        <f>INDEX(CoreProteinGroups!A:A,MATCH(B1494,CoreProteinGroups!B:B,0))</f>
        <v>18</v>
      </c>
      <c r="B1494" t="s">
        <v>1723</v>
      </c>
      <c r="C1494" t="str">
        <f>VLOOKUP(B1494,CoreProteinGroups!$B:$C,2,FALSE)</f>
        <v>FEN1</v>
      </c>
      <c r="D1494" t="s">
        <v>2816</v>
      </c>
      <c r="E1494" s="6" t="str">
        <f t="shared" si="23"/>
        <v>PROT:YDH75340.1</v>
      </c>
      <c r="G1494" t="s">
        <v>2824</v>
      </c>
      <c r="H1494" t="s">
        <v>2798</v>
      </c>
      <c r="I1494" t="str">
        <f>INDEX(Genomes!$I:$I,(MATCH(AllProteins!H1494,Genomes!$B:$B,0)))</f>
        <v>PZ016454-Madamurpox_virus</v>
      </c>
      <c r="J1494">
        <f>INDEX(Genomes!$A:$A,(MATCH(AllProteins!H1494,Genomes!$B:$B,0)))</f>
        <v>60</v>
      </c>
      <c r="K1494" t="str">
        <f>INDEX(Genomes!$J:$J,(MATCH(AllProteins!H1494,Genomes!$B:$B,0)))</f>
        <v>Y</v>
      </c>
    </row>
    <row r="1495" spans="1:11" x14ac:dyDescent="0.2">
      <c r="A1495">
        <f>INDEX(CoreProteinGroups!A:A,MATCH(B1495,CoreProteinGroups!B:B,0))</f>
        <v>19</v>
      </c>
      <c r="B1495" t="s">
        <v>1821</v>
      </c>
      <c r="C1495" t="str">
        <f>VLOOKUP(B1495,CoreProteinGroups!$B:$C,2,FALSE)</f>
        <v>IMV entry-fusion</v>
      </c>
      <c r="D1495" s="5" t="s">
        <v>2817</v>
      </c>
      <c r="E1495" s="6" t="str">
        <f t="shared" si="23"/>
        <v>PROT:YDH75358.1</v>
      </c>
      <c r="G1495" t="s">
        <v>2824</v>
      </c>
      <c r="H1495" t="s">
        <v>2798</v>
      </c>
      <c r="I1495" t="str">
        <f>INDEX(Genomes!$I:$I,(MATCH(AllProteins!H1495,Genomes!$B:$B,0)))</f>
        <v>PZ016454-Madamurpox_virus</v>
      </c>
      <c r="J1495">
        <f>INDEX(Genomes!$A:$A,(MATCH(AllProteins!H1495,Genomes!$B:$B,0)))</f>
        <v>60</v>
      </c>
      <c r="K1495" t="str">
        <f>INDEX(Genomes!$J:$J,(MATCH(AllProteins!H1495,Genomes!$B:$B,0)))</f>
        <v>Y</v>
      </c>
    </row>
    <row r="1496" spans="1:11" x14ac:dyDescent="0.2">
      <c r="A1496">
        <f>INDEX(CoreProteinGroups!A:A,MATCH(B1496,CoreProteinGroups!B:B,0))</f>
        <v>20</v>
      </c>
      <c r="B1496" t="s">
        <v>1923</v>
      </c>
      <c r="C1496" t="str">
        <f>VLOOKUP(B1496,CoreProteinGroups!$B:$C,2,FALSE)</f>
        <v>RAP94</v>
      </c>
      <c r="D1496" s="5" t="s">
        <v>2818</v>
      </c>
      <c r="E1496" s="6" t="str">
        <f t="shared" si="23"/>
        <v>PROT:YDH75360.1</v>
      </c>
      <c r="G1496" t="s">
        <v>2824</v>
      </c>
      <c r="H1496" t="s">
        <v>2798</v>
      </c>
      <c r="I1496" t="str">
        <f>INDEX(Genomes!$I:$I,(MATCH(AllProteins!H1496,Genomes!$B:$B,0)))</f>
        <v>PZ016454-Madamurpox_virus</v>
      </c>
      <c r="J1496">
        <f>INDEX(Genomes!$A:$A,(MATCH(AllProteins!H1496,Genomes!$B:$B,0)))</f>
        <v>60</v>
      </c>
      <c r="K1496" t="str">
        <f>INDEX(Genomes!$J:$J,(MATCH(AllProteins!H1496,Genomes!$B:$B,0)))</f>
        <v>Y</v>
      </c>
    </row>
    <row r="1497" spans="1:11" x14ac:dyDescent="0.2">
      <c r="A1497">
        <f>INDEX(CoreProteinGroups!A:A,MATCH(B1497,CoreProteinGroups!B:B,0))</f>
        <v>21</v>
      </c>
      <c r="B1497" t="s">
        <v>2027</v>
      </c>
      <c r="C1497" t="str">
        <f>VLOOKUP(B1497,CoreProteinGroups!$B:$C,2,FALSE)</f>
        <v>DNA topoisomerase</v>
      </c>
      <c r="D1497" s="5" t="s">
        <v>2819</v>
      </c>
      <c r="E1497" s="6" t="str">
        <f t="shared" si="23"/>
        <v>PROT:YDH75362.1</v>
      </c>
      <c r="G1497" t="s">
        <v>2824</v>
      </c>
      <c r="H1497" t="s">
        <v>2798</v>
      </c>
      <c r="I1497" t="str">
        <f>INDEX(Genomes!$I:$I,(MATCH(AllProteins!H1497,Genomes!$B:$B,0)))</f>
        <v>PZ016454-Madamurpox_virus</v>
      </c>
      <c r="J1497">
        <f>INDEX(Genomes!$A:$A,(MATCH(AllProteins!H1497,Genomes!$B:$B,0)))</f>
        <v>60</v>
      </c>
      <c r="K1497" t="str">
        <f>INDEX(Genomes!$J:$J,(MATCH(AllProteins!H1497,Genomes!$B:$B,0)))</f>
        <v>Y</v>
      </c>
    </row>
    <row r="1498" spans="1:11" x14ac:dyDescent="0.2">
      <c r="A1498">
        <f>INDEX(CoreProteinGroups!A:A,MATCH(B1498,CoreProteinGroups!B:B,0))</f>
        <v>22</v>
      </c>
      <c r="B1498" t="s">
        <v>2121</v>
      </c>
      <c r="C1498" t="str">
        <f>VLOOKUP(B1498,CoreProteinGroups!$B:$C,2,FALSE)</f>
        <v>NPH-II</v>
      </c>
      <c r="D1498" s="5" t="s">
        <v>2820</v>
      </c>
      <c r="E1498" s="6" t="str">
        <f t="shared" si="23"/>
        <v>PROT:YDH75336.1</v>
      </c>
      <c r="G1498" t="s">
        <v>2824</v>
      </c>
      <c r="H1498" t="s">
        <v>2798</v>
      </c>
      <c r="I1498" t="str">
        <f>INDEX(Genomes!$I:$I,(MATCH(AllProteins!H1498,Genomes!$B:$B,0)))</f>
        <v>PZ016454-Madamurpox_virus</v>
      </c>
      <c r="J1498">
        <f>INDEX(Genomes!$A:$A,(MATCH(AllProteins!H1498,Genomes!$B:$B,0)))</f>
        <v>60</v>
      </c>
      <c r="K1498" t="str">
        <f>INDEX(Genomes!$J:$J,(MATCH(AllProteins!H1498,Genomes!$B:$B,0)))</f>
        <v>Y</v>
      </c>
    </row>
    <row r="1499" spans="1:11" x14ac:dyDescent="0.2">
      <c r="A1499">
        <f>INDEX(CoreProteinGroups!A:A,MATCH(B1499,CoreProteinGroups!B:B,0))</f>
        <v>23</v>
      </c>
      <c r="B1499" t="s">
        <v>2220</v>
      </c>
      <c r="C1499" t="str">
        <f>VLOOKUP(B1499,CoreProteinGroups!$B:$C,2,FALSE)</f>
        <v>polyA polymerase small</v>
      </c>
      <c r="D1499" s="5" t="s">
        <v>2821</v>
      </c>
      <c r="E1499" s="6" t="str">
        <f t="shared" si="23"/>
        <v>PROT:YDH75353.1</v>
      </c>
      <c r="G1499" t="s">
        <v>2824</v>
      </c>
      <c r="H1499" t="s">
        <v>2798</v>
      </c>
      <c r="I1499" t="str">
        <f>INDEX(Genomes!$I:$I,(MATCH(AllProteins!H1499,Genomes!$B:$B,0)))</f>
        <v>PZ016454-Madamurpox_virus</v>
      </c>
      <c r="J1499">
        <f>INDEX(Genomes!$A:$A,(MATCH(AllProteins!H1499,Genomes!$B:$B,0)))</f>
        <v>60</v>
      </c>
      <c r="K1499" t="str">
        <f>INDEX(Genomes!$J:$J,(MATCH(AllProteins!H1499,Genomes!$B:$B,0)))</f>
        <v>Y</v>
      </c>
    </row>
    <row r="1500" spans="1:11" x14ac:dyDescent="0.2">
      <c r="A1500">
        <f>INDEX(CoreProteinGroups!A:A,MATCH(B1500,CoreProteinGroups!B:B,0))</f>
        <v>24</v>
      </c>
      <c r="B1500" t="s">
        <v>2322</v>
      </c>
      <c r="C1500" t="str">
        <f>VLOOKUP(B1500,CoreProteinGroups!$B:$C,2,FALSE)</f>
        <v>RPO147</v>
      </c>
      <c r="D1500" s="5" t="s">
        <v>2822</v>
      </c>
      <c r="E1500" s="6" t="str">
        <f t="shared" si="23"/>
        <v>PROT:YDH75356.1</v>
      </c>
      <c r="G1500" t="s">
        <v>2824</v>
      </c>
      <c r="H1500" t="s">
        <v>2798</v>
      </c>
      <c r="I1500" t="str">
        <f>INDEX(Genomes!$I:$I,(MATCH(AllProteins!H1500,Genomes!$B:$B,0)))</f>
        <v>PZ016454-Madamurpox_virus</v>
      </c>
      <c r="J1500">
        <f>INDEX(Genomes!$A:$A,(MATCH(AllProteins!H1500,Genomes!$B:$B,0)))</f>
        <v>60</v>
      </c>
      <c r="K1500" t="str">
        <f>INDEX(Genomes!$J:$J,(MATCH(AllProteins!H1500,Genomes!$B:$B,0)))</f>
        <v>Y</v>
      </c>
    </row>
    <row r="1501" spans="1:11" x14ac:dyDescent="0.2">
      <c r="A1501">
        <f>INDEX(CoreProteinGroups!A:A,MATCH(B1501,CoreProteinGroups!B:B,0))</f>
        <v>25</v>
      </c>
      <c r="B1501" t="s">
        <v>2417</v>
      </c>
      <c r="C1501" t="str">
        <f>VLOOKUP(B1501,CoreProteinGroups!$B:$C,2,FALSE)</f>
        <v>IMV membrane protein</v>
      </c>
      <c r="D1501" s="5" t="s">
        <v>2823</v>
      </c>
      <c r="E1501" s="6" t="str">
        <f t="shared" si="23"/>
        <v>PROT:YDH75346.1</v>
      </c>
      <c r="G1501" t="s">
        <v>2824</v>
      </c>
      <c r="H1501" t="s">
        <v>2798</v>
      </c>
      <c r="I1501" t="str">
        <f>INDEX(Genomes!$I:$I,(MATCH(AllProteins!H1501,Genomes!$B:$B,0)))</f>
        <v>PZ016454-Madamurpox_virus</v>
      </c>
      <c r="J1501">
        <f>INDEX(Genomes!$A:$A,(MATCH(AllProteins!H1501,Genomes!$B:$B,0)))</f>
        <v>60</v>
      </c>
      <c r="K1501" t="str">
        <f>INDEX(Genomes!$J:$J,(MATCH(AllProteins!H1501,Genomes!$B:$B,0)))</f>
        <v>Y</v>
      </c>
    </row>
    <row r="1502" spans="1:11" x14ac:dyDescent="0.2">
      <c r="A1502">
        <f>INDEX(CoreProteinGroups!A:A,MATCH(B1502,CoreProteinGroups!B:B,0))</f>
        <v>1</v>
      </c>
      <c r="B1502" s="5" t="s">
        <v>7</v>
      </c>
      <c r="C1502" t="str">
        <f>VLOOKUP(B1502,CoreProteinGroups!$B:$C,2,FALSE)</f>
        <v>DNA helicase</v>
      </c>
      <c r="D1502" t="s">
        <v>2586</v>
      </c>
      <c r="E1502" s="6" t="str">
        <f t="shared" si="23"/>
        <v>PROT:XBH23847.1</v>
      </c>
      <c r="F1502" t="s">
        <v>8</v>
      </c>
      <c r="G1502" t="s">
        <v>2576</v>
      </c>
      <c r="H1502" t="s">
        <v>2701</v>
      </c>
      <c r="I1502" t="str">
        <f>INDEX(Genomes!$I:$I,(MATCH(AllProteins!H1502,Genomes!$B:$B,0)))</f>
        <v>PP711852-rousettus_bat_poxvirus</v>
      </c>
      <c r="J1502">
        <f>INDEX(Genomes!$A:$A,(MATCH(AllProteins!H1502,Genomes!$B:$B,0)))</f>
        <v>61</v>
      </c>
      <c r="K1502" t="str">
        <f>INDEX(Genomes!$J:$J,(MATCH(AllProteins!H1502,Genomes!$B:$B,0)))</f>
        <v>Y</v>
      </c>
    </row>
    <row r="1503" spans="1:11" x14ac:dyDescent="0.2">
      <c r="A1503">
        <f>INDEX(CoreProteinGroups!A:A,MATCH(B1503,CoreProteinGroups!B:B,0))</f>
        <v>2</v>
      </c>
      <c r="B1503" s="5" t="s">
        <v>251</v>
      </c>
      <c r="C1503" t="str">
        <f>VLOOKUP(B1503,CoreProteinGroups!$B:$C,2,FALSE)</f>
        <v>holliday junction resolvase</v>
      </c>
      <c r="D1503" t="s">
        <v>2587</v>
      </c>
      <c r="E1503" s="6" t="str">
        <f t="shared" si="23"/>
        <v>PROT:XBH23851.1</v>
      </c>
      <c r="F1503" t="s">
        <v>252</v>
      </c>
      <c r="G1503" t="s">
        <v>2576</v>
      </c>
      <c r="H1503" t="s">
        <v>2701</v>
      </c>
      <c r="I1503" t="str">
        <f>INDEX(Genomes!$I:$I,(MATCH(AllProteins!H1503,Genomes!$B:$B,0)))</f>
        <v>PP711852-rousettus_bat_poxvirus</v>
      </c>
      <c r="J1503">
        <f>INDEX(Genomes!$A:$A,(MATCH(AllProteins!H1503,Genomes!$B:$B,0)))</f>
        <v>61</v>
      </c>
      <c r="K1503" t="str">
        <f>INDEX(Genomes!$J:$J,(MATCH(AllProteins!H1503,Genomes!$B:$B,0)))</f>
        <v>Y</v>
      </c>
    </row>
    <row r="1504" spans="1:11" x14ac:dyDescent="0.2">
      <c r="A1504">
        <f>INDEX(CoreProteinGroups!A:A,MATCH(B1504,CoreProteinGroups!B:B,0))</f>
        <v>3</v>
      </c>
      <c r="B1504" s="5" t="s">
        <v>349</v>
      </c>
      <c r="C1504" t="str">
        <f>VLOOKUP(B1504,CoreProteinGroups!$B:$C,2,FALSE)</f>
        <v>VITF-3</v>
      </c>
      <c r="D1504" t="s">
        <v>2588</v>
      </c>
      <c r="E1504" s="6" t="str">
        <f t="shared" si="23"/>
        <v>PROT:XBH23852.1</v>
      </c>
      <c r="F1504" t="s">
        <v>369</v>
      </c>
      <c r="G1504" t="s">
        <v>2576</v>
      </c>
      <c r="H1504" t="s">
        <v>2701</v>
      </c>
      <c r="I1504" t="str">
        <f>INDEX(Genomes!$I:$I,(MATCH(AllProteins!H1504,Genomes!$B:$B,0)))</f>
        <v>PP711852-rousettus_bat_poxvirus</v>
      </c>
      <c r="J1504">
        <f>INDEX(Genomes!$A:$A,(MATCH(AllProteins!H1504,Genomes!$B:$B,0)))</f>
        <v>61</v>
      </c>
      <c r="K1504" t="str">
        <f>INDEX(Genomes!$J:$J,(MATCH(AllProteins!H1504,Genomes!$B:$B,0)))</f>
        <v>Y</v>
      </c>
    </row>
    <row r="1505" spans="1:11" x14ac:dyDescent="0.2">
      <c r="A1505">
        <f>INDEX(CoreProteinGroups!A:A,MATCH(B1505,CoreProteinGroups!B:B,0))</f>
        <v>4</v>
      </c>
      <c r="B1505" s="5" t="s">
        <v>451</v>
      </c>
      <c r="C1505" t="str">
        <f>VLOOKUP(B1505,CoreProteinGroups!$B:$C,2,FALSE)</f>
        <v>RPO132</v>
      </c>
      <c r="D1505" t="s">
        <v>2589</v>
      </c>
      <c r="E1505" s="6" t="str">
        <f t="shared" si="23"/>
        <v>PROT:XBH23853.1</v>
      </c>
      <c r="F1505" t="s">
        <v>464</v>
      </c>
      <c r="G1505" t="s">
        <v>2576</v>
      </c>
      <c r="H1505" t="s">
        <v>2701</v>
      </c>
      <c r="I1505" t="str">
        <f>INDEX(Genomes!$I:$I,(MATCH(AllProteins!H1505,Genomes!$B:$B,0)))</f>
        <v>PP711852-rousettus_bat_poxvirus</v>
      </c>
      <c r="J1505">
        <f>INDEX(Genomes!$A:$A,(MATCH(AllProteins!H1505,Genomes!$B:$B,0)))</f>
        <v>61</v>
      </c>
      <c r="K1505" t="str">
        <f>INDEX(Genomes!$J:$J,(MATCH(AllProteins!H1505,Genomes!$B:$B,0)))</f>
        <v>Y</v>
      </c>
    </row>
    <row r="1506" spans="1:11" x14ac:dyDescent="0.2">
      <c r="A1506">
        <f>INDEX(CoreProteinGroups!A:A,MATCH(B1506,CoreProteinGroups!B:B,0))</f>
        <v>5</v>
      </c>
      <c r="B1506" s="5" t="s">
        <v>547</v>
      </c>
      <c r="C1506" t="str">
        <f>VLOOKUP(B1506,CoreProteinGroups!$B:$C,2,FALSE)</f>
        <v>IMV-MP</v>
      </c>
      <c r="D1506" t="s">
        <v>2590</v>
      </c>
      <c r="E1506" s="6" t="str">
        <f t="shared" si="23"/>
        <v>PROT:XBH23857.1</v>
      </c>
      <c r="F1506" t="s">
        <v>271</v>
      </c>
      <c r="G1506" t="s">
        <v>2576</v>
      </c>
      <c r="H1506" t="s">
        <v>2701</v>
      </c>
      <c r="I1506" t="str">
        <f>INDEX(Genomes!$I:$I,(MATCH(AllProteins!H1506,Genomes!$B:$B,0)))</f>
        <v>PP711852-rousettus_bat_poxvirus</v>
      </c>
      <c r="J1506">
        <f>INDEX(Genomes!$A:$A,(MATCH(AllProteins!H1506,Genomes!$B:$B,0)))</f>
        <v>61</v>
      </c>
      <c r="K1506" t="str">
        <f>INDEX(Genomes!$J:$J,(MATCH(AllProteins!H1506,Genomes!$B:$B,0)))</f>
        <v>Y</v>
      </c>
    </row>
    <row r="1507" spans="1:11" x14ac:dyDescent="0.2">
      <c r="A1507">
        <f>INDEX(CoreProteinGroups!A:A,MATCH(B1507,CoreProteinGroups!B:B,0))</f>
        <v>6</v>
      </c>
      <c r="B1507" s="5" t="s">
        <v>154</v>
      </c>
      <c r="C1507" t="str">
        <f>VLOOKUP(B1507,CoreProteinGroups!$B:$C,2,FALSE)</f>
        <v>VLTF-3</v>
      </c>
      <c r="D1507" t="s">
        <v>2591</v>
      </c>
      <c r="E1507" s="6" t="str">
        <f t="shared" si="23"/>
        <v>PROT:XBH23832.1</v>
      </c>
      <c r="F1507" t="s">
        <v>173</v>
      </c>
      <c r="G1507" t="s">
        <v>2576</v>
      </c>
      <c r="H1507" t="s">
        <v>2701</v>
      </c>
      <c r="I1507" t="str">
        <f>INDEX(Genomes!$I:$I,(MATCH(AllProteins!H1507,Genomes!$B:$B,0)))</f>
        <v>PP711852-rousettus_bat_poxvirus</v>
      </c>
      <c r="J1507">
        <f>INDEX(Genomes!$A:$A,(MATCH(AllProteins!H1507,Genomes!$B:$B,0)))</f>
        <v>61</v>
      </c>
      <c r="K1507" t="str">
        <f>INDEX(Genomes!$J:$J,(MATCH(AllProteins!H1507,Genomes!$B:$B,0)))</f>
        <v>Y</v>
      </c>
    </row>
    <row r="1508" spans="1:11" x14ac:dyDescent="0.2">
      <c r="A1508">
        <f>INDEX(CoreProteinGroups!A:A,MATCH(B1508,CoreProteinGroups!B:B,0))</f>
        <v>7</v>
      </c>
      <c r="B1508" s="5" t="s">
        <v>750</v>
      </c>
      <c r="C1508" t="str">
        <f>VLOOKUP(B1508,CoreProteinGroups!$B:$C,2,FALSE)</f>
        <v>ATPase DNA packaging protein</v>
      </c>
      <c r="D1508" t="s">
        <v>2592</v>
      </c>
      <c r="E1508" s="6" t="str">
        <f t="shared" si="23"/>
        <v>PROT:XBH23862.1</v>
      </c>
      <c r="F1508" t="s">
        <v>753</v>
      </c>
      <c r="G1508" t="s">
        <v>2576</v>
      </c>
      <c r="H1508" t="s">
        <v>2701</v>
      </c>
      <c r="I1508" t="str">
        <f>INDEX(Genomes!$I:$I,(MATCH(AllProteins!H1508,Genomes!$B:$B,0)))</f>
        <v>PP711852-rousettus_bat_poxvirus</v>
      </c>
      <c r="J1508">
        <f>INDEX(Genomes!$A:$A,(MATCH(AllProteins!H1508,Genomes!$B:$B,0)))</f>
        <v>61</v>
      </c>
      <c r="K1508" t="str">
        <f>INDEX(Genomes!$J:$J,(MATCH(AllProteins!H1508,Genomes!$B:$B,0)))</f>
        <v>Y</v>
      </c>
    </row>
    <row r="1509" spans="1:11" x14ac:dyDescent="0.2">
      <c r="A1509">
        <f>INDEX(CoreProteinGroups!A:A,MATCH(B1509,CoreProteinGroups!B:B,0))</f>
        <v>8</v>
      </c>
      <c r="B1509" s="5" t="s">
        <v>651</v>
      </c>
      <c r="C1509" t="str">
        <f>VLOOKUP(B1509,CoreProteinGroups!$B:$C,2,FALSE)</f>
        <v>P4b</v>
      </c>
      <c r="D1509" t="s">
        <v>2593</v>
      </c>
      <c r="E1509" s="6" t="str">
        <f t="shared" si="23"/>
        <v>PROT:XBH23834.1</v>
      </c>
      <c r="F1509" t="s">
        <v>654</v>
      </c>
      <c r="G1509" t="s">
        <v>2576</v>
      </c>
      <c r="H1509" t="s">
        <v>2701</v>
      </c>
      <c r="I1509" t="str">
        <f>INDEX(Genomes!$I:$I,(MATCH(AllProteins!H1509,Genomes!$B:$B,0)))</f>
        <v>PP711852-rousettus_bat_poxvirus</v>
      </c>
      <c r="J1509">
        <f>INDEX(Genomes!$A:$A,(MATCH(AllProteins!H1509,Genomes!$B:$B,0)))</f>
        <v>61</v>
      </c>
      <c r="K1509" t="str">
        <f>INDEX(Genomes!$J:$J,(MATCH(AllProteins!H1509,Genomes!$B:$B,0)))</f>
        <v>Y</v>
      </c>
    </row>
    <row r="1510" spans="1:11" x14ac:dyDescent="0.2">
      <c r="A1510">
        <f>INDEX(CoreProteinGroups!A:A,MATCH(B1510,CoreProteinGroups!B:B,0))</f>
        <v>9</v>
      </c>
      <c r="B1510" s="5" t="s">
        <v>848</v>
      </c>
      <c r="C1510" t="str">
        <f>VLOOKUP(B1510,CoreProteinGroups!$B:$C,2,FALSE)</f>
        <v>VETF-L</v>
      </c>
      <c r="D1510" t="s">
        <v>2594</v>
      </c>
      <c r="E1510" s="6" t="str">
        <f t="shared" si="23"/>
        <v>PROT:PP711852.1-A7</v>
      </c>
      <c r="F1510" t="s">
        <v>2611</v>
      </c>
      <c r="G1510" t="s">
        <v>2576</v>
      </c>
      <c r="H1510" t="s">
        <v>2701</v>
      </c>
      <c r="I1510" t="str">
        <f>INDEX(Genomes!$I:$I,(MATCH(AllProteins!H1510,Genomes!$B:$B,0)))</f>
        <v>PP711852-rousettus_bat_poxvirus</v>
      </c>
      <c r="J1510">
        <f>INDEX(Genomes!$A:$A,(MATCH(AllProteins!H1510,Genomes!$B:$B,0)))</f>
        <v>61</v>
      </c>
      <c r="K1510" t="str">
        <f>INDEX(Genomes!$J:$J,(MATCH(AllProteins!H1510,Genomes!$B:$B,0)))</f>
        <v>Y</v>
      </c>
    </row>
    <row r="1511" spans="1:11" x14ac:dyDescent="0.2">
      <c r="A1511">
        <f>INDEX(CoreProteinGroups!A:A,MATCH(B1511,CoreProteinGroups!B:B,0))</f>
        <v>10</v>
      </c>
      <c r="B1511" s="5" t="s">
        <v>1045</v>
      </c>
      <c r="C1511" t="str">
        <f>VLOOKUP(B1511,CoreProteinGroups!$B:$C,2,FALSE)</f>
        <v>NPH-I</v>
      </c>
      <c r="D1511" t="s">
        <v>2595</v>
      </c>
      <c r="E1511" s="6" t="str">
        <f t="shared" si="23"/>
        <v>PROT:PP711852.1-D11</v>
      </c>
      <c r="F1511" t="s">
        <v>2611</v>
      </c>
      <c r="G1511" t="s">
        <v>2576</v>
      </c>
      <c r="H1511" t="s">
        <v>2701</v>
      </c>
      <c r="I1511" t="str">
        <f>INDEX(Genomes!$I:$I,(MATCH(AllProteins!H1511,Genomes!$B:$B,0)))</f>
        <v>PP711852-rousettus_bat_poxvirus</v>
      </c>
      <c r="J1511">
        <f>INDEX(Genomes!$A:$A,(MATCH(AllProteins!H1511,Genomes!$B:$B,0)))</f>
        <v>61</v>
      </c>
      <c r="K1511" t="str">
        <f>INDEX(Genomes!$J:$J,(MATCH(AllProteins!H1511,Genomes!$B:$B,0)))</f>
        <v>Y</v>
      </c>
    </row>
    <row r="1512" spans="1:11" x14ac:dyDescent="0.2">
      <c r="A1512">
        <f>INDEX(CoreProteinGroups!A:A,MATCH(B1512,CoreProteinGroups!B:B,0))</f>
        <v>11</v>
      </c>
      <c r="B1512" s="5" t="s">
        <v>1145</v>
      </c>
      <c r="C1512" t="str">
        <f>VLOOKUP(B1512,CoreProteinGroups!$B:$C,2,FALSE)</f>
        <v>small capping enzyme</v>
      </c>
      <c r="D1512" t="s">
        <v>2596</v>
      </c>
      <c r="E1512" s="6" t="str">
        <f t="shared" si="23"/>
        <v>PROT:XBH23830.1</v>
      </c>
      <c r="F1512" t="s">
        <v>2612</v>
      </c>
      <c r="G1512" t="s">
        <v>2576</v>
      </c>
      <c r="H1512" t="s">
        <v>2701</v>
      </c>
      <c r="I1512" t="str">
        <f>INDEX(Genomes!$I:$I,(MATCH(AllProteins!H1512,Genomes!$B:$B,0)))</f>
        <v>PP711852-rousettus_bat_poxvirus</v>
      </c>
      <c r="J1512">
        <f>INDEX(Genomes!$A:$A,(MATCH(AllProteins!H1512,Genomes!$B:$B,0)))</f>
        <v>61</v>
      </c>
      <c r="K1512" t="str">
        <f>INDEX(Genomes!$J:$J,(MATCH(AllProteins!H1512,Genomes!$B:$B,0)))</f>
        <v>Y</v>
      </c>
    </row>
    <row r="1513" spans="1:11" x14ac:dyDescent="0.2">
      <c r="A1513">
        <f>INDEX(CoreProteinGroups!A:A,MATCH(B1513,CoreProteinGroups!B:B,0))</f>
        <v>12</v>
      </c>
      <c r="B1513" s="5" t="s">
        <v>949</v>
      </c>
      <c r="C1513" t="str">
        <f>VLOOKUP(B1513,CoreProteinGroups!$B:$C,2,FALSE)</f>
        <v>large capping enzyme</v>
      </c>
      <c r="D1513" t="s">
        <v>2597</v>
      </c>
      <c r="E1513" s="6" t="str">
        <f t="shared" si="23"/>
        <v>PROT:XBH23825.1</v>
      </c>
      <c r="F1513" t="s">
        <v>2613</v>
      </c>
      <c r="G1513" t="s">
        <v>2576</v>
      </c>
      <c r="H1513" t="s">
        <v>2701</v>
      </c>
      <c r="I1513" t="str">
        <f>INDEX(Genomes!$I:$I,(MATCH(AllProteins!H1513,Genomes!$B:$B,0)))</f>
        <v>PP711852-rousettus_bat_poxvirus</v>
      </c>
      <c r="J1513">
        <f>INDEX(Genomes!$A:$A,(MATCH(AllProteins!H1513,Genomes!$B:$B,0)))</f>
        <v>61</v>
      </c>
      <c r="K1513" t="str">
        <f>INDEX(Genomes!$J:$J,(MATCH(AllProteins!H1513,Genomes!$B:$B,0)))</f>
        <v>Y</v>
      </c>
    </row>
    <row r="1514" spans="1:11" x14ac:dyDescent="0.2">
      <c r="A1514">
        <f>INDEX(CoreProteinGroups!A:A,MATCH(B1514,CoreProteinGroups!B:B,0))</f>
        <v>13</v>
      </c>
      <c r="B1514" s="5" t="s">
        <v>1238</v>
      </c>
      <c r="C1514" t="str">
        <f>VLOOKUP(B1514,CoreProteinGroups!$B:$C,2,FALSE)</f>
        <v>NTPase</v>
      </c>
      <c r="D1514" t="s">
        <v>2598</v>
      </c>
      <c r="E1514" s="6" t="str">
        <f t="shared" si="23"/>
        <v>PROT:XBH23828.1</v>
      </c>
      <c r="F1514" t="s">
        <v>2614</v>
      </c>
      <c r="G1514" t="s">
        <v>2576</v>
      </c>
      <c r="H1514" t="s">
        <v>2701</v>
      </c>
      <c r="I1514" t="str">
        <f>INDEX(Genomes!$I:$I,(MATCH(AllProteins!H1514,Genomes!$B:$B,0)))</f>
        <v>PP711852-rousettus_bat_poxvirus</v>
      </c>
      <c r="J1514">
        <f>INDEX(Genomes!$A:$A,(MATCH(AllProteins!H1514,Genomes!$B:$B,0)))</f>
        <v>61</v>
      </c>
      <c r="K1514" t="str">
        <f>INDEX(Genomes!$J:$J,(MATCH(AllProteins!H1514,Genomes!$B:$B,0)))</f>
        <v>Y</v>
      </c>
    </row>
    <row r="1515" spans="1:11" x14ac:dyDescent="0.2">
      <c r="A1515">
        <f>INDEX(CoreProteinGroups!A:A,MATCH(B1515,CoreProteinGroups!B:B,0))</f>
        <v>14</v>
      </c>
      <c r="B1515" s="5" t="s">
        <v>1332</v>
      </c>
      <c r="C1515" t="str">
        <f>VLOOKUP(B1515,CoreProteinGroups!$B:$C,2,FALSE)</f>
        <v>VETF-S</v>
      </c>
      <c r="D1515" t="s">
        <v>2599</v>
      </c>
      <c r="E1515" s="6" t="str">
        <f t="shared" si="23"/>
        <v>PROT:PP711852.1-D6</v>
      </c>
      <c r="F1515" t="s">
        <v>2611</v>
      </c>
      <c r="G1515" t="s">
        <v>2576</v>
      </c>
      <c r="H1515" t="s">
        <v>2701</v>
      </c>
      <c r="I1515" t="str">
        <f>INDEX(Genomes!$I:$I,(MATCH(AllProteins!H1515,Genomes!$B:$B,0)))</f>
        <v>PP711852-rousettus_bat_poxvirus</v>
      </c>
      <c r="J1515">
        <f>INDEX(Genomes!$A:$A,(MATCH(AllProteins!H1515,Genomes!$B:$B,0)))</f>
        <v>61</v>
      </c>
      <c r="K1515" t="str">
        <f>INDEX(Genomes!$J:$J,(MATCH(AllProteins!H1515,Genomes!$B:$B,0)))</f>
        <v>Y</v>
      </c>
    </row>
    <row r="1516" spans="1:11" x14ac:dyDescent="0.2">
      <c r="A1516">
        <f>INDEX(CoreProteinGroups!A:A,MATCH(B1516,CoreProteinGroups!B:B,0))</f>
        <v>15</v>
      </c>
      <c r="B1516" s="5" t="s">
        <v>1539</v>
      </c>
      <c r="C1516" t="str">
        <f>VLOOKUP(B1516,CoreProteinGroups!$B:$C,2,FALSE)</f>
        <v>sulfhydryl oxidase</v>
      </c>
      <c r="D1516" t="s">
        <v>2600</v>
      </c>
      <c r="E1516" s="6" t="str">
        <f t="shared" si="23"/>
        <v>PROT:XBH23788.1</v>
      </c>
      <c r="F1516" t="s">
        <v>1540</v>
      </c>
      <c r="G1516" t="s">
        <v>2576</v>
      </c>
      <c r="H1516" t="s">
        <v>2701</v>
      </c>
      <c r="I1516" t="str">
        <f>INDEX(Genomes!$I:$I,(MATCH(AllProteins!H1516,Genomes!$B:$B,0)))</f>
        <v>PP711852-rousettus_bat_poxvirus</v>
      </c>
      <c r="J1516">
        <f>INDEX(Genomes!$A:$A,(MATCH(AllProteins!H1516,Genomes!$B:$B,0)))</f>
        <v>61</v>
      </c>
      <c r="K1516" t="str">
        <f>INDEX(Genomes!$J:$J,(MATCH(AllProteins!H1516,Genomes!$B:$B,0)))</f>
        <v>Y</v>
      </c>
    </row>
    <row r="1517" spans="1:11" x14ac:dyDescent="0.2">
      <c r="A1517">
        <f>INDEX(CoreProteinGroups!A:A,MATCH(B1517,CoreProteinGroups!B:B,0))</f>
        <v>16</v>
      </c>
      <c r="B1517" s="5" t="s">
        <v>1435</v>
      </c>
      <c r="C1517" t="str">
        <f>VLOOKUP(B1517,CoreProteinGroups!$B:$C,2,FALSE)</f>
        <v>polyA polymerase large</v>
      </c>
      <c r="D1517" t="s">
        <v>2601</v>
      </c>
      <c r="E1517" s="6" t="str">
        <f t="shared" si="23"/>
        <v>PROT:XBH23780.1</v>
      </c>
      <c r="F1517" t="s">
        <v>2615</v>
      </c>
      <c r="G1517" t="s">
        <v>2576</v>
      </c>
      <c r="H1517" t="s">
        <v>2701</v>
      </c>
      <c r="I1517" t="str">
        <f>INDEX(Genomes!$I:$I,(MATCH(AllProteins!H1517,Genomes!$B:$B,0)))</f>
        <v>PP711852-rousettus_bat_poxvirus</v>
      </c>
      <c r="J1517">
        <f>INDEX(Genomes!$A:$A,(MATCH(AllProteins!H1517,Genomes!$B:$B,0)))</f>
        <v>61</v>
      </c>
      <c r="K1517" t="str">
        <f>INDEX(Genomes!$J:$J,(MATCH(AllProteins!H1517,Genomes!$B:$B,0)))</f>
        <v>Y</v>
      </c>
    </row>
    <row r="1518" spans="1:11" x14ac:dyDescent="0.2">
      <c r="A1518">
        <f>INDEX(CoreProteinGroups!A:A,MATCH(B1518,CoreProteinGroups!B:B,0))</f>
        <v>17</v>
      </c>
      <c r="B1518" s="5" t="s">
        <v>1636</v>
      </c>
      <c r="C1518" t="str">
        <f>VLOOKUP(B1518,CoreProteinGroups!$B:$C,2,FALSE)</f>
        <v>DNA-polymerase</v>
      </c>
      <c r="D1518" t="s">
        <v>2602</v>
      </c>
      <c r="E1518" s="6" t="str">
        <f t="shared" si="23"/>
        <v>PROT:XBH23787.1</v>
      </c>
      <c r="F1518" t="s">
        <v>1639</v>
      </c>
      <c r="G1518" t="s">
        <v>2576</v>
      </c>
      <c r="H1518" t="s">
        <v>2701</v>
      </c>
      <c r="I1518" t="str">
        <f>INDEX(Genomes!$I:$I,(MATCH(AllProteins!H1518,Genomes!$B:$B,0)))</f>
        <v>PP711852-rousettus_bat_poxvirus</v>
      </c>
      <c r="J1518">
        <f>INDEX(Genomes!$A:$A,(MATCH(AllProteins!H1518,Genomes!$B:$B,0)))</f>
        <v>61</v>
      </c>
      <c r="K1518" t="str">
        <f>INDEX(Genomes!$J:$J,(MATCH(AllProteins!H1518,Genomes!$B:$B,0)))</f>
        <v>Y</v>
      </c>
    </row>
    <row r="1519" spans="1:11" x14ac:dyDescent="0.2">
      <c r="A1519">
        <f>INDEX(CoreProteinGroups!A:A,MATCH(B1519,CoreProteinGroups!B:B,0))</f>
        <v>18</v>
      </c>
      <c r="B1519" s="5" t="s">
        <v>1723</v>
      </c>
      <c r="C1519" t="str">
        <f>VLOOKUP(B1519,CoreProteinGroups!$B:$C,2,FALSE)</f>
        <v>FEN1</v>
      </c>
      <c r="D1519" t="s">
        <v>2603</v>
      </c>
      <c r="E1519" s="6" t="str">
        <f t="shared" si="23"/>
        <v>PROT:XBH23802.1</v>
      </c>
      <c r="F1519" t="s">
        <v>271</v>
      </c>
      <c r="G1519" t="s">
        <v>2576</v>
      </c>
      <c r="H1519" t="s">
        <v>2701</v>
      </c>
      <c r="I1519" t="str">
        <f>INDEX(Genomes!$I:$I,(MATCH(AllProteins!H1519,Genomes!$B:$B,0)))</f>
        <v>PP711852-rousettus_bat_poxvirus</v>
      </c>
      <c r="J1519">
        <f>INDEX(Genomes!$A:$A,(MATCH(AllProteins!H1519,Genomes!$B:$B,0)))</f>
        <v>61</v>
      </c>
      <c r="K1519" t="str">
        <f>INDEX(Genomes!$J:$J,(MATCH(AllProteins!H1519,Genomes!$B:$B,0)))</f>
        <v>Y</v>
      </c>
    </row>
    <row r="1520" spans="1:11" x14ac:dyDescent="0.2">
      <c r="A1520">
        <f>INDEX(CoreProteinGroups!A:A,MATCH(B1520,CoreProteinGroups!B:B,0))</f>
        <v>19</v>
      </c>
      <c r="B1520" s="5" t="s">
        <v>1821</v>
      </c>
      <c r="C1520" t="str">
        <f>VLOOKUP(B1520,CoreProteinGroups!$B:$C,2,FALSE)</f>
        <v>IMV entry-fusion</v>
      </c>
      <c r="D1520" t="s">
        <v>2604</v>
      </c>
      <c r="E1520" s="6" t="str">
        <f t="shared" si="23"/>
        <v>PROT:XBH23819.1</v>
      </c>
      <c r="F1520" t="s">
        <v>1870</v>
      </c>
      <c r="G1520" t="s">
        <v>2576</v>
      </c>
      <c r="H1520" t="s">
        <v>2701</v>
      </c>
      <c r="I1520" t="str">
        <f>INDEX(Genomes!$I:$I,(MATCH(AllProteins!H1520,Genomes!$B:$B,0)))</f>
        <v>PP711852-rousettus_bat_poxvirus</v>
      </c>
      <c r="J1520">
        <f>INDEX(Genomes!$A:$A,(MATCH(AllProteins!H1520,Genomes!$B:$B,0)))</f>
        <v>61</v>
      </c>
      <c r="K1520" t="str">
        <f>INDEX(Genomes!$J:$J,(MATCH(AllProteins!H1520,Genomes!$B:$B,0)))</f>
        <v>Y</v>
      </c>
    </row>
    <row r="1521" spans="1:11" x14ac:dyDescent="0.2">
      <c r="A1521">
        <f>INDEX(CoreProteinGroups!A:A,MATCH(B1521,CoreProteinGroups!B:B,0))</f>
        <v>20</v>
      </c>
      <c r="B1521" s="5" t="s">
        <v>1923</v>
      </c>
      <c r="C1521" t="str">
        <f>VLOOKUP(B1521,CoreProteinGroups!$B:$C,2,FALSE)</f>
        <v>RAP94</v>
      </c>
      <c r="D1521" t="s">
        <v>2605</v>
      </c>
      <c r="E1521" s="6" t="str">
        <f t="shared" si="23"/>
        <v>PROT:PP711852.1-H4</v>
      </c>
      <c r="F1521" t="s">
        <v>2611</v>
      </c>
      <c r="G1521" t="s">
        <v>2576</v>
      </c>
      <c r="H1521" t="s">
        <v>2701</v>
      </c>
      <c r="I1521" t="str">
        <f>INDEX(Genomes!$I:$I,(MATCH(AllProteins!H1521,Genomes!$B:$B,0)))</f>
        <v>PP711852-rousettus_bat_poxvirus</v>
      </c>
      <c r="J1521">
        <f>INDEX(Genomes!$A:$A,(MATCH(AllProteins!H1521,Genomes!$B:$B,0)))</f>
        <v>61</v>
      </c>
      <c r="K1521" t="str">
        <f>INDEX(Genomes!$J:$J,(MATCH(AllProteins!H1521,Genomes!$B:$B,0)))</f>
        <v>Y</v>
      </c>
    </row>
    <row r="1522" spans="1:11" x14ac:dyDescent="0.2">
      <c r="A1522">
        <f>INDEX(CoreProteinGroups!A:A,MATCH(B1522,CoreProteinGroups!B:B,0))</f>
        <v>21</v>
      </c>
      <c r="B1522" s="5" t="s">
        <v>2027</v>
      </c>
      <c r="C1522" t="str">
        <f>VLOOKUP(B1522,CoreProteinGroups!$B:$C,2,FALSE)</f>
        <v>DNA topoisomerase</v>
      </c>
      <c r="D1522" t="s">
        <v>2606</v>
      </c>
      <c r="E1522" s="6" t="str">
        <f t="shared" si="23"/>
        <v>PROT:XBH23822.1</v>
      </c>
      <c r="F1522" t="s">
        <v>2030</v>
      </c>
      <c r="G1522" t="s">
        <v>2576</v>
      </c>
      <c r="H1522" t="s">
        <v>2701</v>
      </c>
      <c r="I1522" t="str">
        <f>INDEX(Genomes!$I:$I,(MATCH(AllProteins!H1522,Genomes!$B:$B,0)))</f>
        <v>PP711852-rousettus_bat_poxvirus</v>
      </c>
      <c r="J1522">
        <f>INDEX(Genomes!$A:$A,(MATCH(AllProteins!H1522,Genomes!$B:$B,0)))</f>
        <v>61</v>
      </c>
      <c r="K1522" t="str">
        <f>INDEX(Genomes!$J:$J,(MATCH(AllProteins!H1522,Genomes!$B:$B,0)))</f>
        <v>Y</v>
      </c>
    </row>
    <row r="1523" spans="1:11" x14ac:dyDescent="0.2">
      <c r="A1523">
        <f>INDEX(CoreProteinGroups!A:A,MATCH(B1523,CoreProteinGroups!B:B,0))</f>
        <v>22</v>
      </c>
      <c r="B1523" s="5" t="s">
        <v>2121</v>
      </c>
      <c r="C1523" t="str">
        <f>VLOOKUP(B1523,CoreProteinGroups!$B:$C,2,FALSE)</f>
        <v>NPH-II</v>
      </c>
      <c r="D1523" t="s">
        <v>2607</v>
      </c>
      <c r="E1523" s="6" t="str">
        <f t="shared" si="23"/>
        <v>PROT:XBH23797.1</v>
      </c>
      <c r="F1523" t="s">
        <v>2128</v>
      </c>
      <c r="G1523" t="s">
        <v>2576</v>
      </c>
      <c r="H1523" t="s">
        <v>2701</v>
      </c>
      <c r="I1523" t="str">
        <f>INDEX(Genomes!$I:$I,(MATCH(AllProteins!H1523,Genomes!$B:$B,0)))</f>
        <v>PP711852-rousettus_bat_poxvirus</v>
      </c>
      <c r="J1523">
        <f>INDEX(Genomes!$A:$A,(MATCH(AllProteins!H1523,Genomes!$B:$B,0)))</f>
        <v>61</v>
      </c>
      <c r="K1523" t="str">
        <f>INDEX(Genomes!$J:$J,(MATCH(AllProteins!H1523,Genomes!$B:$B,0)))</f>
        <v>Y</v>
      </c>
    </row>
    <row r="1524" spans="1:11" x14ac:dyDescent="0.2">
      <c r="A1524">
        <f>INDEX(CoreProteinGroups!A:A,MATCH(B1524,CoreProteinGroups!B:B,0))</f>
        <v>23</v>
      </c>
      <c r="B1524" s="5" t="s">
        <v>2220</v>
      </c>
      <c r="C1524" t="str">
        <f>VLOOKUP(B1524,CoreProteinGroups!$B:$C,2,FALSE)</f>
        <v>polyA polymerase small</v>
      </c>
      <c r="D1524" t="s">
        <v>2608</v>
      </c>
      <c r="E1524" s="6" t="str">
        <f t="shared" si="23"/>
        <v>PROT:XBH23815.1</v>
      </c>
      <c r="F1524" t="s">
        <v>2616</v>
      </c>
      <c r="G1524" t="s">
        <v>2576</v>
      </c>
      <c r="H1524" t="s">
        <v>2701</v>
      </c>
      <c r="I1524" t="str">
        <f>INDEX(Genomes!$I:$I,(MATCH(AllProteins!H1524,Genomes!$B:$B,0)))</f>
        <v>PP711852-rousettus_bat_poxvirus</v>
      </c>
      <c r="J1524">
        <f>INDEX(Genomes!$A:$A,(MATCH(AllProteins!H1524,Genomes!$B:$B,0)))</f>
        <v>61</v>
      </c>
      <c r="K1524" t="str">
        <f>INDEX(Genomes!$J:$J,(MATCH(AllProteins!H1524,Genomes!$B:$B,0)))</f>
        <v>Y</v>
      </c>
    </row>
    <row r="1525" spans="1:11" x14ac:dyDescent="0.2">
      <c r="A1525">
        <f>INDEX(CoreProteinGroups!A:A,MATCH(B1525,CoreProteinGroups!B:B,0))</f>
        <v>24</v>
      </c>
      <c r="B1525" s="5" t="s">
        <v>2322</v>
      </c>
      <c r="C1525" t="str">
        <f>VLOOKUP(B1525,CoreProteinGroups!$B:$C,2,FALSE)</f>
        <v>RPO147</v>
      </c>
      <c r="D1525" t="s">
        <v>2609</v>
      </c>
      <c r="E1525" s="6" t="str">
        <f t="shared" si="23"/>
        <v>PROT:XBH23817.1</v>
      </c>
      <c r="F1525" t="s">
        <v>2334</v>
      </c>
      <c r="G1525" t="s">
        <v>2576</v>
      </c>
      <c r="H1525" t="s">
        <v>2701</v>
      </c>
      <c r="I1525" t="str">
        <f>INDEX(Genomes!$I:$I,(MATCH(AllProteins!H1525,Genomes!$B:$B,0)))</f>
        <v>PP711852-rousettus_bat_poxvirus</v>
      </c>
      <c r="J1525">
        <f>INDEX(Genomes!$A:$A,(MATCH(AllProteins!H1525,Genomes!$B:$B,0)))</f>
        <v>61</v>
      </c>
      <c r="K1525" t="str">
        <f>INDEX(Genomes!$J:$J,(MATCH(AllProteins!H1525,Genomes!$B:$B,0)))</f>
        <v>Y</v>
      </c>
    </row>
    <row r="1526" spans="1:11" x14ac:dyDescent="0.2">
      <c r="A1526">
        <f>INDEX(CoreProteinGroups!A:A,MATCH(B1526,CoreProteinGroups!B:B,0))</f>
        <v>25</v>
      </c>
      <c r="B1526" s="5" t="s">
        <v>2417</v>
      </c>
      <c r="C1526" t="str">
        <f>VLOOKUP(B1526,CoreProteinGroups!$B:$C,2,FALSE)</f>
        <v>IMV membrane protein</v>
      </c>
      <c r="D1526" t="s">
        <v>2610</v>
      </c>
      <c r="E1526" s="6" t="str">
        <f t="shared" si="23"/>
        <v>PROT:XBH23769.1</v>
      </c>
      <c r="F1526" t="s">
        <v>2617</v>
      </c>
      <c r="G1526" t="s">
        <v>2576</v>
      </c>
      <c r="H1526" t="s">
        <v>2701</v>
      </c>
      <c r="I1526" t="str">
        <f>INDEX(Genomes!$I:$I,(MATCH(AllProteins!H1526,Genomes!$B:$B,0)))</f>
        <v>PP711852-rousettus_bat_poxvirus</v>
      </c>
      <c r="J1526">
        <f>INDEX(Genomes!$A:$A,(MATCH(AllProteins!H1526,Genomes!$B:$B,0)))</f>
        <v>61</v>
      </c>
      <c r="K1526" t="str">
        <f>INDEX(Genomes!$J:$J,(MATCH(AllProteins!H1526,Genomes!$B:$B,0)))</f>
        <v>Y</v>
      </c>
    </row>
    <row r="1527" spans="1:11" x14ac:dyDescent="0.2">
      <c r="A1527">
        <f>INDEX(CoreProteinGroups!A:A,MATCH(B1527,CoreProteinGroups!B:B,0))</f>
        <v>1</v>
      </c>
      <c r="B1527" t="s">
        <v>7</v>
      </c>
      <c r="C1527" t="str">
        <f>VLOOKUP(B1527,CoreProteinGroups!$B:$C,2,FALSE)</f>
        <v>DNA helicase</v>
      </c>
      <c r="D1527" t="s">
        <v>2708</v>
      </c>
      <c r="E1527" s="6" t="str">
        <f t="shared" si="23"/>
        <v>PROT:AAA48140.1</v>
      </c>
      <c r="F1527" t="s">
        <v>8</v>
      </c>
      <c r="G1527" t="s">
        <v>2706</v>
      </c>
      <c r="H1527" t="s">
        <v>2705</v>
      </c>
      <c r="I1527" t="str">
        <f>INDEX(Genomes!$I:$I,(MATCH(AllProteins!H1527,Genomes!$B:$B,0)))</f>
        <v>M35027-vaccinia_virus_strain_Copenhagen</v>
      </c>
      <c r="J1527">
        <f>INDEX(Genomes!$A:$A,(MATCH(AllProteins!H1527,Genomes!$B:$B,0)))</f>
        <v>62</v>
      </c>
      <c r="K1527" t="str">
        <f>INDEX(Genomes!$J:$J,(MATCH(AllProteins!H1527,Genomes!$B:$B,0)))</f>
        <v>N</v>
      </c>
    </row>
    <row r="1528" spans="1:11" x14ac:dyDescent="0.2">
      <c r="A1528">
        <f>INDEX(CoreProteinGroups!A:A,MATCH(B1528,CoreProteinGroups!B:B,0))</f>
        <v>6</v>
      </c>
      <c r="B1528" t="s">
        <v>154</v>
      </c>
      <c r="C1528" t="str">
        <f>VLOOKUP(B1528,CoreProteinGroups!$B:$C,2,FALSE)</f>
        <v>VLTF-3</v>
      </c>
      <c r="D1528" t="s">
        <v>2709</v>
      </c>
      <c r="E1528" s="6" t="str">
        <f t="shared" si="23"/>
        <v>PROT:AAA48117.1</v>
      </c>
      <c r="F1528" t="s">
        <v>155</v>
      </c>
      <c r="G1528" t="s">
        <v>2706</v>
      </c>
      <c r="H1528" t="s">
        <v>2705</v>
      </c>
      <c r="I1528" t="str">
        <f>INDEX(Genomes!$I:$I,(MATCH(AllProteins!H1528,Genomes!$B:$B,0)))</f>
        <v>M35027-vaccinia_virus_strain_Copenhagen</v>
      </c>
      <c r="J1528">
        <f>INDEX(Genomes!$A:$A,(MATCH(AllProteins!H1528,Genomes!$B:$B,0)))</f>
        <v>62</v>
      </c>
      <c r="K1528" t="str">
        <f>INDEX(Genomes!$J:$J,(MATCH(AllProteins!H1528,Genomes!$B:$B,0)))</f>
        <v>N</v>
      </c>
    </row>
    <row r="1529" spans="1:11" x14ac:dyDescent="0.2">
      <c r="A1529">
        <f>INDEX(CoreProteinGroups!A:A,MATCH(B1529,CoreProteinGroups!B:B,0))</f>
        <v>2</v>
      </c>
      <c r="B1529" t="s">
        <v>251</v>
      </c>
      <c r="C1529" t="str">
        <f>VLOOKUP(B1529,CoreProteinGroups!$B:$C,2,FALSE)</f>
        <v>holliday junction resolvase</v>
      </c>
      <c r="D1529" t="s">
        <v>2710</v>
      </c>
      <c r="E1529" s="6" t="str">
        <f t="shared" si="23"/>
        <v>PROT:AAA48146.1</v>
      </c>
      <c r="F1529" t="s">
        <v>252</v>
      </c>
      <c r="G1529" t="s">
        <v>2706</v>
      </c>
      <c r="H1529" t="s">
        <v>2705</v>
      </c>
      <c r="I1529" t="str">
        <f>INDEX(Genomes!$I:$I,(MATCH(AllProteins!H1529,Genomes!$B:$B,0)))</f>
        <v>M35027-vaccinia_virus_strain_Copenhagen</v>
      </c>
      <c r="J1529">
        <f>INDEX(Genomes!$A:$A,(MATCH(AllProteins!H1529,Genomes!$B:$B,0)))</f>
        <v>62</v>
      </c>
      <c r="K1529" t="str">
        <f>INDEX(Genomes!$J:$J,(MATCH(AllProteins!H1529,Genomes!$B:$B,0)))</f>
        <v>N</v>
      </c>
    </row>
    <row r="1530" spans="1:11" x14ac:dyDescent="0.2">
      <c r="A1530">
        <f>INDEX(CoreProteinGroups!A:A,MATCH(B1530,CoreProteinGroups!B:B,0))</f>
        <v>3</v>
      </c>
      <c r="B1530" t="s">
        <v>349</v>
      </c>
      <c r="C1530" t="str">
        <f>VLOOKUP(B1530,CoreProteinGroups!$B:$C,2,FALSE)</f>
        <v>VITF-3</v>
      </c>
      <c r="D1530" t="s">
        <v>2711</v>
      </c>
      <c r="E1530" s="6" t="str">
        <f t="shared" si="23"/>
        <v>PROT:AAA48147.1</v>
      </c>
      <c r="F1530" t="s">
        <v>350</v>
      </c>
      <c r="G1530" t="s">
        <v>2706</v>
      </c>
      <c r="H1530" t="s">
        <v>2705</v>
      </c>
      <c r="I1530" t="str">
        <f>INDEX(Genomes!$I:$I,(MATCH(AllProteins!H1530,Genomes!$B:$B,0)))</f>
        <v>M35027-vaccinia_virus_strain_Copenhagen</v>
      </c>
      <c r="J1530">
        <f>INDEX(Genomes!$A:$A,(MATCH(AllProteins!H1530,Genomes!$B:$B,0)))</f>
        <v>62</v>
      </c>
      <c r="K1530" t="str">
        <f>INDEX(Genomes!$J:$J,(MATCH(AllProteins!H1530,Genomes!$B:$B,0)))</f>
        <v>N</v>
      </c>
    </row>
    <row r="1531" spans="1:11" x14ac:dyDescent="0.2">
      <c r="A1531">
        <f>INDEX(CoreProteinGroups!A:A,MATCH(B1531,CoreProteinGroups!B:B,0))</f>
        <v>4</v>
      </c>
      <c r="B1531" t="s">
        <v>451</v>
      </c>
      <c r="C1531" t="str">
        <f>VLOOKUP(B1531,CoreProteinGroups!$B:$C,2,FALSE)</f>
        <v>RPO132</v>
      </c>
      <c r="D1531" t="s">
        <v>2712</v>
      </c>
      <c r="E1531" s="6" t="str">
        <f t="shared" si="23"/>
        <v>PROT:AAA48148.1</v>
      </c>
      <c r="F1531" t="s">
        <v>452</v>
      </c>
      <c r="G1531" t="s">
        <v>2706</v>
      </c>
      <c r="H1531" t="s">
        <v>2705</v>
      </c>
      <c r="I1531" t="str">
        <f>INDEX(Genomes!$I:$I,(MATCH(AllProteins!H1531,Genomes!$B:$B,0)))</f>
        <v>M35027-vaccinia_virus_strain_Copenhagen</v>
      </c>
      <c r="J1531">
        <f>INDEX(Genomes!$A:$A,(MATCH(AllProteins!H1531,Genomes!$B:$B,0)))</f>
        <v>62</v>
      </c>
      <c r="K1531" t="str">
        <f>INDEX(Genomes!$J:$J,(MATCH(AllProteins!H1531,Genomes!$B:$B,0)))</f>
        <v>N</v>
      </c>
    </row>
    <row r="1532" spans="1:11" x14ac:dyDescent="0.2">
      <c r="A1532">
        <f>INDEX(CoreProteinGroups!A:A,MATCH(B1532,CoreProteinGroups!B:B,0))</f>
        <v>5</v>
      </c>
      <c r="B1532" t="s">
        <v>547</v>
      </c>
      <c r="C1532" t="str">
        <f>VLOOKUP(B1532,CoreProteinGroups!$B:$C,2,FALSE)</f>
        <v>IMV-MP</v>
      </c>
      <c r="D1532" t="s">
        <v>2713</v>
      </c>
      <c r="E1532" s="6" t="str">
        <f t="shared" si="23"/>
        <v>PROT:AAA48153.1</v>
      </c>
      <c r="F1532" t="s">
        <v>548</v>
      </c>
      <c r="G1532" t="s">
        <v>2706</v>
      </c>
      <c r="H1532" t="s">
        <v>2705</v>
      </c>
      <c r="I1532" t="str">
        <f>INDEX(Genomes!$I:$I,(MATCH(AllProteins!H1532,Genomes!$B:$B,0)))</f>
        <v>M35027-vaccinia_virus_strain_Copenhagen</v>
      </c>
      <c r="J1532">
        <f>INDEX(Genomes!$A:$A,(MATCH(AllProteins!H1532,Genomes!$B:$B,0)))</f>
        <v>62</v>
      </c>
      <c r="K1532" t="str">
        <f>INDEX(Genomes!$J:$J,(MATCH(AllProteins!H1532,Genomes!$B:$B,0)))</f>
        <v>N</v>
      </c>
    </row>
    <row r="1533" spans="1:11" x14ac:dyDescent="0.2">
      <c r="A1533">
        <f>INDEX(CoreProteinGroups!A:A,MATCH(B1533,CoreProteinGroups!B:B,0))</f>
        <v>8</v>
      </c>
      <c r="B1533" t="s">
        <v>651</v>
      </c>
      <c r="C1533" t="str">
        <f>VLOOKUP(B1533,CoreProteinGroups!$B:$C,2,FALSE)</f>
        <v>P4b</v>
      </c>
      <c r="D1533" t="s">
        <v>2714</v>
      </c>
      <c r="E1533" s="6" t="str">
        <f t="shared" si="23"/>
        <v>PROT:AAA48118.1</v>
      </c>
      <c r="F1533" t="s">
        <v>652</v>
      </c>
      <c r="G1533" t="s">
        <v>2706</v>
      </c>
      <c r="H1533" t="s">
        <v>2705</v>
      </c>
      <c r="I1533" t="str">
        <f>INDEX(Genomes!$I:$I,(MATCH(AllProteins!H1533,Genomes!$B:$B,0)))</f>
        <v>M35027-vaccinia_virus_strain_Copenhagen</v>
      </c>
      <c r="J1533">
        <f>INDEX(Genomes!$A:$A,(MATCH(AllProteins!H1533,Genomes!$B:$B,0)))</f>
        <v>62</v>
      </c>
      <c r="K1533" t="str">
        <f>INDEX(Genomes!$J:$J,(MATCH(AllProteins!H1533,Genomes!$B:$B,0)))</f>
        <v>N</v>
      </c>
    </row>
    <row r="1534" spans="1:11" x14ac:dyDescent="0.2">
      <c r="A1534">
        <f>INDEX(CoreProteinGroups!A:A,MATCH(B1534,CoreProteinGroups!B:B,0))</f>
        <v>7</v>
      </c>
      <c r="B1534" t="s">
        <v>750</v>
      </c>
      <c r="C1534" t="str">
        <f>VLOOKUP(B1534,CoreProteinGroups!$B:$C,2,FALSE)</f>
        <v>ATPase DNA packaging protein</v>
      </c>
      <c r="D1534" t="s">
        <v>2715</v>
      </c>
      <c r="E1534" s="6" t="str">
        <f t="shared" si="23"/>
        <v>PROT:AAA48158.1</v>
      </c>
      <c r="F1534" t="s">
        <v>751</v>
      </c>
      <c r="G1534" t="s">
        <v>2706</v>
      </c>
      <c r="H1534" t="s">
        <v>2705</v>
      </c>
      <c r="I1534" t="str">
        <f>INDEX(Genomes!$I:$I,(MATCH(AllProteins!H1534,Genomes!$B:$B,0)))</f>
        <v>M35027-vaccinia_virus_strain_Copenhagen</v>
      </c>
      <c r="J1534">
        <f>INDEX(Genomes!$A:$A,(MATCH(AllProteins!H1534,Genomes!$B:$B,0)))</f>
        <v>62</v>
      </c>
      <c r="K1534" t="str">
        <f>INDEX(Genomes!$J:$J,(MATCH(AllProteins!H1534,Genomes!$B:$B,0)))</f>
        <v>N</v>
      </c>
    </row>
    <row r="1535" spans="1:11" x14ac:dyDescent="0.2">
      <c r="A1535">
        <f>INDEX(CoreProteinGroups!A:A,MATCH(B1535,CoreProteinGroups!B:B,0))</f>
        <v>9</v>
      </c>
      <c r="B1535" t="s">
        <v>848</v>
      </c>
      <c r="C1535" t="str">
        <f>VLOOKUP(B1535,CoreProteinGroups!$B:$C,2,FALSE)</f>
        <v>VETF-L</v>
      </c>
      <c r="D1535" t="s">
        <v>2716</v>
      </c>
      <c r="E1535" s="6" t="str">
        <f t="shared" si="23"/>
        <v>PROT:AAA48124.1</v>
      </c>
      <c r="F1535" t="s">
        <v>849</v>
      </c>
      <c r="G1535" t="s">
        <v>2706</v>
      </c>
      <c r="H1535" t="s">
        <v>2705</v>
      </c>
      <c r="I1535" t="str">
        <f>INDEX(Genomes!$I:$I,(MATCH(AllProteins!H1535,Genomes!$B:$B,0)))</f>
        <v>M35027-vaccinia_virus_strain_Copenhagen</v>
      </c>
      <c r="J1535">
        <f>INDEX(Genomes!$A:$A,(MATCH(AllProteins!H1535,Genomes!$B:$B,0)))</f>
        <v>62</v>
      </c>
      <c r="K1535" t="str">
        <f>INDEX(Genomes!$J:$J,(MATCH(AllProteins!H1535,Genomes!$B:$B,0)))</f>
        <v>N</v>
      </c>
    </row>
    <row r="1536" spans="1:11" x14ac:dyDescent="0.2">
      <c r="A1536">
        <f>INDEX(CoreProteinGroups!A:A,MATCH(B1536,CoreProteinGroups!B:B,0))</f>
        <v>12</v>
      </c>
      <c r="B1536" t="s">
        <v>949</v>
      </c>
      <c r="C1536" t="str">
        <f>VLOOKUP(B1536,CoreProteinGroups!$B:$C,2,FALSE)</f>
        <v>large capping enzyme</v>
      </c>
      <c r="D1536" t="s">
        <v>2717</v>
      </c>
      <c r="E1536" s="6" t="str">
        <f t="shared" si="23"/>
        <v>PROT:AAA48095.1</v>
      </c>
      <c r="F1536" t="s">
        <v>950</v>
      </c>
      <c r="G1536" t="s">
        <v>2706</v>
      </c>
      <c r="H1536" t="s">
        <v>2705</v>
      </c>
      <c r="I1536" t="str">
        <f>INDEX(Genomes!$I:$I,(MATCH(AllProteins!H1536,Genomes!$B:$B,0)))</f>
        <v>M35027-vaccinia_virus_strain_Copenhagen</v>
      </c>
      <c r="J1536">
        <f>INDEX(Genomes!$A:$A,(MATCH(AllProteins!H1536,Genomes!$B:$B,0)))</f>
        <v>62</v>
      </c>
      <c r="K1536" t="str">
        <f>INDEX(Genomes!$J:$J,(MATCH(AllProteins!H1536,Genomes!$B:$B,0)))</f>
        <v>N</v>
      </c>
    </row>
    <row r="1537" spans="1:11" x14ac:dyDescent="0.2">
      <c r="A1537">
        <f>INDEX(CoreProteinGroups!A:A,MATCH(B1537,CoreProteinGroups!B:B,0))</f>
        <v>10</v>
      </c>
      <c r="B1537" t="s">
        <v>1045</v>
      </c>
      <c r="C1537" t="str">
        <f>VLOOKUP(B1537,CoreProteinGroups!$B:$C,2,FALSE)</f>
        <v>NPH-I</v>
      </c>
      <c r="D1537" t="s">
        <v>2718</v>
      </c>
      <c r="E1537" s="6" t="str">
        <f t="shared" si="23"/>
        <v>PROT:AAA48110.1</v>
      </c>
      <c r="F1537" t="s">
        <v>1046</v>
      </c>
      <c r="G1537" t="s">
        <v>2706</v>
      </c>
      <c r="H1537" t="s">
        <v>2705</v>
      </c>
      <c r="I1537" t="str">
        <f>INDEX(Genomes!$I:$I,(MATCH(AllProteins!H1537,Genomes!$B:$B,0)))</f>
        <v>M35027-vaccinia_virus_strain_Copenhagen</v>
      </c>
      <c r="J1537">
        <f>INDEX(Genomes!$A:$A,(MATCH(AllProteins!H1537,Genomes!$B:$B,0)))</f>
        <v>62</v>
      </c>
      <c r="K1537" t="str">
        <f>INDEX(Genomes!$J:$J,(MATCH(AllProteins!H1537,Genomes!$B:$B,0)))</f>
        <v>N</v>
      </c>
    </row>
    <row r="1538" spans="1:11" x14ac:dyDescent="0.2">
      <c r="A1538">
        <f>INDEX(CoreProteinGroups!A:A,MATCH(B1538,CoreProteinGroups!B:B,0))</f>
        <v>11</v>
      </c>
      <c r="B1538" t="s">
        <v>1145</v>
      </c>
      <c r="C1538" t="str">
        <f>VLOOKUP(B1538,CoreProteinGroups!$B:$C,2,FALSE)</f>
        <v>small capping enzyme</v>
      </c>
      <c r="D1538" t="s">
        <v>2719</v>
      </c>
      <c r="E1538" s="6" t="str">
        <f t="shared" ref="E1538:E1551" si="24">HYPERLINK(_xlfn.CONCAT("https://www.ncbi.nlm.nih.gov/protein/",D1538),_xlfn.CONCAT("PROT:",D1538))</f>
        <v>PROT:AAA48113.1</v>
      </c>
      <c r="F1538" t="s">
        <v>1146</v>
      </c>
      <c r="G1538" t="s">
        <v>2706</v>
      </c>
      <c r="H1538" t="s">
        <v>2705</v>
      </c>
      <c r="I1538" t="str">
        <f>INDEX(Genomes!$I:$I,(MATCH(AllProteins!H1538,Genomes!$B:$B,0)))</f>
        <v>M35027-vaccinia_virus_strain_Copenhagen</v>
      </c>
      <c r="J1538">
        <f>INDEX(Genomes!$A:$A,(MATCH(AllProteins!H1538,Genomes!$B:$B,0)))</f>
        <v>62</v>
      </c>
      <c r="K1538" t="str">
        <f>INDEX(Genomes!$J:$J,(MATCH(AllProteins!H1538,Genomes!$B:$B,0)))</f>
        <v>N</v>
      </c>
    </row>
    <row r="1539" spans="1:11" x14ac:dyDescent="0.2">
      <c r="A1539">
        <f>INDEX(CoreProteinGroups!A:A,MATCH(B1539,CoreProteinGroups!B:B,0))</f>
        <v>13</v>
      </c>
      <c r="B1539" t="s">
        <v>1238</v>
      </c>
      <c r="C1539" t="str">
        <f>VLOOKUP(B1539,CoreProteinGroups!$B:$C,2,FALSE)</f>
        <v>NTPase</v>
      </c>
      <c r="D1539" t="s">
        <v>2720</v>
      </c>
      <c r="E1539" s="6" t="str">
        <f t="shared" si="24"/>
        <v>PROT:AAA48102.1</v>
      </c>
      <c r="F1539" t="s">
        <v>1239</v>
      </c>
      <c r="G1539" t="s">
        <v>2706</v>
      </c>
      <c r="H1539" t="s">
        <v>2705</v>
      </c>
      <c r="I1539" t="str">
        <f>INDEX(Genomes!$I:$I,(MATCH(AllProteins!H1539,Genomes!$B:$B,0)))</f>
        <v>M35027-vaccinia_virus_strain_Copenhagen</v>
      </c>
      <c r="J1539">
        <f>INDEX(Genomes!$A:$A,(MATCH(AllProteins!H1539,Genomes!$B:$B,0)))</f>
        <v>62</v>
      </c>
      <c r="K1539" t="str">
        <f>INDEX(Genomes!$J:$J,(MATCH(AllProteins!H1539,Genomes!$B:$B,0)))</f>
        <v>N</v>
      </c>
    </row>
    <row r="1540" spans="1:11" x14ac:dyDescent="0.2">
      <c r="A1540">
        <f>INDEX(CoreProteinGroups!A:A,MATCH(B1540,CoreProteinGroups!B:B,0))</f>
        <v>14</v>
      </c>
      <c r="B1540" t="s">
        <v>1332</v>
      </c>
      <c r="C1540" t="str">
        <f>VLOOKUP(B1540,CoreProteinGroups!$B:$C,2,FALSE)</f>
        <v>VETF-S</v>
      </c>
      <c r="D1540" t="s">
        <v>2721</v>
      </c>
      <c r="E1540" s="6" t="str">
        <f t="shared" si="24"/>
        <v>PROT:AAA48105.1</v>
      </c>
      <c r="F1540" t="s">
        <v>1333</v>
      </c>
      <c r="G1540" t="s">
        <v>2706</v>
      </c>
      <c r="H1540" t="s">
        <v>2705</v>
      </c>
      <c r="I1540" t="str">
        <f>INDEX(Genomes!$I:$I,(MATCH(AllProteins!H1540,Genomes!$B:$B,0)))</f>
        <v>M35027-vaccinia_virus_strain_Copenhagen</v>
      </c>
      <c r="J1540">
        <f>INDEX(Genomes!$A:$A,(MATCH(AllProteins!H1540,Genomes!$B:$B,0)))</f>
        <v>62</v>
      </c>
      <c r="K1540" t="str">
        <f>INDEX(Genomes!$J:$J,(MATCH(AllProteins!H1540,Genomes!$B:$B,0)))</f>
        <v>N</v>
      </c>
    </row>
    <row r="1541" spans="1:11" x14ac:dyDescent="0.2">
      <c r="A1541">
        <f>INDEX(CoreProteinGroups!A:A,MATCH(B1541,CoreProteinGroups!B:B,0))</f>
        <v>16</v>
      </c>
      <c r="B1541" t="s">
        <v>1435</v>
      </c>
      <c r="C1541" t="str">
        <f>VLOOKUP(B1541,CoreProteinGroups!$B:$C,2,FALSE)</f>
        <v>polyA polymerase large</v>
      </c>
      <c r="D1541" t="s">
        <v>2722</v>
      </c>
      <c r="E1541" s="6" t="str">
        <f t="shared" si="24"/>
        <v>PROT:AAA48038.1</v>
      </c>
      <c r="F1541" t="s">
        <v>1436</v>
      </c>
      <c r="G1541" t="s">
        <v>2706</v>
      </c>
      <c r="H1541" t="s">
        <v>2705</v>
      </c>
      <c r="I1541" t="str">
        <f>INDEX(Genomes!$I:$I,(MATCH(AllProteins!H1541,Genomes!$B:$B,0)))</f>
        <v>M35027-vaccinia_virus_strain_Copenhagen</v>
      </c>
      <c r="J1541">
        <f>INDEX(Genomes!$A:$A,(MATCH(AllProteins!H1541,Genomes!$B:$B,0)))</f>
        <v>62</v>
      </c>
      <c r="K1541" t="str">
        <f>INDEX(Genomes!$J:$J,(MATCH(AllProteins!H1541,Genomes!$B:$B,0)))</f>
        <v>N</v>
      </c>
    </row>
    <row r="1542" spans="1:11" x14ac:dyDescent="0.2">
      <c r="A1542">
        <f>INDEX(CoreProteinGroups!A:A,MATCH(B1542,CoreProteinGroups!B:B,0))</f>
        <v>15</v>
      </c>
      <c r="B1542" t="s">
        <v>1539</v>
      </c>
      <c r="C1542" t="str">
        <f>VLOOKUP(B1542,CoreProteinGroups!$B:$C,2,FALSE)</f>
        <v>sulfhydryl oxidase</v>
      </c>
      <c r="D1542" t="s">
        <v>2723</v>
      </c>
      <c r="E1542" s="6" t="str">
        <f t="shared" si="24"/>
        <v>PROT:AAA48051.1</v>
      </c>
      <c r="F1542" t="s">
        <v>1540</v>
      </c>
      <c r="G1542" t="s">
        <v>2706</v>
      </c>
      <c r="H1542" t="s">
        <v>2705</v>
      </c>
      <c r="I1542" t="str">
        <f>INDEX(Genomes!$I:$I,(MATCH(AllProteins!H1542,Genomes!$B:$B,0)))</f>
        <v>M35027-vaccinia_virus_strain_Copenhagen</v>
      </c>
      <c r="J1542">
        <f>INDEX(Genomes!$A:$A,(MATCH(AllProteins!H1542,Genomes!$B:$B,0)))</f>
        <v>62</v>
      </c>
      <c r="K1542" t="str">
        <f>INDEX(Genomes!$J:$J,(MATCH(AllProteins!H1542,Genomes!$B:$B,0)))</f>
        <v>N</v>
      </c>
    </row>
    <row r="1543" spans="1:11" x14ac:dyDescent="0.2">
      <c r="A1543">
        <f>INDEX(CoreProteinGroups!A:A,MATCH(B1543,CoreProteinGroups!B:B,0))</f>
        <v>17</v>
      </c>
      <c r="B1543" t="s">
        <v>1636</v>
      </c>
      <c r="C1543" t="str">
        <f>VLOOKUP(B1543,CoreProteinGroups!$B:$C,2,FALSE)</f>
        <v>DNA-polymerase</v>
      </c>
      <c r="D1543" t="s">
        <v>2724</v>
      </c>
      <c r="E1543" s="6" t="str">
        <f t="shared" si="24"/>
        <v>PROT:AAA48049.1</v>
      </c>
      <c r="F1543" t="s">
        <v>1639</v>
      </c>
      <c r="G1543" t="s">
        <v>2706</v>
      </c>
      <c r="H1543" t="s">
        <v>2705</v>
      </c>
      <c r="I1543" t="str">
        <f>INDEX(Genomes!$I:$I,(MATCH(AllProteins!H1543,Genomes!$B:$B,0)))</f>
        <v>M35027-vaccinia_virus_strain_Copenhagen</v>
      </c>
      <c r="J1543">
        <f>INDEX(Genomes!$A:$A,(MATCH(AllProteins!H1543,Genomes!$B:$B,0)))</f>
        <v>62</v>
      </c>
      <c r="K1543" t="str">
        <f>INDEX(Genomes!$J:$J,(MATCH(AllProteins!H1543,Genomes!$B:$B,0)))</f>
        <v>N</v>
      </c>
    </row>
    <row r="1544" spans="1:11" x14ac:dyDescent="0.2">
      <c r="A1544">
        <f>INDEX(CoreProteinGroups!A:A,MATCH(B1544,CoreProteinGroups!B:B,0))</f>
        <v>18</v>
      </c>
      <c r="B1544" t="s">
        <v>1723</v>
      </c>
      <c r="C1544" t="str">
        <f>VLOOKUP(B1544,CoreProteinGroups!$B:$C,2,FALSE)</f>
        <v>FEN1</v>
      </c>
      <c r="D1544" t="s">
        <v>2725</v>
      </c>
      <c r="E1544" s="6" t="str">
        <f t="shared" si="24"/>
        <v>PROT:AAA48069.1</v>
      </c>
      <c r="F1544" t="s">
        <v>1724</v>
      </c>
      <c r="G1544" t="s">
        <v>2706</v>
      </c>
      <c r="H1544" t="s">
        <v>2705</v>
      </c>
      <c r="I1544" t="str">
        <f>INDEX(Genomes!$I:$I,(MATCH(AllProteins!H1544,Genomes!$B:$B,0)))</f>
        <v>M35027-vaccinia_virus_strain_Copenhagen</v>
      </c>
      <c r="J1544">
        <f>INDEX(Genomes!$A:$A,(MATCH(AllProteins!H1544,Genomes!$B:$B,0)))</f>
        <v>62</v>
      </c>
      <c r="K1544" t="str">
        <f>INDEX(Genomes!$J:$J,(MATCH(AllProteins!H1544,Genomes!$B:$B,0)))</f>
        <v>N</v>
      </c>
    </row>
    <row r="1545" spans="1:11" x14ac:dyDescent="0.2">
      <c r="A1545">
        <f>INDEX(CoreProteinGroups!A:A,MATCH(B1545,CoreProteinGroups!B:B,0))</f>
        <v>19</v>
      </c>
      <c r="B1545" t="s">
        <v>1821</v>
      </c>
      <c r="C1545" t="str">
        <f>VLOOKUP(B1545,CoreProteinGroups!$B:$C,2,FALSE)</f>
        <v>IMV entry-fusion</v>
      </c>
      <c r="D1545" t="s">
        <v>2726</v>
      </c>
      <c r="E1545" s="6" t="str">
        <f t="shared" si="24"/>
        <v>PROT:AAA48089.1</v>
      </c>
      <c r="F1545" t="s">
        <v>1822</v>
      </c>
      <c r="G1545" t="s">
        <v>2706</v>
      </c>
      <c r="H1545" t="s">
        <v>2705</v>
      </c>
      <c r="I1545" t="str">
        <f>INDEX(Genomes!$I:$I,(MATCH(AllProteins!H1545,Genomes!$B:$B,0)))</f>
        <v>M35027-vaccinia_virus_strain_Copenhagen</v>
      </c>
      <c r="J1545">
        <f>INDEX(Genomes!$A:$A,(MATCH(AllProteins!H1545,Genomes!$B:$B,0)))</f>
        <v>62</v>
      </c>
      <c r="K1545" t="str">
        <f>INDEX(Genomes!$J:$J,(MATCH(AllProteins!H1545,Genomes!$B:$B,0)))</f>
        <v>N</v>
      </c>
    </row>
    <row r="1546" spans="1:11" x14ac:dyDescent="0.2">
      <c r="A1546">
        <f>INDEX(CoreProteinGroups!A:A,MATCH(B1546,CoreProteinGroups!B:B,0))</f>
        <v>20</v>
      </c>
      <c r="B1546" t="s">
        <v>1923</v>
      </c>
      <c r="C1546" t="str">
        <f>VLOOKUP(B1546,CoreProteinGroups!$B:$C,2,FALSE)</f>
        <v>RAP94</v>
      </c>
      <c r="D1546" t="s">
        <v>2727</v>
      </c>
      <c r="E1546" s="6" t="str">
        <f t="shared" si="24"/>
        <v>PROT:AAA48091.1</v>
      </c>
      <c r="F1546" t="s">
        <v>1924</v>
      </c>
      <c r="G1546" t="s">
        <v>2706</v>
      </c>
      <c r="H1546" t="s">
        <v>2705</v>
      </c>
      <c r="I1546" t="str">
        <f>INDEX(Genomes!$I:$I,(MATCH(AllProteins!H1546,Genomes!$B:$B,0)))</f>
        <v>M35027-vaccinia_virus_strain_Copenhagen</v>
      </c>
      <c r="J1546">
        <f>INDEX(Genomes!$A:$A,(MATCH(AllProteins!H1546,Genomes!$B:$B,0)))</f>
        <v>62</v>
      </c>
      <c r="K1546" t="str">
        <f>INDEX(Genomes!$J:$J,(MATCH(AllProteins!H1546,Genomes!$B:$B,0)))</f>
        <v>N</v>
      </c>
    </row>
    <row r="1547" spans="1:11" x14ac:dyDescent="0.2">
      <c r="A1547">
        <f>INDEX(CoreProteinGroups!A:A,MATCH(B1547,CoreProteinGroups!B:B,0))</f>
        <v>21</v>
      </c>
      <c r="B1547" t="s">
        <v>2027</v>
      </c>
      <c r="C1547" t="str">
        <f>VLOOKUP(B1547,CoreProteinGroups!$B:$C,2,FALSE)</f>
        <v>DNA topoisomerase</v>
      </c>
      <c r="D1547" t="s">
        <v>2728</v>
      </c>
      <c r="E1547" s="6" t="str">
        <f t="shared" si="24"/>
        <v>PROT:AAA48093.1</v>
      </c>
      <c r="F1547" t="s">
        <v>2028</v>
      </c>
      <c r="G1547" t="s">
        <v>2706</v>
      </c>
      <c r="H1547" t="s">
        <v>2705</v>
      </c>
      <c r="I1547" t="str">
        <f>INDEX(Genomes!$I:$I,(MATCH(AllProteins!H1547,Genomes!$B:$B,0)))</f>
        <v>M35027-vaccinia_virus_strain_Copenhagen</v>
      </c>
      <c r="J1547">
        <f>INDEX(Genomes!$A:$A,(MATCH(AllProteins!H1547,Genomes!$B:$B,0)))</f>
        <v>62</v>
      </c>
      <c r="K1547" t="str">
        <f>INDEX(Genomes!$J:$J,(MATCH(AllProteins!H1547,Genomes!$B:$B,0)))</f>
        <v>N</v>
      </c>
    </row>
    <row r="1548" spans="1:11" x14ac:dyDescent="0.2">
      <c r="A1548">
        <f>INDEX(CoreProteinGroups!A:A,MATCH(B1548,CoreProteinGroups!B:B,0))</f>
        <v>22</v>
      </c>
      <c r="B1548" t="s">
        <v>2121</v>
      </c>
      <c r="C1548" t="str">
        <f>VLOOKUP(B1548,CoreProteinGroups!$B:$C,2,FALSE)</f>
        <v>NPH-II</v>
      </c>
      <c r="D1548" t="s">
        <v>2729</v>
      </c>
      <c r="E1548" s="6" t="str">
        <f t="shared" si="24"/>
        <v>PROT:AAA48064.1</v>
      </c>
      <c r="F1548" t="s">
        <v>2122</v>
      </c>
      <c r="G1548" t="s">
        <v>2706</v>
      </c>
      <c r="H1548" t="s">
        <v>2705</v>
      </c>
      <c r="I1548" t="str">
        <f>INDEX(Genomes!$I:$I,(MATCH(AllProteins!H1548,Genomes!$B:$B,0)))</f>
        <v>M35027-vaccinia_virus_strain_Copenhagen</v>
      </c>
      <c r="J1548">
        <f>INDEX(Genomes!$A:$A,(MATCH(AllProteins!H1548,Genomes!$B:$B,0)))</f>
        <v>62</v>
      </c>
      <c r="K1548" t="str">
        <f>INDEX(Genomes!$J:$J,(MATCH(AllProteins!H1548,Genomes!$B:$B,0)))</f>
        <v>N</v>
      </c>
    </row>
    <row r="1549" spans="1:11" x14ac:dyDescent="0.2">
      <c r="A1549">
        <f>INDEX(CoreProteinGroups!A:A,MATCH(B1549,CoreProteinGroups!B:B,0))</f>
        <v>23</v>
      </c>
      <c r="B1549" t="s">
        <v>2220</v>
      </c>
      <c r="C1549" t="str">
        <f>VLOOKUP(B1549,CoreProteinGroups!$B:$C,2,FALSE)</f>
        <v>polyA polymerase small</v>
      </c>
      <c r="D1549" t="s">
        <v>2730</v>
      </c>
      <c r="E1549" s="6" t="str">
        <f t="shared" si="24"/>
        <v>PROT:AAA48083.1</v>
      </c>
      <c r="F1549" t="s">
        <v>2221</v>
      </c>
      <c r="G1549" t="s">
        <v>2706</v>
      </c>
      <c r="H1549" t="s">
        <v>2705</v>
      </c>
      <c r="I1549" t="str">
        <f>INDEX(Genomes!$I:$I,(MATCH(AllProteins!H1549,Genomes!$B:$B,0)))</f>
        <v>M35027-vaccinia_virus_strain_Copenhagen</v>
      </c>
      <c r="J1549">
        <f>INDEX(Genomes!$A:$A,(MATCH(AllProteins!H1549,Genomes!$B:$B,0)))</f>
        <v>62</v>
      </c>
      <c r="K1549" t="str">
        <f>INDEX(Genomes!$J:$J,(MATCH(AllProteins!H1549,Genomes!$B:$B,0)))</f>
        <v>N</v>
      </c>
    </row>
    <row r="1550" spans="1:11" x14ac:dyDescent="0.2">
      <c r="A1550">
        <f>INDEX(CoreProteinGroups!A:A,MATCH(B1550,CoreProteinGroups!B:B,0))</f>
        <v>24</v>
      </c>
      <c r="B1550" t="s">
        <v>2322</v>
      </c>
      <c r="C1550" t="str">
        <f>VLOOKUP(B1550,CoreProteinGroups!$B:$C,2,FALSE)</f>
        <v>RPO147</v>
      </c>
      <c r="D1550" t="s">
        <v>2731</v>
      </c>
      <c r="E1550" s="6" t="str">
        <f t="shared" si="24"/>
        <v>PROT:AAA48086.1</v>
      </c>
      <c r="F1550" t="s">
        <v>2323</v>
      </c>
      <c r="G1550" t="s">
        <v>2706</v>
      </c>
      <c r="H1550" t="s">
        <v>2705</v>
      </c>
      <c r="I1550" t="str">
        <f>INDEX(Genomes!$I:$I,(MATCH(AllProteins!H1550,Genomes!$B:$B,0)))</f>
        <v>M35027-vaccinia_virus_strain_Copenhagen</v>
      </c>
      <c r="J1550">
        <f>INDEX(Genomes!$A:$A,(MATCH(AllProteins!H1550,Genomes!$B:$B,0)))</f>
        <v>62</v>
      </c>
      <c r="K1550" t="str">
        <f>INDEX(Genomes!$J:$J,(MATCH(AllProteins!H1550,Genomes!$B:$B,0)))</f>
        <v>N</v>
      </c>
    </row>
    <row r="1551" spans="1:11" x14ac:dyDescent="0.2">
      <c r="A1551">
        <f>INDEX(CoreProteinGroups!A:A,MATCH(B1551,CoreProteinGroups!B:B,0))</f>
        <v>25</v>
      </c>
      <c r="B1551" t="s">
        <v>2417</v>
      </c>
      <c r="C1551" t="str">
        <f>VLOOKUP(B1551,CoreProteinGroups!$B:$C,2,FALSE)</f>
        <v>IMV membrane protein</v>
      </c>
      <c r="D1551" t="s">
        <v>2732</v>
      </c>
      <c r="E1551" s="6" t="str">
        <f t="shared" si="24"/>
        <v>PROT:AAA48076.1</v>
      </c>
      <c r="F1551" t="s">
        <v>583</v>
      </c>
      <c r="G1551" t="s">
        <v>2706</v>
      </c>
      <c r="H1551" t="s">
        <v>2705</v>
      </c>
      <c r="I1551" t="str">
        <f>INDEX(Genomes!$I:$I,(MATCH(AllProteins!H1551,Genomes!$B:$B,0)))</f>
        <v>M35027-vaccinia_virus_strain_Copenhagen</v>
      </c>
      <c r="J1551">
        <f>INDEX(Genomes!$A:$A,(MATCH(AllProteins!H1551,Genomes!$B:$B,0)))</f>
        <v>62</v>
      </c>
      <c r="K1551" t="str">
        <f>INDEX(Genomes!$J:$J,(MATCH(AllProteins!H1551,Genomes!$B:$B,0)))</f>
        <v>N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3"/>
  <sheetViews>
    <sheetView workbookViewId="0">
      <pane xSplit="4" ySplit="1" topLeftCell="E32" activePane="bottomRight" state="frozen"/>
      <selection pane="topRight" activeCell="E1" sqref="E1"/>
      <selection pane="bottomLeft" activeCell="A2" sqref="A2"/>
      <selection pane="bottomRight" activeCell="I62" sqref="I62"/>
    </sheetView>
  </sheetViews>
  <sheetFormatPr baseColWidth="10" defaultRowHeight="16" x14ac:dyDescent="0.2"/>
  <cols>
    <col min="2" max="2" width="16.33203125" bestFit="1" customWidth="1"/>
    <col min="3" max="3" width="11.6640625" bestFit="1" customWidth="1"/>
    <col min="4" max="4" width="35.83203125" bestFit="1" customWidth="1"/>
    <col min="9" max="9" width="35.5" bestFit="1" customWidth="1"/>
    <col min="10" max="10" width="13.5" bestFit="1" customWidth="1"/>
  </cols>
  <sheetData>
    <row r="1" spans="1:10" x14ac:dyDescent="0.2">
      <c r="A1" s="2" t="s">
        <v>2575</v>
      </c>
      <c r="B1" s="2" t="s">
        <v>6</v>
      </c>
      <c r="C1" s="2" t="s">
        <v>2541</v>
      </c>
      <c r="D1" s="2" t="s">
        <v>5</v>
      </c>
      <c r="E1" s="2" t="s">
        <v>2704</v>
      </c>
      <c r="F1" s="2" t="s">
        <v>2618</v>
      </c>
      <c r="G1" s="2" t="s">
        <v>2542</v>
      </c>
      <c r="H1" s="2" t="s">
        <v>2577</v>
      </c>
      <c r="I1" s="2" t="s">
        <v>2579</v>
      </c>
      <c r="J1" s="2" t="s">
        <v>2578</v>
      </c>
    </row>
    <row r="2" spans="1:10" x14ac:dyDescent="0.2">
      <c r="A2">
        <v>1</v>
      </c>
      <c r="B2" s="1" t="s">
        <v>2647</v>
      </c>
      <c r="C2" s="6" t="str">
        <f t="shared" ref="C2:C33" si="0">HYPERLINK(_xlfn.CONCAT("https://www.ncbi.nlm.nih.gov/nuccore/",B2),B2)</f>
        <v>MH816996.1</v>
      </c>
      <c r="D2" t="s">
        <v>68</v>
      </c>
      <c r="E2">
        <f>MATCH(C2,AllProteins!$H:$H,0)</f>
        <v>25</v>
      </c>
      <c r="F2" t="s">
        <v>2543</v>
      </c>
      <c r="G2" t="s">
        <v>2543</v>
      </c>
      <c r="I2" s="5" t="s">
        <v>2736</v>
      </c>
      <c r="J2" t="s">
        <v>2543</v>
      </c>
    </row>
    <row r="3" spans="1:10" x14ac:dyDescent="0.2">
      <c r="A3">
        <v>2</v>
      </c>
      <c r="B3" s="1" t="s">
        <v>2648</v>
      </c>
      <c r="C3" s="6" t="str">
        <f t="shared" si="0"/>
        <v>AP013055.1</v>
      </c>
      <c r="D3" t="s">
        <v>136</v>
      </c>
      <c r="E3">
        <f>MATCH(C3,AllProteins!$H:$H,0)</f>
        <v>52</v>
      </c>
      <c r="F3" t="s">
        <v>2543</v>
      </c>
      <c r="G3" t="s">
        <v>2543</v>
      </c>
      <c r="I3" s="5" t="s">
        <v>2737</v>
      </c>
      <c r="J3" t="s">
        <v>2543</v>
      </c>
    </row>
    <row r="4" spans="1:10" x14ac:dyDescent="0.2">
      <c r="A4">
        <v>3</v>
      </c>
      <c r="B4" s="1" t="s">
        <v>2649</v>
      </c>
      <c r="C4" s="6" t="str">
        <f t="shared" si="0"/>
        <v>HF679131.1</v>
      </c>
      <c r="D4" t="s">
        <v>138</v>
      </c>
      <c r="E4">
        <f>MATCH(C4,AllProteins!$H:$H,0)</f>
        <v>53</v>
      </c>
      <c r="F4" t="s">
        <v>2543</v>
      </c>
      <c r="G4" t="s">
        <v>2543</v>
      </c>
      <c r="I4" s="5" t="s">
        <v>2738</v>
      </c>
      <c r="J4" t="s">
        <v>2543</v>
      </c>
    </row>
    <row r="5" spans="1:10" x14ac:dyDescent="0.2">
      <c r="A5">
        <v>4</v>
      </c>
      <c r="B5" s="1" t="s">
        <v>2650</v>
      </c>
      <c r="C5" s="6" t="str">
        <f t="shared" si="0"/>
        <v>MH607141.1</v>
      </c>
      <c r="D5" t="s">
        <v>70</v>
      </c>
      <c r="E5">
        <f>MATCH(C5,AllProteins!$H:$H,0)</f>
        <v>26</v>
      </c>
      <c r="F5" t="s">
        <v>2543</v>
      </c>
      <c r="G5" t="s">
        <v>2543</v>
      </c>
      <c r="I5" s="5" t="s">
        <v>2739</v>
      </c>
      <c r="J5" t="s">
        <v>2543</v>
      </c>
    </row>
    <row r="6" spans="1:10" x14ac:dyDescent="0.2">
      <c r="A6">
        <v>5</v>
      </c>
      <c r="B6" s="1" t="s">
        <v>2651</v>
      </c>
      <c r="C6" s="6" t="str">
        <f t="shared" si="0"/>
        <v>AF250284.1</v>
      </c>
      <c r="D6" t="s">
        <v>141</v>
      </c>
      <c r="E6">
        <f>MATCH(C6,AllProteins!$H:$H,0)</f>
        <v>54</v>
      </c>
      <c r="F6" t="s">
        <v>2543</v>
      </c>
      <c r="G6" t="s">
        <v>2543</v>
      </c>
      <c r="I6" s="5" t="s">
        <v>2740</v>
      </c>
      <c r="J6" t="s">
        <v>2543</v>
      </c>
    </row>
    <row r="7" spans="1:10" x14ac:dyDescent="0.2">
      <c r="A7">
        <v>6</v>
      </c>
      <c r="B7" s="1" t="s">
        <v>2652</v>
      </c>
      <c r="C7" s="6" t="str">
        <f t="shared" si="0"/>
        <v>AY386265.1</v>
      </c>
      <c r="D7" t="s">
        <v>114</v>
      </c>
      <c r="E7">
        <f>MATCH(C7,AllProteins!$H:$H,0)</f>
        <v>43</v>
      </c>
      <c r="F7" t="s">
        <v>2543</v>
      </c>
      <c r="G7" t="s">
        <v>2543</v>
      </c>
      <c r="I7" s="5" t="s">
        <v>2741</v>
      </c>
      <c r="J7" t="s">
        <v>2543</v>
      </c>
    </row>
    <row r="8" spans="1:10" x14ac:dyDescent="0.2">
      <c r="A8">
        <v>7</v>
      </c>
      <c r="B8" s="1" t="s">
        <v>2653</v>
      </c>
      <c r="C8" s="6" t="str">
        <f t="shared" si="0"/>
        <v>KY094066.1</v>
      </c>
      <c r="D8" t="s">
        <v>16</v>
      </c>
      <c r="E8">
        <f>MATCH(C8,AllProteins!$H:$H,0)</f>
        <v>4</v>
      </c>
      <c r="F8" t="s">
        <v>2545</v>
      </c>
      <c r="G8" t="s">
        <v>2543</v>
      </c>
      <c r="I8" s="5" t="s">
        <v>2742</v>
      </c>
      <c r="J8" t="s">
        <v>2545</v>
      </c>
    </row>
    <row r="9" spans="1:10" x14ac:dyDescent="0.2">
      <c r="A9">
        <v>8</v>
      </c>
      <c r="B9" s="1" t="s">
        <v>2654</v>
      </c>
      <c r="C9" s="6" t="str">
        <f t="shared" si="0"/>
        <v>AF438165.1</v>
      </c>
      <c r="D9" t="s">
        <v>79</v>
      </c>
      <c r="E9">
        <f>MATCH(C9,AllProteins!$H:$H,0)</f>
        <v>29</v>
      </c>
      <c r="F9" t="s">
        <v>2543</v>
      </c>
      <c r="G9" t="s">
        <v>2543</v>
      </c>
      <c r="I9" s="5" t="s">
        <v>2743</v>
      </c>
      <c r="J9" t="s">
        <v>2543</v>
      </c>
    </row>
    <row r="10" spans="1:10" x14ac:dyDescent="0.2">
      <c r="A10">
        <v>9</v>
      </c>
      <c r="B10" s="1" t="s">
        <v>2655</v>
      </c>
      <c r="C10" s="6" t="str">
        <f t="shared" si="0"/>
        <v>AY009089.1</v>
      </c>
      <c r="D10" t="s">
        <v>76</v>
      </c>
      <c r="E10">
        <f>MATCH(C10,AllProteins!$H:$H,0)</f>
        <v>28</v>
      </c>
      <c r="F10" t="s">
        <v>2545</v>
      </c>
      <c r="G10" t="s">
        <v>2543</v>
      </c>
      <c r="I10" s="5" t="s">
        <v>2744</v>
      </c>
      <c r="J10" t="s">
        <v>2545</v>
      </c>
    </row>
    <row r="11" spans="1:10" x14ac:dyDescent="0.2">
      <c r="A11">
        <v>10</v>
      </c>
      <c r="B11" s="1" t="s">
        <v>2656</v>
      </c>
      <c r="C11" s="6" t="str">
        <f t="shared" si="0"/>
        <v>HF679132.1</v>
      </c>
      <c r="D11" t="s">
        <v>143</v>
      </c>
      <c r="E11">
        <f>MATCH(C11,AllProteins!$H:$H,0)</f>
        <v>55</v>
      </c>
      <c r="F11" t="s">
        <v>2543</v>
      </c>
      <c r="G11" t="s">
        <v>2543</v>
      </c>
      <c r="I11" s="5" t="s">
        <v>2745</v>
      </c>
      <c r="J11" t="s">
        <v>2543</v>
      </c>
    </row>
    <row r="12" spans="1:10" x14ac:dyDescent="0.2">
      <c r="A12">
        <v>11</v>
      </c>
      <c r="B12" s="1" t="s">
        <v>2657</v>
      </c>
      <c r="C12" s="6" t="str">
        <f t="shared" si="0"/>
        <v>AY318871.1</v>
      </c>
      <c r="D12" t="s">
        <v>42</v>
      </c>
      <c r="E12">
        <f>MATCH(C12,AllProteins!$H:$H,0)</f>
        <v>14</v>
      </c>
      <c r="F12" t="s">
        <v>2543</v>
      </c>
      <c r="G12" t="s">
        <v>2543</v>
      </c>
      <c r="I12" s="5" t="s">
        <v>2746</v>
      </c>
      <c r="J12" t="s">
        <v>2543</v>
      </c>
    </row>
    <row r="13" spans="1:10" x14ac:dyDescent="0.2">
      <c r="A13">
        <v>12</v>
      </c>
      <c r="B13" s="1" t="s">
        <v>2658</v>
      </c>
      <c r="C13" s="6" t="str">
        <f t="shared" si="0"/>
        <v>HQ647181.2</v>
      </c>
      <c r="D13" t="s">
        <v>19</v>
      </c>
      <c r="E13">
        <f>MATCH(C13,AllProteins!$H:$H,0)</f>
        <v>5</v>
      </c>
      <c r="F13" t="s">
        <v>2543</v>
      </c>
      <c r="G13" t="s">
        <v>2543</v>
      </c>
      <c r="I13" s="5" t="s">
        <v>2747</v>
      </c>
      <c r="J13" t="s">
        <v>2543</v>
      </c>
    </row>
    <row r="14" spans="1:10" x14ac:dyDescent="0.2">
      <c r="A14">
        <v>13</v>
      </c>
      <c r="B14" s="1" t="s">
        <v>2659</v>
      </c>
      <c r="C14" s="6" t="str">
        <f t="shared" si="0"/>
        <v>AF482758.2</v>
      </c>
      <c r="D14" t="s">
        <v>82</v>
      </c>
      <c r="E14">
        <f>MATCH(C14,AllProteins!$H:$H,0)</f>
        <v>30</v>
      </c>
      <c r="F14" t="s">
        <v>2543</v>
      </c>
      <c r="G14" t="s">
        <v>2543</v>
      </c>
      <c r="I14" s="5" t="s">
        <v>2748</v>
      </c>
      <c r="J14" t="s">
        <v>2543</v>
      </c>
    </row>
    <row r="15" spans="1:10" x14ac:dyDescent="0.2">
      <c r="A15">
        <v>14</v>
      </c>
      <c r="B15" s="1" t="s">
        <v>2660</v>
      </c>
      <c r="C15" s="6" t="str">
        <f t="shared" si="0"/>
        <v>HF679133.1</v>
      </c>
      <c r="D15" t="s">
        <v>145</v>
      </c>
      <c r="E15">
        <f>MATCH(C15,AllProteins!$H:$H,0)</f>
        <v>56</v>
      </c>
      <c r="F15" t="s">
        <v>2543</v>
      </c>
      <c r="G15" t="s">
        <v>2543</v>
      </c>
      <c r="I15" s="5" t="s">
        <v>2749</v>
      </c>
      <c r="J15" t="s">
        <v>2543</v>
      </c>
    </row>
    <row r="16" spans="1:10" x14ac:dyDescent="0.2">
      <c r="A16">
        <v>15</v>
      </c>
      <c r="B16" s="1" t="s">
        <v>2661</v>
      </c>
      <c r="C16" s="6" t="str">
        <f t="shared" si="0"/>
        <v>AY689436.1</v>
      </c>
      <c r="D16" s="5" t="s">
        <v>54</v>
      </c>
      <c r="E16">
        <f>MATCH(C16,AllProteins!$H:$H,0)</f>
        <v>19</v>
      </c>
      <c r="F16" t="s">
        <v>2543</v>
      </c>
      <c r="G16" t="s">
        <v>2543</v>
      </c>
      <c r="I16" s="5" t="s">
        <v>2750</v>
      </c>
      <c r="J16" t="s">
        <v>2543</v>
      </c>
    </row>
    <row r="17" spans="1:10" x14ac:dyDescent="0.2">
      <c r="A17">
        <v>16</v>
      </c>
      <c r="B17" s="1" t="s">
        <v>2662</v>
      </c>
      <c r="C17" s="6" t="str">
        <f t="shared" si="0"/>
        <v>AF012825.2</v>
      </c>
      <c r="D17" t="s">
        <v>85</v>
      </c>
      <c r="E17">
        <f>MATCH(C17,AllProteins!$H:$H,0)</f>
        <v>31</v>
      </c>
      <c r="F17" t="s">
        <v>2543</v>
      </c>
      <c r="G17" t="s">
        <v>2543</v>
      </c>
      <c r="I17" s="5" t="s">
        <v>2751</v>
      </c>
      <c r="J17" t="s">
        <v>2543</v>
      </c>
    </row>
    <row r="18" spans="1:10" x14ac:dyDescent="0.2">
      <c r="A18">
        <v>17</v>
      </c>
      <c r="B18" s="1" t="s">
        <v>2619</v>
      </c>
      <c r="C18" s="6" t="str">
        <f t="shared" si="0"/>
        <v>JQ410350.1</v>
      </c>
      <c r="D18" t="s">
        <v>87</v>
      </c>
      <c r="E18">
        <f>MATCH(C18,AllProteins!$H:$H,0)</f>
        <v>32</v>
      </c>
      <c r="F18" t="s">
        <v>2543</v>
      </c>
      <c r="G18" t="s">
        <v>2543</v>
      </c>
      <c r="I18" s="5" t="s">
        <v>2752</v>
      </c>
      <c r="J18" t="s">
        <v>2545</v>
      </c>
    </row>
    <row r="19" spans="1:10" x14ac:dyDescent="0.2">
      <c r="A19">
        <v>18</v>
      </c>
      <c r="B19" s="1" t="s">
        <v>2663</v>
      </c>
      <c r="C19" s="6" t="str">
        <f>HYPERLINK(_xlfn.CONCAT("https://www.ncbi.nlm.nih.gov/nuccore/",B19),B19)</f>
        <v>MF467281.1</v>
      </c>
      <c r="D19" t="s">
        <v>11</v>
      </c>
      <c r="E19">
        <f>MATCH(C19,AllProteins!$H:$H,0)</f>
        <v>2</v>
      </c>
      <c r="F19" t="s">
        <v>2543</v>
      </c>
      <c r="G19" t="s">
        <v>2543</v>
      </c>
      <c r="I19" s="5" t="s">
        <v>2753</v>
      </c>
      <c r="J19" t="s">
        <v>2543</v>
      </c>
    </row>
    <row r="20" spans="1:10" x14ac:dyDescent="0.2">
      <c r="A20">
        <v>19</v>
      </c>
      <c r="B20" s="1" t="s">
        <v>2664</v>
      </c>
      <c r="C20" s="6" t="str">
        <f>HYPERLINK(_xlfn.CONCAT("https://www.ncbi.nlm.nih.gov/nuccore/",B20),B20)</f>
        <v>KY747497.1</v>
      </c>
      <c r="D20" t="s">
        <v>30</v>
      </c>
      <c r="E20">
        <f>MATCH(C20,AllProteins!$H:$H,0)</f>
        <v>9</v>
      </c>
      <c r="F20" t="s">
        <v>2543</v>
      </c>
      <c r="G20" t="s">
        <v>2543</v>
      </c>
      <c r="I20" s="5" t="s">
        <v>2754</v>
      </c>
      <c r="J20" t="s">
        <v>2543</v>
      </c>
    </row>
    <row r="21" spans="1:10" x14ac:dyDescent="0.2">
      <c r="A21">
        <v>20</v>
      </c>
      <c r="B21" s="1" t="s">
        <v>2665</v>
      </c>
      <c r="C21" s="6" t="str">
        <f>HYPERLINK(_xlfn.CONCAT("https://www.ncbi.nlm.nih.gov/nuccore/",B21),B21)</f>
        <v>MF678796.1</v>
      </c>
      <c r="D21" t="s">
        <v>32</v>
      </c>
      <c r="E21">
        <f>MATCH(C21,AllProteins!$H:$H,0)</f>
        <v>10</v>
      </c>
      <c r="F21" t="s">
        <v>2543</v>
      </c>
      <c r="G21" t="s">
        <v>2543</v>
      </c>
      <c r="I21" s="5" t="s">
        <v>2755</v>
      </c>
      <c r="J21" t="s">
        <v>2543</v>
      </c>
    </row>
    <row r="22" spans="1:10" x14ac:dyDescent="0.2">
      <c r="A22">
        <v>21</v>
      </c>
      <c r="B22" s="1" t="s">
        <v>2666</v>
      </c>
      <c r="C22" s="6" t="str">
        <f t="shared" si="0"/>
        <v>AF198100.1</v>
      </c>
      <c r="D22" t="s">
        <v>45</v>
      </c>
      <c r="E22">
        <f>MATCH(C22,AllProteins!$H:$H,0)</f>
        <v>15</v>
      </c>
      <c r="F22" t="s">
        <v>2543</v>
      </c>
      <c r="G22" t="s">
        <v>2543</v>
      </c>
      <c r="I22" s="5" t="s">
        <v>2756</v>
      </c>
      <c r="J22" t="s">
        <v>2543</v>
      </c>
    </row>
    <row r="23" spans="1:10" x14ac:dyDescent="0.2">
      <c r="A23">
        <v>22</v>
      </c>
      <c r="B23" s="1" t="s">
        <v>2667</v>
      </c>
      <c r="C23" s="6" t="str">
        <f>HYPERLINK(_xlfn.CONCAT("https://www.ncbi.nlm.nih.gov/nuccore/",B23),B23)</f>
        <v>KY382358.2</v>
      </c>
      <c r="D23" t="s">
        <v>111</v>
      </c>
      <c r="E23">
        <f>MATCH(C23,AllProteins!$H:$H,0)</f>
        <v>42</v>
      </c>
      <c r="F23" t="s">
        <v>2543</v>
      </c>
      <c r="G23" t="s">
        <v>2543</v>
      </c>
      <c r="I23" s="5" t="s">
        <v>2757</v>
      </c>
      <c r="J23" t="s">
        <v>2543</v>
      </c>
    </row>
    <row r="24" spans="1:10" x14ac:dyDescent="0.2">
      <c r="A24">
        <v>23</v>
      </c>
      <c r="B24" s="1" t="s">
        <v>2644</v>
      </c>
      <c r="C24" s="6" t="str">
        <f>HYPERLINK(_xlfn.CONCAT("https://www.ncbi.nlm.nih.gov/nuccore/",B24),B24)</f>
        <v>NC_004003.1</v>
      </c>
      <c r="D24" t="s">
        <v>153</v>
      </c>
      <c r="E24">
        <f>MATCH(C24,AllProteins!$H:$H,0)</f>
        <v>59</v>
      </c>
      <c r="F24" t="s">
        <v>2543</v>
      </c>
      <c r="G24" t="s">
        <v>2543</v>
      </c>
      <c r="H24" t="s">
        <v>2621</v>
      </c>
      <c r="I24" s="5" t="s">
        <v>2758</v>
      </c>
      <c r="J24" t="s">
        <v>2543</v>
      </c>
    </row>
    <row r="25" spans="1:10" x14ac:dyDescent="0.2">
      <c r="A25">
        <v>24</v>
      </c>
      <c r="B25" s="1" t="s">
        <v>2668</v>
      </c>
      <c r="C25" s="6" t="str">
        <f t="shared" si="0"/>
        <v>DQ792504.1</v>
      </c>
      <c r="D25" t="s">
        <v>73</v>
      </c>
      <c r="E25">
        <f>MATCH(C25,AllProteins!$H:$H,0)</f>
        <v>27</v>
      </c>
      <c r="F25" t="s">
        <v>2543</v>
      </c>
      <c r="G25" t="s">
        <v>2543</v>
      </c>
      <c r="I25" s="5" t="s">
        <v>2759</v>
      </c>
      <c r="J25" t="s">
        <v>2543</v>
      </c>
    </row>
    <row r="26" spans="1:10" x14ac:dyDescent="0.2">
      <c r="A26">
        <v>25</v>
      </c>
      <c r="B26" s="1" t="s">
        <v>2669</v>
      </c>
      <c r="C26" s="6" t="str">
        <f t="shared" si="0"/>
        <v>AF325528.1</v>
      </c>
      <c r="D26" t="s">
        <v>48</v>
      </c>
      <c r="E26">
        <f>MATCH(C26,AllProteins!$H:$H,0)</f>
        <v>16</v>
      </c>
      <c r="F26" t="s">
        <v>2543</v>
      </c>
      <c r="G26" t="s">
        <v>2543</v>
      </c>
      <c r="I26" s="5" t="s">
        <v>2760</v>
      </c>
      <c r="J26" t="s">
        <v>2543</v>
      </c>
    </row>
    <row r="27" spans="1:10" x14ac:dyDescent="0.2">
      <c r="A27">
        <v>26</v>
      </c>
      <c r="B27" s="1" t="s">
        <v>2670</v>
      </c>
      <c r="C27" s="6" t="str">
        <f>HYPERLINK(_xlfn.CONCAT("https://www.ncbi.nlm.nih.gov/nuccore/",B27),B27)</f>
        <v>U60315.1</v>
      </c>
      <c r="D27" t="s">
        <v>65</v>
      </c>
      <c r="E27">
        <f>MATCH(C27,AllProteins!$H:$H,0)</f>
        <v>24</v>
      </c>
      <c r="F27" t="s">
        <v>2543</v>
      </c>
      <c r="G27" t="s">
        <v>2543</v>
      </c>
      <c r="I27" s="5" t="s">
        <v>2761</v>
      </c>
      <c r="J27" t="s">
        <v>2543</v>
      </c>
    </row>
    <row r="28" spans="1:10" x14ac:dyDescent="0.2">
      <c r="A28">
        <v>27</v>
      </c>
      <c r="B28" s="1" t="s">
        <v>2671</v>
      </c>
      <c r="C28" s="6" t="str">
        <f t="shared" si="0"/>
        <v>MF001304.1</v>
      </c>
      <c r="D28" t="s">
        <v>50</v>
      </c>
      <c r="E28">
        <f>MATCH(C28,AllProteins!$H:$H,0)</f>
        <v>17</v>
      </c>
      <c r="F28" t="s">
        <v>2543</v>
      </c>
      <c r="G28" t="s">
        <v>2543</v>
      </c>
      <c r="I28" s="5" t="s">
        <v>2762</v>
      </c>
      <c r="J28" t="s">
        <v>2543</v>
      </c>
    </row>
    <row r="29" spans="1:10" x14ac:dyDescent="0.2">
      <c r="A29">
        <v>28</v>
      </c>
      <c r="B29" s="1" t="s">
        <v>2672</v>
      </c>
      <c r="C29" s="6" t="str">
        <f t="shared" si="0"/>
        <v>AY753185.1</v>
      </c>
      <c r="D29" t="s">
        <v>93</v>
      </c>
      <c r="E29">
        <f>MATCH(C29,AllProteins!$H:$H,0)</f>
        <v>34</v>
      </c>
      <c r="F29" t="s">
        <v>2543</v>
      </c>
      <c r="G29" t="s">
        <v>2543</v>
      </c>
      <c r="I29" s="5" t="s">
        <v>2763</v>
      </c>
      <c r="J29" t="s">
        <v>2543</v>
      </c>
    </row>
    <row r="30" spans="1:10" x14ac:dyDescent="0.2">
      <c r="A30">
        <v>29</v>
      </c>
      <c r="B30" s="1" t="s">
        <v>2673</v>
      </c>
      <c r="C30" s="6" t="str">
        <f t="shared" si="0"/>
        <v>AF380138.1</v>
      </c>
      <c r="D30" t="s">
        <v>90</v>
      </c>
      <c r="E30">
        <f>MATCH(C30,AllProteins!$H:$H,0)</f>
        <v>33</v>
      </c>
      <c r="F30" t="s">
        <v>2543</v>
      </c>
      <c r="G30" t="s">
        <v>2543</v>
      </c>
      <c r="I30" s="5" t="s">
        <v>2764</v>
      </c>
      <c r="J30" t="s">
        <v>2543</v>
      </c>
    </row>
    <row r="31" spans="1:10" x14ac:dyDescent="0.2">
      <c r="A31">
        <v>30</v>
      </c>
      <c r="B31" s="1" t="s">
        <v>2674</v>
      </c>
      <c r="C31" s="6" t="str">
        <f t="shared" si="0"/>
        <v>AF063866.1</v>
      </c>
      <c r="D31" t="s">
        <v>133</v>
      </c>
      <c r="E31">
        <f>MATCH(C31,AllProteins!$H:$H,0)</f>
        <v>51</v>
      </c>
      <c r="F31" t="s">
        <v>2543</v>
      </c>
      <c r="G31" t="s">
        <v>2543</v>
      </c>
      <c r="I31" s="5" t="s">
        <v>2765</v>
      </c>
      <c r="J31" t="s">
        <v>2543</v>
      </c>
    </row>
    <row r="32" spans="1:10" x14ac:dyDescent="0.2">
      <c r="A32">
        <v>31</v>
      </c>
      <c r="B32" s="1" t="s">
        <v>2675</v>
      </c>
      <c r="C32" s="6" t="str">
        <f t="shared" si="0"/>
        <v>HF679134.1</v>
      </c>
      <c r="D32" t="s">
        <v>147</v>
      </c>
      <c r="E32">
        <f>MATCH(C32,AllProteins!$H:$H,0)</f>
        <v>57</v>
      </c>
      <c r="F32" t="s">
        <v>2543</v>
      </c>
      <c r="G32" t="s">
        <v>2543</v>
      </c>
      <c r="I32" s="5" t="s">
        <v>2766</v>
      </c>
      <c r="J32" t="s">
        <v>2543</v>
      </c>
    </row>
    <row r="33" spans="1:10" x14ac:dyDescent="0.2">
      <c r="A33">
        <v>32</v>
      </c>
      <c r="B33" s="1" t="s">
        <v>2676</v>
      </c>
      <c r="C33" s="6" t="str">
        <f t="shared" si="0"/>
        <v>AF170726.2</v>
      </c>
      <c r="D33" t="s">
        <v>2584</v>
      </c>
      <c r="E33">
        <f>MATCH(C33,AllProteins!$H:$H,0)</f>
        <v>21</v>
      </c>
      <c r="F33" t="s">
        <v>2543</v>
      </c>
      <c r="G33" t="s">
        <v>2543</v>
      </c>
      <c r="I33" s="5" t="s">
        <v>2767</v>
      </c>
      <c r="J33" t="s">
        <v>2543</v>
      </c>
    </row>
    <row r="34" spans="1:10" x14ac:dyDescent="0.2">
      <c r="A34">
        <v>33</v>
      </c>
      <c r="B34" s="1" t="s">
        <v>2646</v>
      </c>
      <c r="C34" s="6" t="str">
        <f t="shared" ref="C34:C62" si="1">HYPERLINK(_xlfn.CONCAT("https://www.ncbi.nlm.nih.gov/nuccore/",B34),B34)</f>
        <v>JX565564.1</v>
      </c>
      <c r="D34" t="s">
        <v>2553</v>
      </c>
      <c r="E34">
        <f>MATCH(C34,AllProteins!$H:$H,0)</f>
        <v>22</v>
      </c>
      <c r="F34" t="s">
        <v>2543</v>
      </c>
      <c r="G34" t="s">
        <v>2543</v>
      </c>
      <c r="I34" s="5" t="s">
        <v>2768</v>
      </c>
      <c r="J34" t="s">
        <v>2545</v>
      </c>
    </row>
    <row r="35" spans="1:10" x14ac:dyDescent="0.2">
      <c r="A35">
        <v>34</v>
      </c>
      <c r="B35" s="1" t="s">
        <v>2677</v>
      </c>
      <c r="C35" s="6" t="str">
        <f t="shared" si="1"/>
        <v>DQ356948.1</v>
      </c>
      <c r="D35" t="s">
        <v>56</v>
      </c>
      <c r="E35">
        <f>MATCH(C35,AllProteins!$H:$H,0)</f>
        <v>20</v>
      </c>
      <c r="F35" t="s">
        <v>2543</v>
      </c>
      <c r="G35" t="s">
        <v>2543</v>
      </c>
      <c r="I35" s="5" t="s">
        <v>2769</v>
      </c>
      <c r="J35" t="s">
        <v>2543</v>
      </c>
    </row>
    <row r="36" spans="1:10" x14ac:dyDescent="0.2">
      <c r="A36">
        <v>35</v>
      </c>
      <c r="B36" s="1" t="s">
        <v>2678</v>
      </c>
      <c r="C36" s="6" t="str">
        <f t="shared" si="1"/>
        <v>AY386264.1</v>
      </c>
      <c r="D36" t="s">
        <v>2702</v>
      </c>
      <c r="E36">
        <f>MATCH(C36,AllProteins!$H:$H,0)</f>
        <v>44</v>
      </c>
      <c r="F36" t="s">
        <v>2545</v>
      </c>
      <c r="G36" t="s">
        <v>2543</v>
      </c>
      <c r="I36" s="5" t="s">
        <v>2770</v>
      </c>
      <c r="J36" t="s">
        <v>2543</v>
      </c>
    </row>
    <row r="37" spans="1:10" x14ac:dyDescent="0.2">
      <c r="A37">
        <v>36</v>
      </c>
      <c r="B37" s="1" t="s">
        <v>2645</v>
      </c>
      <c r="C37" s="6" t="str">
        <f t="shared" si="1"/>
        <v>DQ184476.1</v>
      </c>
      <c r="D37" t="s">
        <v>2555</v>
      </c>
      <c r="E37">
        <f>MATCH(C37,AllProteins!$H:$H,0)</f>
        <v>45</v>
      </c>
      <c r="F37" t="s">
        <v>2545</v>
      </c>
      <c r="G37" t="s">
        <v>2543</v>
      </c>
      <c r="I37" s="5" t="s">
        <v>2771</v>
      </c>
      <c r="J37" t="s">
        <v>2545</v>
      </c>
    </row>
    <row r="38" spans="1:10" x14ac:dyDescent="0.2">
      <c r="A38">
        <v>37</v>
      </c>
      <c r="B38" s="1" t="s">
        <v>2679</v>
      </c>
      <c r="C38" s="6" t="str">
        <f t="shared" si="1"/>
        <v>GQ329670.1</v>
      </c>
      <c r="D38" t="s">
        <v>121</v>
      </c>
      <c r="E38">
        <f>MATCH(C38,AllProteins!$H:$H,0)</f>
        <v>47</v>
      </c>
      <c r="F38" t="s">
        <v>2543</v>
      </c>
      <c r="G38" t="s">
        <v>2543</v>
      </c>
      <c r="I38" s="5" t="s">
        <v>2772</v>
      </c>
      <c r="J38" t="s">
        <v>2543</v>
      </c>
    </row>
    <row r="39" spans="1:10" x14ac:dyDescent="0.2">
      <c r="A39">
        <v>38</v>
      </c>
      <c r="B39" s="1" t="s">
        <v>2680</v>
      </c>
      <c r="C39" s="6" t="str">
        <f t="shared" si="1"/>
        <v>KJ801920.1</v>
      </c>
      <c r="D39" t="s">
        <v>36</v>
      </c>
      <c r="E39">
        <f>MATCH(C39,AllProteins!$H:$H,0)</f>
        <v>12</v>
      </c>
      <c r="F39" t="s">
        <v>2543</v>
      </c>
      <c r="G39" t="s">
        <v>2543</v>
      </c>
      <c r="I39" s="5" t="s">
        <v>2773</v>
      </c>
      <c r="J39" t="s">
        <v>2543</v>
      </c>
    </row>
    <row r="40" spans="1:10" x14ac:dyDescent="0.2">
      <c r="A40">
        <v>39</v>
      </c>
      <c r="B40" s="1" t="s">
        <v>2681</v>
      </c>
      <c r="C40" s="6" t="str">
        <f t="shared" si="1"/>
        <v>KJ859677.1</v>
      </c>
      <c r="D40" t="s">
        <v>34</v>
      </c>
      <c r="E40">
        <f>MATCH(C40,AllProteins!$H:$H,0)</f>
        <v>11</v>
      </c>
      <c r="F40" t="s">
        <v>2543</v>
      </c>
      <c r="G40" t="s">
        <v>2543</v>
      </c>
      <c r="I40" s="5" t="s">
        <v>2774</v>
      </c>
      <c r="J40" t="s">
        <v>2543</v>
      </c>
    </row>
    <row r="41" spans="1:10" x14ac:dyDescent="0.2">
      <c r="A41">
        <v>40</v>
      </c>
      <c r="B41" s="1" t="s">
        <v>2682</v>
      </c>
      <c r="C41" s="6" t="str">
        <f t="shared" si="1"/>
        <v>KU980965.1</v>
      </c>
      <c r="D41" t="s">
        <v>21</v>
      </c>
      <c r="E41">
        <f>MATCH(C41,AllProteins!$H:$H,0)</f>
        <v>6</v>
      </c>
      <c r="F41" t="s">
        <v>2543</v>
      </c>
      <c r="G41" t="s">
        <v>2543</v>
      </c>
      <c r="I41" s="5" t="s">
        <v>2775</v>
      </c>
      <c r="J41" t="s">
        <v>2543</v>
      </c>
    </row>
    <row r="42" spans="1:10" x14ac:dyDescent="0.2">
      <c r="A42">
        <v>41</v>
      </c>
      <c r="B42" s="1" t="s">
        <v>2683</v>
      </c>
      <c r="C42" s="6" t="str">
        <f t="shared" si="1"/>
        <v>KP143769.1</v>
      </c>
      <c r="D42" t="s">
        <v>95</v>
      </c>
      <c r="E42">
        <f>MATCH(C42,AllProteins!$H:$H,0)</f>
        <v>35</v>
      </c>
      <c r="F42" t="s">
        <v>2543</v>
      </c>
      <c r="G42" t="s">
        <v>2543</v>
      </c>
      <c r="I42" s="5" t="s">
        <v>2776</v>
      </c>
      <c r="J42" t="s">
        <v>2543</v>
      </c>
    </row>
    <row r="43" spans="1:10" x14ac:dyDescent="0.2">
      <c r="A43">
        <v>42</v>
      </c>
      <c r="B43" s="1" t="s">
        <v>2684</v>
      </c>
      <c r="C43" s="6" t="str">
        <f t="shared" si="1"/>
        <v>KM502564.1</v>
      </c>
      <c r="D43" t="s">
        <v>119</v>
      </c>
      <c r="E43">
        <f>MATCH(C43,AllProteins!$H:$H,0)</f>
        <v>46</v>
      </c>
      <c r="F43" t="s">
        <v>2543</v>
      </c>
      <c r="G43" t="s">
        <v>2543</v>
      </c>
      <c r="I43" s="5" t="s">
        <v>2777</v>
      </c>
      <c r="J43" t="s">
        <v>2543</v>
      </c>
    </row>
    <row r="44" spans="1:10" x14ac:dyDescent="0.2">
      <c r="A44">
        <v>43</v>
      </c>
      <c r="B44" s="1" t="s">
        <v>2685</v>
      </c>
      <c r="C44" s="6" t="str">
        <f t="shared" si="1"/>
        <v>AF170722.1</v>
      </c>
      <c r="D44" t="s">
        <v>62</v>
      </c>
      <c r="E44">
        <f>MATCH(C44,AllProteins!$H:$H,0)</f>
        <v>23</v>
      </c>
      <c r="F44" t="s">
        <v>2543</v>
      </c>
      <c r="G44" t="s">
        <v>2543</v>
      </c>
      <c r="I44" s="5" t="s">
        <v>2778</v>
      </c>
      <c r="J44" t="s">
        <v>2543</v>
      </c>
    </row>
    <row r="45" spans="1:10" x14ac:dyDescent="0.2">
      <c r="A45">
        <v>44</v>
      </c>
      <c r="B45" s="1" t="s">
        <v>2620</v>
      </c>
      <c r="C45" s="6" t="str">
        <f>HYPERLINK(_xlfn.CONCAT("https://www.ncbi.nlm.nih.gov/nuccore/",B45),B45)</f>
        <v>NC_004002.1</v>
      </c>
      <c r="D45" t="s">
        <v>150</v>
      </c>
      <c r="E45">
        <f>MATCH(C45,AllProteins!$H:$H,0)</f>
        <v>58</v>
      </c>
      <c r="F45" t="s">
        <v>2543</v>
      </c>
      <c r="G45" t="s">
        <v>2543</v>
      </c>
      <c r="H45" s="8" t="s">
        <v>2622</v>
      </c>
      <c r="I45" s="5" t="s">
        <v>2779</v>
      </c>
      <c r="J45" t="s">
        <v>2543</v>
      </c>
    </row>
    <row r="46" spans="1:10" x14ac:dyDescent="0.2">
      <c r="A46">
        <v>45</v>
      </c>
      <c r="B46" s="1" t="s">
        <v>2686</v>
      </c>
      <c r="C46" s="6" t="str">
        <f t="shared" si="1"/>
        <v>KU749310.1</v>
      </c>
      <c r="D46" t="s">
        <v>97</v>
      </c>
      <c r="E46">
        <f>MATCH(C46,AllProteins!$H:$H,0)</f>
        <v>36</v>
      </c>
      <c r="F46" t="s">
        <v>2543</v>
      </c>
      <c r="G46" t="s">
        <v>2543</v>
      </c>
      <c r="I46" s="5" t="s">
        <v>2780</v>
      </c>
      <c r="J46" t="s">
        <v>2543</v>
      </c>
    </row>
    <row r="47" spans="1:10" x14ac:dyDescent="0.2">
      <c r="A47">
        <v>46</v>
      </c>
      <c r="B47" s="1" t="s">
        <v>2687</v>
      </c>
      <c r="C47" s="6" t="str">
        <f t="shared" si="1"/>
        <v>KT159937.1</v>
      </c>
      <c r="D47" t="s">
        <v>24</v>
      </c>
      <c r="E47">
        <f>MATCH(C47,AllProteins!$H:$H,0)</f>
        <v>7</v>
      </c>
      <c r="F47" t="s">
        <v>2543</v>
      </c>
      <c r="G47" t="s">
        <v>2543</v>
      </c>
      <c r="I47" s="5" t="s">
        <v>2781</v>
      </c>
      <c r="J47" t="s">
        <v>2543</v>
      </c>
    </row>
    <row r="48" spans="1:10" x14ac:dyDescent="0.2">
      <c r="A48">
        <v>47</v>
      </c>
      <c r="B48" s="1" t="s">
        <v>2688</v>
      </c>
      <c r="C48" s="6" t="str">
        <f t="shared" si="1"/>
        <v>MH427217.1</v>
      </c>
      <c r="D48" t="s">
        <v>13</v>
      </c>
      <c r="E48">
        <f>MATCH(C48,AllProteins!$H:$H,0)</f>
        <v>3</v>
      </c>
      <c r="F48" t="s">
        <v>2543</v>
      </c>
      <c r="G48" t="s">
        <v>2543</v>
      </c>
      <c r="I48" s="5" t="s">
        <v>2782</v>
      </c>
      <c r="J48" t="s">
        <v>2543</v>
      </c>
    </row>
    <row r="49" spans="1:10" x14ac:dyDescent="0.2">
      <c r="A49">
        <v>48</v>
      </c>
      <c r="B49" s="1" t="s">
        <v>2689</v>
      </c>
      <c r="C49" s="6" t="str">
        <f t="shared" si="1"/>
        <v>HE601899.1</v>
      </c>
      <c r="D49" t="s">
        <v>27</v>
      </c>
      <c r="E49">
        <f>MATCH(C49,AllProteins!$H:$H,0)</f>
        <v>8</v>
      </c>
      <c r="F49" t="s">
        <v>2543</v>
      </c>
      <c r="G49" t="s">
        <v>2543</v>
      </c>
      <c r="I49" s="5" t="s">
        <v>2783</v>
      </c>
      <c r="J49" t="s">
        <v>2543</v>
      </c>
    </row>
    <row r="50" spans="1:10" x14ac:dyDescent="0.2">
      <c r="A50">
        <v>49</v>
      </c>
      <c r="B50" s="1" t="s">
        <v>2690</v>
      </c>
      <c r="C50" s="6" t="str">
        <f t="shared" si="1"/>
        <v>AF410153.1</v>
      </c>
      <c r="D50" t="s">
        <v>124</v>
      </c>
      <c r="E50">
        <f>MATCH(C50,AllProteins!$H:$H,0)</f>
        <v>48</v>
      </c>
      <c r="F50" t="s">
        <v>2543</v>
      </c>
      <c r="G50" t="s">
        <v>2543</v>
      </c>
      <c r="I50" s="5" t="s">
        <v>2784</v>
      </c>
      <c r="J50" t="s">
        <v>2543</v>
      </c>
    </row>
    <row r="51" spans="1:10" x14ac:dyDescent="0.2">
      <c r="A51">
        <v>50</v>
      </c>
      <c r="B51" s="1" t="s">
        <v>2691</v>
      </c>
      <c r="C51" s="6" t="str">
        <f t="shared" si="1"/>
        <v>DQ437594.1</v>
      </c>
      <c r="D51" t="s">
        <v>99</v>
      </c>
      <c r="E51">
        <f>MATCH(C51,AllProteins!$H:$H,0)</f>
        <v>37</v>
      </c>
      <c r="F51" t="s">
        <v>2543</v>
      </c>
      <c r="G51" t="s">
        <v>2543</v>
      </c>
      <c r="I51" s="5" t="s">
        <v>2785</v>
      </c>
      <c r="J51" t="s">
        <v>2543</v>
      </c>
    </row>
    <row r="52" spans="1:10" x14ac:dyDescent="0.2">
      <c r="A52">
        <v>51</v>
      </c>
      <c r="B52" s="1" t="s">
        <v>2692</v>
      </c>
      <c r="C52" s="6" t="str">
        <f t="shared" si="1"/>
        <v>KP728110.2</v>
      </c>
      <c r="D52" t="s">
        <v>39</v>
      </c>
      <c r="E52">
        <f>MATCH(C52,AllProteins!$H:$H,0)</f>
        <v>13</v>
      </c>
      <c r="F52" t="s">
        <v>2543</v>
      </c>
      <c r="G52" t="s">
        <v>2543</v>
      </c>
      <c r="I52" s="5" t="s">
        <v>2786</v>
      </c>
      <c r="J52" t="s">
        <v>2543</v>
      </c>
    </row>
    <row r="53" spans="1:10" x14ac:dyDescent="0.2">
      <c r="A53">
        <v>52</v>
      </c>
      <c r="B53" s="1" t="s">
        <v>2693</v>
      </c>
      <c r="C53" s="6" t="str">
        <f t="shared" si="1"/>
        <v>AY243312.1</v>
      </c>
      <c r="D53" t="s">
        <v>101</v>
      </c>
      <c r="E53">
        <f>MATCH(C53,AllProteins!$H:$H,0)</f>
        <v>38</v>
      </c>
      <c r="F53" t="s">
        <v>2543</v>
      </c>
      <c r="G53" t="s">
        <v>2543</v>
      </c>
      <c r="I53" s="5" t="s">
        <v>2787</v>
      </c>
      <c r="J53" t="s">
        <v>2543</v>
      </c>
    </row>
    <row r="54" spans="1:10" x14ac:dyDescent="0.2">
      <c r="A54">
        <v>53</v>
      </c>
      <c r="B54" s="1" t="s">
        <v>2694</v>
      </c>
      <c r="C54" s="6" t="str">
        <f t="shared" si="1"/>
        <v>X69198.1</v>
      </c>
      <c r="D54" t="s">
        <v>2585</v>
      </c>
      <c r="E54">
        <f>MATCH(C54,AllProteins!$H:$H,0)</f>
        <v>39</v>
      </c>
      <c r="F54" t="s">
        <v>2543</v>
      </c>
      <c r="G54" t="s">
        <v>2543</v>
      </c>
      <c r="I54" s="5" t="s">
        <v>2788</v>
      </c>
      <c r="J54" t="s">
        <v>2543</v>
      </c>
    </row>
    <row r="55" spans="1:10" x14ac:dyDescent="0.2">
      <c r="A55">
        <v>54</v>
      </c>
      <c r="B55" s="1" t="s">
        <v>2695</v>
      </c>
      <c r="C55" s="6" t="str">
        <f t="shared" si="1"/>
        <v>Y16780.1</v>
      </c>
      <c r="D55" t="s">
        <v>106</v>
      </c>
      <c r="E55">
        <f>MATCH(C55,AllProteins!$H:$H,0)</f>
        <v>40</v>
      </c>
      <c r="F55" t="s">
        <v>2543</v>
      </c>
      <c r="G55" t="s">
        <v>2543</v>
      </c>
      <c r="I55" s="5" t="s">
        <v>2789</v>
      </c>
      <c r="J55" t="s">
        <v>2543</v>
      </c>
    </row>
    <row r="56" spans="1:10" x14ac:dyDescent="0.2">
      <c r="A56">
        <v>55</v>
      </c>
      <c r="B56" s="1" t="s">
        <v>2696</v>
      </c>
      <c r="C56" s="6" t="str">
        <f t="shared" si="1"/>
        <v>KU749311.1</v>
      </c>
      <c r="D56" t="s">
        <v>108</v>
      </c>
      <c r="E56">
        <f>MATCH(C56,AllProteins!$H:$H,0)</f>
        <v>41</v>
      </c>
      <c r="F56" t="s">
        <v>2543</v>
      </c>
      <c r="G56" t="s">
        <v>2543</v>
      </c>
      <c r="I56" s="5" t="s">
        <v>2790</v>
      </c>
      <c r="J56" t="s">
        <v>2543</v>
      </c>
    </row>
    <row r="57" spans="1:10" x14ac:dyDescent="0.2">
      <c r="A57">
        <v>56</v>
      </c>
      <c r="B57" s="1" t="s">
        <v>2697</v>
      </c>
      <c r="C57" s="6" t="str">
        <f t="shared" si="1"/>
        <v>MF467280.1</v>
      </c>
      <c r="D57" t="s">
        <v>2514</v>
      </c>
      <c r="E57">
        <f>MATCH(C57,AllProteins!$H:$H,0)</f>
        <v>1452</v>
      </c>
      <c r="F57" t="s">
        <v>2543</v>
      </c>
      <c r="G57" t="s">
        <v>2545</v>
      </c>
      <c r="I57" s="5" t="s">
        <v>2791</v>
      </c>
      <c r="J57" t="s">
        <v>2543</v>
      </c>
    </row>
    <row r="58" spans="1:10" x14ac:dyDescent="0.2">
      <c r="A58">
        <v>57</v>
      </c>
      <c r="B58" s="1" t="s">
        <v>2698</v>
      </c>
      <c r="C58" s="6" t="str">
        <f t="shared" si="1"/>
        <v>HQ849551.1</v>
      </c>
      <c r="D58" t="s">
        <v>52</v>
      </c>
      <c r="E58">
        <f>MATCH(C58,AllProteins!$H:$H,0)</f>
        <v>18</v>
      </c>
      <c r="F58" t="s">
        <v>2543</v>
      </c>
      <c r="G58" t="s">
        <v>2543</v>
      </c>
      <c r="I58" s="5" t="s">
        <v>2792</v>
      </c>
      <c r="J58" t="s">
        <v>2543</v>
      </c>
    </row>
    <row r="59" spans="1:10" x14ac:dyDescent="0.2">
      <c r="A59">
        <v>58</v>
      </c>
      <c r="B59" s="1" t="s">
        <v>2699</v>
      </c>
      <c r="C59" s="6" t="str">
        <f t="shared" si="1"/>
        <v>AJ293568.1</v>
      </c>
      <c r="D59" s="5" t="s">
        <v>127</v>
      </c>
      <c r="E59">
        <f>MATCH(C59,AllProteins!$H:$H,0)</f>
        <v>49</v>
      </c>
      <c r="F59" t="s">
        <v>2543</v>
      </c>
      <c r="G59" t="s">
        <v>2543</v>
      </c>
      <c r="I59" s="5" t="s">
        <v>2793</v>
      </c>
      <c r="J59" t="s">
        <v>2543</v>
      </c>
    </row>
    <row r="60" spans="1:10" x14ac:dyDescent="0.2">
      <c r="A60">
        <v>59</v>
      </c>
      <c r="B60" s="1" t="s">
        <v>2700</v>
      </c>
      <c r="C60" s="6" t="str">
        <f t="shared" si="1"/>
        <v>AY386371.1</v>
      </c>
      <c r="D60" t="s">
        <v>130</v>
      </c>
      <c r="E60">
        <f>MATCH(C60,AllProteins!$H:$H,0)</f>
        <v>50</v>
      </c>
      <c r="F60" t="s">
        <v>2543</v>
      </c>
      <c r="G60" t="s">
        <v>2543</v>
      </c>
      <c r="I60" s="5" t="s">
        <v>2794</v>
      </c>
      <c r="J60" t="s">
        <v>2543</v>
      </c>
    </row>
    <row r="61" spans="1:10" x14ac:dyDescent="0.2">
      <c r="A61">
        <v>60</v>
      </c>
      <c r="B61" s="1" t="s">
        <v>2798</v>
      </c>
      <c r="C61" s="6" t="str">
        <f>HYPERLINK(_xlfn.CONCAT("https://www.ncbi.nlm.nih.gov/nuccore/",B61),B61)</f>
        <v>PZ016454.1</v>
      </c>
      <c r="D61" t="s">
        <v>2797</v>
      </c>
      <c r="E61">
        <f>MATCH(C61,AllProteins!$H:$H,0)</f>
        <v>1477</v>
      </c>
      <c r="F61" t="s">
        <v>2545</v>
      </c>
      <c r="G61" t="s">
        <v>2545</v>
      </c>
      <c r="I61" s="5" t="s">
        <v>2825</v>
      </c>
      <c r="J61" t="s">
        <v>2543</v>
      </c>
    </row>
    <row r="62" spans="1:10" x14ac:dyDescent="0.2">
      <c r="A62">
        <v>61</v>
      </c>
      <c r="B62" s="1" t="s">
        <v>2701</v>
      </c>
      <c r="C62" s="6" t="str">
        <f t="shared" si="1"/>
        <v>PP711852.1</v>
      </c>
      <c r="D62" t="s">
        <v>2576</v>
      </c>
      <c r="E62">
        <f>MATCH(C62,AllProteins!$H:$H,0)</f>
        <v>1502</v>
      </c>
      <c r="F62" t="s">
        <v>2545</v>
      </c>
      <c r="G62" t="s">
        <v>2545</v>
      </c>
      <c r="I62" s="5" t="s">
        <v>2795</v>
      </c>
      <c r="J62" t="s">
        <v>2543</v>
      </c>
    </row>
    <row r="63" spans="1:10" x14ac:dyDescent="0.2">
      <c r="A63">
        <v>62</v>
      </c>
      <c r="B63" s="1" t="s">
        <v>2705</v>
      </c>
      <c r="C63" s="6" t="str">
        <f>HYPERLINK(_xlfn.CONCAT("https://www.ncbi.nlm.nih.gov/nuccore/",B63),B63)</f>
        <v>M35027.1</v>
      </c>
      <c r="D63" t="s">
        <v>2706</v>
      </c>
      <c r="E63">
        <f>MATCH(C63,AllProteins!$H:$H,0)</f>
        <v>1527</v>
      </c>
      <c r="F63" t="s">
        <v>2545</v>
      </c>
      <c r="G63" t="s">
        <v>2545</v>
      </c>
      <c r="I63" s="5" t="s">
        <v>2796</v>
      </c>
      <c r="J63" t="s">
        <v>2545</v>
      </c>
    </row>
  </sheetData>
  <conditionalFormatting sqref="F2:G1048576 H18 H24 H33:H34 H37">
    <cfRule type="cellIs" dxfId="3" priority="6" operator="equal">
      <formula>"N"</formula>
    </cfRule>
    <cfRule type="cellIs" dxfId="2" priority="7" operator="equal">
      <formula>"Y"</formula>
    </cfRule>
  </conditionalFormatting>
  <conditionalFormatting sqref="J2:J63">
    <cfRule type="cellIs" dxfId="1" priority="4" operator="equal">
      <formula>"N"</formula>
    </cfRule>
    <cfRule type="cellIs" dxfId="0" priority="5" operator="equal">
      <formula>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>
      <selection activeCell="D1" sqref="D1"/>
    </sheetView>
  </sheetViews>
  <sheetFormatPr baseColWidth="10" defaultRowHeight="16" x14ac:dyDescent="0.2"/>
  <cols>
    <col min="3" max="3" width="25.6640625" bestFit="1" customWidth="1"/>
  </cols>
  <sheetData>
    <row r="1" spans="1:3" x14ac:dyDescent="0.2">
      <c r="A1" t="s">
        <v>2572</v>
      </c>
      <c r="B1" t="s">
        <v>0</v>
      </c>
      <c r="C1" t="s">
        <v>2573</v>
      </c>
    </row>
    <row r="2" spans="1:3" x14ac:dyDescent="0.2">
      <c r="A2">
        <v>1</v>
      </c>
      <c r="B2" s="1" t="s">
        <v>7</v>
      </c>
      <c r="C2" t="s">
        <v>8</v>
      </c>
    </row>
    <row r="3" spans="1:3" x14ac:dyDescent="0.2">
      <c r="A3">
        <v>2</v>
      </c>
      <c r="B3" s="1" t="s">
        <v>251</v>
      </c>
      <c r="C3" t="s">
        <v>252</v>
      </c>
    </row>
    <row r="4" spans="1:3" x14ac:dyDescent="0.2">
      <c r="A4">
        <v>3</v>
      </c>
      <c r="B4" s="1" t="s">
        <v>349</v>
      </c>
      <c r="C4" t="s">
        <v>350</v>
      </c>
    </row>
    <row r="5" spans="1:3" x14ac:dyDescent="0.2">
      <c r="A5">
        <v>4</v>
      </c>
      <c r="B5" s="1" t="s">
        <v>451</v>
      </c>
      <c r="C5" t="s">
        <v>452</v>
      </c>
    </row>
    <row r="6" spans="1:3" x14ac:dyDescent="0.2">
      <c r="A6">
        <v>5</v>
      </c>
      <c r="B6" s="1" t="s">
        <v>547</v>
      </c>
      <c r="C6" t="s">
        <v>548</v>
      </c>
    </row>
    <row r="7" spans="1:3" x14ac:dyDescent="0.2">
      <c r="A7">
        <v>6</v>
      </c>
      <c r="B7" s="1" t="s">
        <v>154</v>
      </c>
      <c r="C7" t="s">
        <v>155</v>
      </c>
    </row>
    <row r="8" spans="1:3" x14ac:dyDescent="0.2">
      <c r="A8">
        <v>7</v>
      </c>
      <c r="B8" s="1" t="s">
        <v>750</v>
      </c>
      <c r="C8" t="s">
        <v>751</v>
      </c>
    </row>
    <row r="9" spans="1:3" x14ac:dyDescent="0.2">
      <c r="A9">
        <v>8</v>
      </c>
      <c r="B9" s="1" t="s">
        <v>651</v>
      </c>
      <c r="C9" t="s">
        <v>652</v>
      </c>
    </row>
    <row r="10" spans="1:3" x14ac:dyDescent="0.2">
      <c r="A10">
        <v>9</v>
      </c>
      <c r="B10" s="1" t="s">
        <v>848</v>
      </c>
      <c r="C10" t="s">
        <v>849</v>
      </c>
    </row>
    <row r="11" spans="1:3" x14ac:dyDescent="0.2">
      <c r="A11">
        <v>10</v>
      </c>
      <c r="B11" s="1" t="s">
        <v>1045</v>
      </c>
      <c r="C11" t="s">
        <v>1046</v>
      </c>
    </row>
    <row r="12" spans="1:3" x14ac:dyDescent="0.2">
      <c r="A12">
        <v>11</v>
      </c>
      <c r="B12" s="1" t="s">
        <v>1145</v>
      </c>
      <c r="C12" t="s">
        <v>1146</v>
      </c>
    </row>
    <row r="13" spans="1:3" x14ac:dyDescent="0.2">
      <c r="A13">
        <v>12</v>
      </c>
      <c r="B13" s="1" t="s">
        <v>949</v>
      </c>
      <c r="C13" t="s">
        <v>950</v>
      </c>
    </row>
    <row r="14" spans="1:3" x14ac:dyDescent="0.2">
      <c r="A14">
        <v>13</v>
      </c>
      <c r="B14" s="1" t="s">
        <v>1238</v>
      </c>
      <c r="C14" t="s">
        <v>1239</v>
      </c>
    </row>
    <row r="15" spans="1:3" x14ac:dyDescent="0.2">
      <c r="A15">
        <v>14</v>
      </c>
      <c r="B15" s="1" t="s">
        <v>1332</v>
      </c>
      <c r="C15" t="s">
        <v>1333</v>
      </c>
    </row>
    <row r="16" spans="1:3" x14ac:dyDescent="0.2">
      <c r="A16">
        <v>15</v>
      </c>
      <c r="B16" s="1" t="s">
        <v>1539</v>
      </c>
      <c r="C16" t="s">
        <v>1540</v>
      </c>
    </row>
    <row r="17" spans="1:3" x14ac:dyDescent="0.2">
      <c r="A17">
        <v>16</v>
      </c>
      <c r="B17" s="1" t="s">
        <v>1435</v>
      </c>
      <c r="C17" t="s">
        <v>1436</v>
      </c>
    </row>
    <row r="18" spans="1:3" x14ac:dyDescent="0.2">
      <c r="A18">
        <v>17</v>
      </c>
      <c r="B18" s="1" t="s">
        <v>1636</v>
      </c>
      <c r="C18" t="s">
        <v>1637</v>
      </c>
    </row>
    <row r="19" spans="1:3" ht="17" customHeight="1" x14ac:dyDescent="0.2">
      <c r="A19">
        <v>18</v>
      </c>
      <c r="B19" s="1" t="s">
        <v>1723</v>
      </c>
      <c r="C19" s="7" t="s">
        <v>1724</v>
      </c>
    </row>
    <row r="20" spans="1:3" x14ac:dyDescent="0.2">
      <c r="A20">
        <v>19</v>
      </c>
      <c r="B20" s="1" t="s">
        <v>1821</v>
      </c>
      <c r="C20" t="s">
        <v>1822</v>
      </c>
    </row>
    <row r="21" spans="1:3" x14ac:dyDescent="0.2">
      <c r="A21">
        <v>20</v>
      </c>
      <c r="B21" s="1" t="s">
        <v>1923</v>
      </c>
      <c r="C21" t="s">
        <v>1924</v>
      </c>
    </row>
    <row r="22" spans="1:3" x14ac:dyDescent="0.2">
      <c r="A22">
        <v>21</v>
      </c>
      <c r="B22" s="1" t="s">
        <v>2027</v>
      </c>
      <c r="C22" t="s">
        <v>2028</v>
      </c>
    </row>
    <row r="23" spans="1:3" x14ac:dyDescent="0.2">
      <c r="A23">
        <v>22</v>
      </c>
      <c r="B23" s="1" t="s">
        <v>2121</v>
      </c>
      <c r="C23" t="s">
        <v>2122</v>
      </c>
    </row>
    <row r="24" spans="1:3" x14ac:dyDescent="0.2">
      <c r="A24">
        <v>23</v>
      </c>
      <c r="B24" s="1" t="s">
        <v>2220</v>
      </c>
      <c r="C24" t="s">
        <v>2221</v>
      </c>
    </row>
    <row r="25" spans="1:3" x14ac:dyDescent="0.2">
      <c r="A25">
        <v>24</v>
      </c>
      <c r="B25" s="1" t="s">
        <v>2322</v>
      </c>
      <c r="C25" t="s">
        <v>2323</v>
      </c>
    </row>
    <row r="26" spans="1:3" x14ac:dyDescent="0.2">
      <c r="A26">
        <v>25</v>
      </c>
      <c r="B26" s="1" t="s">
        <v>2417</v>
      </c>
      <c r="C26" t="s">
        <v>583</v>
      </c>
    </row>
    <row r="27" spans="1:3" x14ac:dyDescent="0.2">
      <c r="B27" s="1"/>
    </row>
    <row r="28" spans="1:3" x14ac:dyDescent="0.2">
      <c r="B28" s="1"/>
    </row>
    <row r="29" spans="1:3" x14ac:dyDescent="0.2">
      <c r="B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CC5A-6980-324A-8B96-C0538844136F}">
  <dimension ref="A3:AA69"/>
  <sheetViews>
    <sheetView topLeftCell="A2" workbookViewId="0">
      <selection activeCell="A3" sqref="A3"/>
    </sheetView>
  </sheetViews>
  <sheetFormatPr baseColWidth="10" defaultRowHeight="16" x14ac:dyDescent="0.2"/>
  <cols>
    <col min="1" max="1" width="39.1640625" bestFit="1" customWidth="1"/>
    <col min="2" max="2" width="16" bestFit="1" customWidth="1"/>
    <col min="3" max="3" width="3.33203125" bestFit="1" customWidth="1"/>
    <col min="4" max="7" width="4.33203125" bestFit="1" customWidth="1"/>
    <col min="8" max="8" width="3.33203125" bestFit="1" customWidth="1"/>
    <col min="9" max="9" width="4.33203125" bestFit="1" customWidth="1"/>
    <col min="10" max="10" width="3.33203125" bestFit="1" customWidth="1"/>
    <col min="11" max="11" width="3.5" bestFit="1" customWidth="1"/>
    <col min="12" max="13" width="4.5" bestFit="1" customWidth="1"/>
    <col min="14" max="15" width="3.5" bestFit="1" customWidth="1"/>
    <col min="16" max="16" width="3.1640625" bestFit="1" customWidth="1"/>
    <col min="17" max="17" width="4.1640625" bestFit="1" customWidth="1"/>
    <col min="18" max="18" width="3.1640625" bestFit="1" customWidth="1"/>
    <col min="19" max="22" width="3.5" bestFit="1" customWidth="1"/>
    <col min="23" max="26" width="3.1640625" bestFit="1" customWidth="1"/>
    <col min="27" max="27" width="10.5" bestFit="1" customWidth="1"/>
    <col min="28" max="28" width="7.6640625" bestFit="1" customWidth="1"/>
    <col min="29" max="29" width="5.5" bestFit="1" customWidth="1"/>
    <col min="30" max="30" width="3.1640625" bestFit="1" customWidth="1"/>
    <col min="31" max="31" width="7.83203125" bestFit="1" customWidth="1"/>
    <col min="32" max="32" width="6.5" bestFit="1" customWidth="1"/>
    <col min="33" max="33" width="3.1640625" bestFit="1" customWidth="1"/>
    <col min="34" max="34" width="8.83203125" bestFit="1" customWidth="1"/>
    <col min="35" max="35" width="6.5" bestFit="1" customWidth="1"/>
    <col min="36" max="36" width="3.1640625" bestFit="1" customWidth="1"/>
    <col min="37" max="37" width="8.83203125" bestFit="1" customWidth="1"/>
    <col min="38" max="38" width="5.5" bestFit="1" customWidth="1"/>
    <col min="39" max="39" width="3.1640625" bestFit="1" customWidth="1"/>
    <col min="40" max="40" width="7.83203125" bestFit="1" customWidth="1"/>
    <col min="41" max="41" width="5.5" bestFit="1" customWidth="1"/>
    <col min="42" max="42" width="3.1640625" bestFit="1" customWidth="1"/>
    <col min="43" max="43" width="7.83203125" bestFit="1" customWidth="1"/>
    <col min="44" max="44" width="5.1640625" bestFit="1" customWidth="1"/>
    <col min="45" max="45" width="3.1640625" bestFit="1" customWidth="1"/>
    <col min="46" max="46" width="7.5" bestFit="1" customWidth="1"/>
    <col min="47" max="47" width="6.1640625" bestFit="1" customWidth="1"/>
    <col min="48" max="48" width="3.1640625" bestFit="1" customWidth="1"/>
    <col min="49" max="49" width="8.5" bestFit="1" customWidth="1"/>
    <col min="50" max="50" width="5.1640625" bestFit="1" customWidth="1"/>
    <col min="51" max="51" width="3.1640625" bestFit="1" customWidth="1"/>
    <col min="52" max="52" width="7.5" bestFit="1" customWidth="1"/>
    <col min="53" max="53" width="5.5" bestFit="1" customWidth="1"/>
    <col min="54" max="54" width="3.1640625" bestFit="1" customWidth="1"/>
    <col min="55" max="55" width="7.83203125" bestFit="1" customWidth="1"/>
    <col min="56" max="56" width="5.5" bestFit="1" customWidth="1"/>
    <col min="57" max="57" width="3.1640625" bestFit="1" customWidth="1"/>
    <col min="58" max="58" width="7.83203125" bestFit="1" customWidth="1"/>
    <col min="59" max="59" width="5.5" bestFit="1" customWidth="1"/>
    <col min="60" max="60" width="3.1640625" bestFit="1" customWidth="1"/>
    <col min="61" max="61" width="7.83203125" bestFit="1" customWidth="1"/>
    <col min="62" max="62" width="5.5" bestFit="1" customWidth="1"/>
    <col min="63" max="63" width="3.1640625" bestFit="1" customWidth="1"/>
    <col min="64" max="64" width="7.83203125" bestFit="1" customWidth="1"/>
    <col min="65" max="65" width="4.6640625" bestFit="1" customWidth="1"/>
    <col min="66" max="66" width="3.1640625" bestFit="1" customWidth="1"/>
    <col min="67" max="67" width="7" bestFit="1" customWidth="1"/>
    <col min="68" max="68" width="4.83203125" bestFit="1" customWidth="1"/>
    <col min="69" max="69" width="3.1640625" bestFit="1" customWidth="1"/>
    <col min="70" max="70" width="7.1640625" bestFit="1" customWidth="1"/>
    <col min="71" max="71" width="4.83203125" bestFit="1" customWidth="1"/>
    <col min="72" max="72" width="3.1640625" bestFit="1" customWidth="1"/>
    <col min="73" max="73" width="7.1640625" bestFit="1" customWidth="1"/>
    <col min="74" max="74" width="5.1640625" bestFit="1" customWidth="1"/>
    <col min="75" max="75" width="3.1640625" bestFit="1" customWidth="1"/>
    <col min="76" max="76" width="7.5" bestFit="1" customWidth="1"/>
    <col min="77" max="77" width="10.5" bestFit="1" customWidth="1"/>
  </cols>
  <sheetData>
    <row r="3" spans="1:27" x14ac:dyDescent="0.2">
      <c r="A3" s="3" t="s">
        <v>2735</v>
      </c>
      <c r="B3" s="3" t="s">
        <v>2734</v>
      </c>
    </row>
    <row r="4" spans="1:27" x14ac:dyDescent="0.2">
      <c r="A4" s="3" t="s">
        <v>2539</v>
      </c>
      <c r="B4" t="s">
        <v>7</v>
      </c>
      <c r="C4" t="s">
        <v>154</v>
      </c>
      <c r="D4" t="s">
        <v>251</v>
      </c>
      <c r="E4" t="s">
        <v>349</v>
      </c>
      <c r="F4" t="s">
        <v>451</v>
      </c>
      <c r="G4" t="s">
        <v>547</v>
      </c>
      <c r="H4" t="s">
        <v>651</v>
      </c>
      <c r="I4" t="s">
        <v>750</v>
      </c>
      <c r="J4" t="s">
        <v>848</v>
      </c>
      <c r="K4" t="s">
        <v>949</v>
      </c>
      <c r="L4" t="s">
        <v>1045</v>
      </c>
      <c r="M4" t="s">
        <v>1145</v>
      </c>
      <c r="N4" t="s">
        <v>1238</v>
      </c>
      <c r="O4" t="s">
        <v>1332</v>
      </c>
      <c r="P4" t="s">
        <v>1435</v>
      </c>
      <c r="Q4" t="s">
        <v>1539</v>
      </c>
      <c r="R4" t="s">
        <v>1636</v>
      </c>
      <c r="S4" t="s">
        <v>1723</v>
      </c>
      <c r="T4" t="s">
        <v>1821</v>
      </c>
      <c r="U4" t="s">
        <v>1923</v>
      </c>
      <c r="V4" t="s">
        <v>2027</v>
      </c>
      <c r="W4" t="s">
        <v>2121</v>
      </c>
      <c r="X4" t="s">
        <v>2220</v>
      </c>
      <c r="Y4" t="s">
        <v>2322</v>
      </c>
      <c r="Z4" t="s">
        <v>2417</v>
      </c>
      <c r="AA4" t="s">
        <v>2540</v>
      </c>
    </row>
    <row r="5" spans="1:27" x14ac:dyDescent="0.2">
      <c r="A5" s="4" t="s">
        <v>2545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  <c r="AA5">
        <v>150</v>
      </c>
    </row>
    <row r="6" spans="1:27" x14ac:dyDescent="0.2">
      <c r="A6" s="9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25</v>
      </c>
    </row>
    <row r="7" spans="1:27" x14ac:dyDescent="0.2">
      <c r="A7" s="9" t="s">
        <v>2583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25</v>
      </c>
    </row>
    <row r="8" spans="1:27" x14ac:dyDescent="0.2">
      <c r="A8" s="9" t="s">
        <v>2703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25</v>
      </c>
    </row>
    <row r="9" spans="1:27" x14ac:dyDescent="0.2">
      <c r="A9" s="9" t="s">
        <v>2582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25</v>
      </c>
    </row>
    <row r="10" spans="1:27" x14ac:dyDescent="0.2">
      <c r="A10" s="9" t="s">
        <v>2581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25</v>
      </c>
    </row>
    <row r="11" spans="1:27" x14ac:dyDescent="0.2">
      <c r="A11" s="9" t="s">
        <v>2707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25</v>
      </c>
    </row>
    <row r="12" spans="1:27" x14ac:dyDescent="0.2">
      <c r="A12" s="4" t="s">
        <v>2543</v>
      </c>
      <c r="B12">
        <v>56</v>
      </c>
      <c r="C12">
        <v>56</v>
      </c>
      <c r="D12">
        <v>56</v>
      </c>
      <c r="E12">
        <v>56</v>
      </c>
      <c r="F12">
        <v>56</v>
      </c>
      <c r="G12">
        <v>56</v>
      </c>
      <c r="H12">
        <v>56</v>
      </c>
      <c r="I12">
        <v>56</v>
      </c>
      <c r="J12">
        <v>56</v>
      </c>
      <c r="K12">
        <v>56</v>
      </c>
      <c r="L12">
        <v>56</v>
      </c>
      <c r="M12">
        <v>56</v>
      </c>
      <c r="N12">
        <v>56</v>
      </c>
      <c r="O12">
        <v>56</v>
      </c>
      <c r="P12">
        <v>56</v>
      </c>
      <c r="Q12">
        <v>56</v>
      </c>
      <c r="R12">
        <v>56</v>
      </c>
      <c r="S12">
        <v>56</v>
      </c>
      <c r="T12">
        <v>56</v>
      </c>
      <c r="U12">
        <v>56</v>
      </c>
      <c r="V12">
        <v>56</v>
      </c>
      <c r="W12">
        <v>56</v>
      </c>
      <c r="X12">
        <v>56</v>
      </c>
      <c r="Y12">
        <v>56</v>
      </c>
      <c r="Z12">
        <v>56</v>
      </c>
      <c r="AA12">
        <v>1400</v>
      </c>
    </row>
    <row r="13" spans="1:27" x14ac:dyDescent="0.2">
      <c r="A13" s="9" t="s">
        <v>2624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25</v>
      </c>
    </row>
    <row r="14" spans="1:27" x14ac:dyDescent="0.2">
      <c r="A14" s="9" t="s">
        <v>70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25</v>
      </c>
    </row>
    <row r="15" spans="1:27" x14ac:dyDescent="0.2">
      <c r="A15" s="9" t="s">
        <v>141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25</v>
      </c>
    </row>
    <row r="16" spans="1:27" x14ac:dyDescent="0.2">
      <c r="A16" s="9" t="s">
        <v>136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25</v>
      </c>
    </row>
    <row r="17" spans="1:27" x14ac:dyDescent="0.2">
      <c r="A17" s="9" t="s">
        <v>2544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25</v>
      </c>
    </row>
    <row r="18" spans="1:27" x14ac:dyDescent="0.2">
      <c r="A18" s="9" t="s">
        <v>2625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25</v>
      </c>
    </row>
    <row r="19" spans="1:27" x14ac:dyDescent="0.2">
      <c r="A19" s="9" t="s">
        <v>2546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25</v>
      </c>
    </row>
    <row r="20" spans="1:27" x14ac:dyDescent="0.2">
      <c r="A20" s="9" t="s">
        <v>143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25</v>
      </c>
    </row>
    <row r="21" spans="1:27" x14ac:dyDescent="0.2">
      <c r="A21" s="9" t="s">
        <v>2627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25</v>
      </c>
    </row>
    <row r="22" spans="1:27" x14ac:dyDescent="0.2">
      <c r="A22" s="9" t="s">
        <v>2626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25</v>
      </c>
    </row>
    <row r="23" spans="1:27" x14ac:dyDescent="0.2">
      <c r="A23" s="9" t="s">
        <v>2547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25</v>
      </c>
    </row>
    <row r="24" spans="1:27" x14ac:dyDescent="0.2">
      <c r="A24" s="9" t="s">
        <v>11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25</v>
      </c>
    </row>
    <row r="25" spans="1:27" x14ac:dyDescent="0.2">
      <c r="A25" s="9" t="s">
        <v>2548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25</v>
      </c>
    </row>
    <row r="26" spans="1:27" x14ac:dyDescent="0.2">
      <c r="A26" s="9" t="s">
        <v>2549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25</v>
      </c>
    </row>
    <row r="27" spans="1:27" x14ac:dyDescent="0.2">
      <c r="A27" s="9" t="s">
        <v>2629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25</v>
      </c>
    </row>
    <row r="28" spans="1:27" x14ac:dyDescent="0.2">
      <c r="A28" s="9" t="s">
        <v>2550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25</v>
      </c>
    </row>
    <row r="29" spans="1:27" x14ac:dyDescent="0.2">
      <c r="A29" s="9" t="s">
        <v>2630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25</v>
      </c>
    </row>
    <row r="30" spans="1:27" x14ac:dyDescent="0.2">
      <c r="A30" s="9" t="s">
        <v>2552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25</v>
      </c>
    </row>
    <row r="31" spans="1:27" x14ac:dyDescent="0.2">
      <c r="A31" s="9" t="s">
        <v>2631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25</v>
      </c>
    </row>
    <row r="32" spans="1:27" x14ac:dyDescent="0.2">
      <c r="A32" s="9" t="s">
        <v>2580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25</v>
      </c>
    </row>
    <row r="33" spans="1:27" x14ac:dyDescent="0.2">
      <c r="A33" s="9" t="s">
        <v>2635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25</v>
      </c>
    </row>
    <row r="34" spans="1:27" x14ac:dyDescent="0.2">
      <c r="A34" s="9" t="s">
        <v>2632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25</v>
      </c>
    </row>
    <row r="35" spans="1:27" x14ac:dyDescent="0.2">
      <c r="A35" s="9" t="s">
        <v>2634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25</v>
      </c>
    </row>
    <row r="36" spans="1:27" x14ac:dyDescent="0.2">
      <c r="A36" s="9" t="s">
        <v>2633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25</v>
      </c>
    </row>
    <row r="37" spans="1:27" x14ac:dyDescent="0.2">
      <c r="A37" s="9" t="s">
        <v>2628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25</v>
      </c>
    </row>
    <row r="38" spans="1:27" x14ac:dyDescent="0.2">
      <c r="A38" s="9" t="s">
        <v>50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25</v>
      </c>
    </row>
    <row r="39" spans="1:27" x14ac:dyDescent="0.2">
      <c r="A39" s="9" t="s">
        <v>2636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25</v>
      </c>
    </row>
    <row r="40" spans="1:27" x14ac:dyDescent="0.2">
      <c r="A40" s="9" t="s">
        <v>2637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25</v>
      </c>
    </row>
    <row r="41" spans="1:27" x14ac:dyDescent="0.2">
      <c r="A41" s="9" t="s">
        <v>56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25</v>
      </c>
    </row>
    <row r="42" spans="1:27" x14ac:dyDescent="0.2">
      <c r="A42" s="9" t="s">
        <v>2554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25</v>
      </c>
    </row>
    <row r="43" spans="1:27" x14ac:dyDescent="0.2">
      <c r="A43" s="9" t="s">
        <v>2623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25</v>
      </c>
    </row>
    <row r="44" spans="1:27" x14ac:dyDescent="0.2">
      <c r="A44" s="9" t="s">
        <v>2638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25</v>
      </c>
    </row>
    <row r="45" spans="1:27" x14ac:dyDescent="0.2">
      <c r="A45" s="9" t="s">
        <v>2558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25</v>
      </c>
    </row>
    <row r="46" spans="1:27" x14ac:dyDescent="0.2">
      <c r="A46" s="9" t="s">
        <v>2557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25</v>
      </c>
    </row>
    <row r="47" spans="1:27" x14ac:dyDescent="0.2">
      <c r="A47" s="9" t="s">
        <v>2556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25</v>
      </c>
    </row>
    <row r="48" spans="1:27" x14ac:dyDescent="0.2">
      <c r="A48" s="9" t="s">
        <v>2559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25</v>
      </c>
    </row>
    <row r="49" spans="1:27" x14ac:dyDescent="0.2">
      <c r="A49" s="9" t="s">
        <v>2561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25</v>
      </c>
    </row>
    <row r="50" spans="1:27" x14ac:dyDescent="0.2">
      <c r="A50" s="9" t="s">
        <v>2560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25</v>
      </c>
    </row>
    <row r="51" spans="1:27" x14ac:dyDescent="0.2">
      <c r="A51" s="9" t="s">
        <v>2643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25</v>
      </c>
    </row>
    <row r="52" spans="1:27" x14ac:dyDescent="0.2">
      <c r="A52" s="9" t="s">
        <v>2564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25</v>
      </c>
    </row>
    <row r="53" spans="1:27" x14ac:dyDescent="0.2">
      <c r="A53" s="9" t="s">
        <v>2565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25</v>
      </c>
    </row>
    <row r="54" spans="1:27" x14ac:dyDescent="0.2">
      <c r="A54" s="9" t="s">
        <v>2551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25</v>
      </c>
    </row>
    <row r="55" spans="1:27" x14ac:dyDescent="0.2">
      <c r="A55" s="9" t="s">
        <v>2562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25</v>
      </c>
    </row>
    <row r="56" spans="1:27" x14ac:dyDescent="0.2">
      <c r="A56" s="9" t="s">
        <v>2563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25</v>
      </c>
    </row>
    <row r="57" spans="1:27" x14ac:dyDescent="0.2">
      <c r="A57" s="9" t="s">
        <v>2639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25</v>
      </c>
    </row>
    <row r="58" spans="1:27" x14ac:dyDescent="0.2">
      <c r="A58" s="9" t="s">
        <v>2566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25</v>
      </c>
    </row>
    <row r="59" spans="1:27" x14ac:dyDescent="0.2">
      <c r="A59" s="9" t="s">
        <v>2642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25</v>
      </c>
    </row>
    <row r="60" spans="1:27" x14ac:dyDescent="0.2">
      <c r="A60" s="9" t="s">
        <v>2567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25</v>
      </c>
    </row>
    <row r="61" spans="1:27" x14ac:dyDescent="0.2">
      <c r="A61" s="9" t="s">
        <v>2568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25</v>
      </c>
    </row>
    <row r="62" spans="1:27" x14ac:dyDescent="0.2">
      <c r="A62" s="9" t="s">
        <v>2640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25</v>
      </c>
    </row>
    <row r="63" spans="1:27" x14ac:dyDescent="0.2">
      <c r="A63" s="9" t="s">
        <v>2641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25</v>
      </c>
    </row>
    <row r="64" spans="1:27" x14ac:dyDescent="0.2">
      <c r="A64" s="9" t="s">
        <v>2569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25</v>
      </c>
    </row>
    <row r="65" spans="1:27" x14ac:dyDescent="0.2">
      <c r="A65" s="9" t="s">
        <v>2570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25</v>
      </c>
    </row>
    <row r="66" spans="1:27" x14ac:dyDescent="0.2">
      <c r="A66" s="9" t="s">
        <v>2514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25</v>
      </c>
    </row>
    <row r="67" spans="1:27" x14ac:dyDescent="0.2">
      <c r="A67" s="9" t="s">
        <v>130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25</v>
      </c>
    </row>
    <row r="68" spans="1:27" x14ac:dyDescent="0.2">
      <c r="A68" s="9" t="s">
        <v>2571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25</v>
      </c>
    </row>
    <row r="69" spans="1:27" x14ac:dyDescent="0.2">
      <c r="A69" s="4" t="s">
        <v>2540</v>
      </c>
      <c r="B69">
        <v>62</v>
      </c>
      <c r="C69">
        <v>62</v>
      </c>
      <c r="D69">
        <v>62</v>
      </c>
      <c r="E69">
        <v>62</v>
      </c>
      <c r="F69">
        <v>62</v>
      </c>
      <c r="G69">
        <v>62</v>
      </c>
      <c r="H69">
        <v>62</v>
      </c>
      <c r="I69">
        <v>62</v>
      </c>
      <c r="J69">
        <v>62</v>
      </c>
      <c r="K69">
        <v>62</v>
      </c>
      <c r="L69">
        <v>62</v>
      </c>
      <c r="M69">
        <v>62</v>
      </c>
      <c r="N69">
        <v>62</v>
      </c>
      <c r="O69">
        <v>62</v>
      </c>
      <c r="P69">
        <v>62</v>
      </c>
      <c r="Q69">
        <v>62</v>
      </c>
      <c r="R69">
        <v>62</v>
      </c>
      <c r="S69">
        <v>62</v>
      </c>
      <c r="T69">
        <v>62</v>
      </c>
      <c r="U69">
        <v>62</v>
      </c>
      <c r="V69">
        <v>62</v>
      </c>
      <c r="W69">
        <v>62</v>
      </c>
      <c r="X69">
        <v>62</v>
      </c>
      <c r="Y69">
        <v>62</v>
      </c>
      <c r="Z69">
        <v>62</v>
      </c>
      <c r="AA69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AllProteins</vt:lpstr>
      <vt:lpstr>Genomes</vt:lpstr>
      <vt:lpstr>CoreProteinGroups</vt:lpstr>
      <vt:lpstr>QC All Proteins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Hendrickson, Curtis (Campus)</dc:creator>
  <cp:lastModifiedBy>Hendrickson, Curtis (Campus)</cp:lastModifiedBy>
  <dcterms:created xsi:type="dcterms:W3CDTF">2025-12-15T21:58:53Z</dcterms:created>
  <dcterms:modified xsi:type="dcterms:W3CDTF">2026-05-22T22:03:39Z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2025-12-15T22:22:47Z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81c67764-6afb-46fe-88bc-a826bcc54e9f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